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iha\Desktop\職業類別表APP\"/>
    </mc:Choice>
  </mc:AlternateContent>
  <xr:revisionPtr revIDLastSave="0" documentId="8_{85DDC324-F4E5-4D2E-B733-63BF70C4D41E}" xr6:coauthVersionLast="47" xr6:coauthVersionMax="47" xr10:uidLastSave="{00000000-0000-0000-0000-000000000000}"/>
  <bookViews>
    <workbookView xWindow="-120" yWindow="-120" windowWidth="29040" windowHeight="15720" xr2:uid="{00000000-000D-0000-FFFF-FFFF00000000}"/>
  </bookViews>
  <sheets>
    <sheet name="職業分類表D版_11206" sheetId="2" r:id="rId1"/>
    <sheet name="建議修正調查表 (2)" sheetId="3" state="hidden" r:id="rId2"/>
  </sheets>
  <definedNames>
    <definedName name="_xlnm._FilterDatabase" localSheetId="0" hidden="1">職業分類表D版_11206!$A$2:$F$2</definedName>
    <definedName name="_xlnm.Print_Titles" localSheetId="1">'建議修正調查表 (2)'!$4:$4</definedName>
    <definedName name="_xlnm.Print_Titles" localSheetId="0">職業分類表D版_11206!$2:$2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339" i="3" l="1"/>
  <c r="M1339" i="3"/>
  <c r="L1339" i="3"/>
  <c r="N1338" i="3"/>
  <c r="M1338" i="3"/>
  <c r="L1338" i="3"/>
  <c r="N1337" i="3"/>
  <c r="M1337" i="3"/>
  <c r="L1337" i="3"/>
  <c r="N1336" i="3"/>
  <c r="M1336" i="3"/>
  <c r="L1336" i="3"/>
  <c r="N1335" i="3"/>
  <c r="M1335" i="3"/>
  <c r="L1335" i="3"/>
  <c r="N1334" i="3"/>
  <c r="M1334" i="3"/>
  <c r="L1334" i="3"/>
  <c r="N1333" i="3"/>
  <c r="M1333" i="3"/>
  <c r="L1333" i="3"/>
  <c r="N1332" i="3"/>
  <c r="M1332" i="3"/>
  <c r="L1332" i="3"/>
  <c r="N1331" i="3"/>
  <c r="M1331" i="3"/>
  <c r="L1331" i="3"/>
  <c r="N1330" i="3"/>
  <c r="M1330" i="3"/>
  <c r="L1330" i="3"/>
  <c r="N1329" i="3"/>
  <c r="M1329" i="3"/>
  <c r="L1329" i="3"/>
  <c r="N1328" i="3"/>
  <c r="M1328" i="3"/>
  <c r="L1328" i="3"/>
  <c r="N1327" i="3"/>
  <c r="M1327" i="3"/>
  <c r="L1327" i="3"/>
  <c r="N1326" i="3"/>
  <c r="M1326" i="3"/>
  <c r="L1326" i="3"/>
  <c r="N1325" i="3"/>
  <c r="M1325" i="3"/>
  <c r="L1325" i="3"/>
  <c r="N1324" i="3"/>
  <c r="M1324" i="3"/>
  <c r="L1324" i="3"/>
  <c r="N1323" i="3"/>
  <c r="M1323" i="3"/>
  <c r="L1323" i="3"/>
  <c r="N1322" i="3"/>
  <c r="M1322" i="3"/>
  <c r="L1322" i="3"/>
  <c r="N1321" i="3"/>
  <c r="M1321" i="3"/>
  <c r="L1321" i="3"/>
  <c r="N1320" i="3"/>
  <c r="M1320" i="3"/>
  <c r="L1320" i="3"/>
  <c r="N1319" i="3"/>
  <c r="M1319" i="3"/>
  <c r="L1319" i="3"/>
  <c r="N1318" i="3"/>
  <c r="M1318" i="3"/>
  <c r="L1318" i="3"/>
  <c r="N1317" i="3"/>
  <c r="M1317" i="3"/>
  <c r="L1317" i="3"/>
  <c r="N1316" i="3"/>
  <c r="M1316" i="3"/>
  <c r="L1316" i="3"/>
  <c r="N1315" i="3"/>
  <c r="M1315" i="3"/>
  <c r="L1315" i="3"/>
  <c r="N1314" i="3"/>
  <c r="M1314" i="3"/>
  <c r="L1314" i="3"/>
  <c r="N1313" i="3"/>
  <c r="M1313" i="3"/>
  <c r="L1313" i="3"/>
  <c r="N1312" i="3"/>
  <c r="M1312" i="3"/>
  <c r="L1312" i="3"/>
  <c r="N1311" i="3"/>
  <c r="M1311" i="3"/>
  <c r="L1311" i="3"/>
  <c r="N1310" i="3"/>
  <c r="M1310" i="3"/>
  <c r="L1310" i="3"/>
  <c r="N1309" i="3"/>
  <c r="M1309" i="3"/>
  <c r="L1309" i="3"/>
  <c r="N1308" i="3"/>
  <c r="M1308" i="3"/>
  <c r="L1308" i="3"/>
  <c r="N1307" i="3"/>
  <c r="M1307" i="3"/>
  <c r="L1307" i="3"/>
  <c r="N1306" i="3"/>
  <c r="M1306" i="3"/>
  <c r="L1306" i="3"/>
  <c r="N1305" i="3"/>
  <c r="M1305" i="3"/>
  <c r="L1305" i="3"/>
  <c r="N1304" i="3"/>
  <c r="M1304" i="3"/>
  <c r="L1304" i="3"/>
  <c r="N1303" i="3"/>
  <c r="M1303" i="3"/>
  <c r="L1303" i="3"/>
  <c r="N1302" i="3"/>
  <c r="M1302" i="3"/>
  <c r="L1302" i="3"/>
  <c r="N1301" i="3"/>
  <c r="M1301" i="3"/>
  <c r="L1301" i="3"/>
  <c r="N1300" i="3"/>
  <c r="M1300" i="3"/>
  <c r="L1300" i="3"/>
  <c r="N1299" i="3"/>
  <c r="M1299" i="3"/>
  <c r="L1299" i="3"/>
  <c r="N1298" i="3"/>
  <c r="M1298" i="3"/>
  <c r="L1298" i="3"/>
  <c r="N1297" i="3"/>
  <c r="M1297" i="3"/>
  <c r="L1297" i="3"/>
  <c r="N1296" i="3"/>
  <c r="M1296" i="3"/>
  <c r="L1296" i="3"/>
  <c r="N1295" i="3"/>
  <c r="M1295" i="3"/>
  <c r="L1295" i="3"/>
  <c r="N1294" i="3"/>
  <c r="M1294" i="3"/>
  <c r="L1294" i="3"/>
  <c r="N1293" i="3"/>
  <c r="M1293" i="3"/>
  <c r="L1293" i="3"/>
  <c r="N1292" i="3"/>
  <c r="M1292" i="3"/>
  <c r="L1292" i="3"/>
  <c r="N1291" i="3"/>
  <c r="M1291" i="3"/>
  <c r="L1291" i="3"/>
  <c r="N1290" i="3"/>
  <c r="M1290" i="3"/>
  <c r="L1290" i="3"/>
  <c r="N1289" i="3"/>
  <c r="M1289" i="3"/>
  <c r="L1289" i="3"/>
  <c r="N1288" i="3"/>
  <c r="M1288" i="3"/>
  <c r="L1288" i="3"/>
  <c r="N1287" i="3"/>
  <c r="M1287" i="3"/>
  <c r="L1287" i="3"/>
  <c r="N1286" i="3"/>
  <c r="M1286" i="3"/>
  <c r="L1286" i="3"/>
  <c r="N1285" i="3"/>
  <c r="M1285" i="3"/>
  <c r="L1285" i="3"/>
  <c r="N1284" i="3"/>
  <c r="M1284" i="3"/>
  <c r="L1284" i="3"/>
  <c r="N1283" i="3"/>
  <c r="M1283" i="3"/>
  <c r="L1283" i="3"/>
  <c r="N1282" i="3"/>
  <c r="M1282" i="3"/>
  <c r="L1282" i="3"/>
  <c r="N1281" i="3"/>
  <c r="M1281" i="3"/>
  <c r="L1281" i="3"/>
  <c r="N1280" i="3"/>
  <c r="M1280" i="3"/>
  <c r="L1280" i="3"/>
  <c r="N1279" i="3"/>
  <c r="M1279" i="3"/>
  <c r="L1279" i="3"/>
  <c r="N1278" i="3"/>
  <c r="M1278" i="3"/>
  <c r="L1278" i="3"/>
  <c r="N1277" i="3"/>
  <c r="M1277" i="3"/>
  <c r="L1277" i="3"/>
  <c r="N1276" i="3"/>
  <c r="M1276" i="3"/>
  <c r="L1276" i="3"/>
  <c r="N1275" i="3"/>
  <c r="M1275" i="3"/>
  <c r="L1275" i="3"/>
  <c r="N1274" i="3"/>
  <c r="M1274" i="3"/>
  <c r="L1274" i="3"/>
  <c r="N1273" i="3"/>
  <c r="M1273" i="3"/>
  <c r="L1273" i="3"/>
  <c r="N1272" i="3"/>
  <c r="M1272" i="3"/>
  <c r="L1272" i="3"/>
  <c r="N1271" i="3"/>
  <c r="M1271" i="3"/>
  <c r="L1271" i="3"/>
  <c r="N1270" i="3"/>
  <c r="M1270" i="3"/>
  <c r="L1270" i="3"/>
  <c r="N1269" i="3"/>
  <c r="M1269" i="3"/>
  <c r="L1269" i="3"/>
  <c r="N1268" i="3"/>
  <c r="M1268" i="3"/>
  <c r="L1268" i="3"/>
  <c r="N1267" i="3"/>
  <c r="M1267" i="3"/>
  <c r="L1267" i="3"/>
  <c r="N1266" i="3"/>
  <c r="M1266" i="3"/>
  <c r="L1266" i="3"/>
  <c r="N1265" i="3"/>
  <c r="M1265" i="3"/>
  <c r="L1265" i="3"/>
  <c r="N1264" i="3"/>
  <c r="M1264" i="3"/>
  <c r="L1264" i="3"/>
  <c r="N1263" i="3"/>
  <c r="M1263" i="3"/>
  <c r="L1263" i="3"/>
  <c r="N1262" i="3"/>
  <c r="M1262" i="3"/>
  <c r="L1262" i="3"/>
  <c r="N1261" i="3"/>
  <c r="M1261" i="3"/>
  <c r="L1261" i="3"/>
  <c r="N1260" i="3"/>
  <c r="M1260" i="3"/>
  <c r="L1260" i="3"/>
  <c r="N1259" i="3"/>
  <c r="M1259" i="3"/>
  <c r="L1259" i="3"/>
  <c r="N1258" i="3"/>
  <c r="M1258" i="3"/>
  <c r="L1258" i="3"/>
  <c r="N1257" i="3"/>
  <c r="M1257" i="3"/>
  <c r="L1257" i="3"/>
  <c r="N1256" i="3"/>
  <c r="M1256" i="3"/>
  <c r="L1256" i="3"/>
  <c r="N1255" i="3"/>
  <c r="M1255" i="3"/>
  <c r="L1255" i="3"/>
  <c r="N1254" i="3"/>
  <c r="M1254" i="3"/>
  <c r="L1254" i="3"/>
  <c r="N1253" i="3"/>
  <c r="M1253" i="3"/>
  <c r="L1253" i="3"/>
  <c r="N1252" i="3"/>
  <c r="M1252" i="3"/>
  <c r="L1252" i="3"/>
  <c r="N1251" i="3"/>
  <c r="M1251" i="3"/>
  <c r="L1251" i="3"/>
  <c r="N1250" i="3"/>
  <c r="M1250" i="3"/>
  <c r="L1250" i="3"/>
  <c r="N1249" i="3"/>
  <c r="M1249" i="3"/>
  <c r="L1249" i="3"/>
  <c r="N1248" i="3"/>
  <c r="M1248" i="3"/>
  <c r="L1248" i="3"/>
  <c r="N1247" i="3"/>
  <c r="M1247" i="3"/>
  <c r="L1247" i="3"/>
  <c r="N1246" i="3"/>
  <c r="M1246" i="3"/>
  <c r="L1246" i="3"/>
  <c r="N1245" i="3"/>
  <c r="M1245" i="3"/>
  <c r="L1245" i="3"/>
  <c r="N1244" i="3"/>
  <c r="M1244" i="3"/>
  <c r="L1244" i="3"/>
  <c r="N1243" i="3"/>
  <c r="M1243" i="3"/>
  <c r="L1243" i="3"/>
  <c r="N1242" i="3"/>
  <c r="M1242" i="3"/>
  <c r="L1242" i="3"/>
  <c r="N1241" i="3"/>
  <c r="M1241" i="3"/>
  <c r="L1241" i="3"/>
  <c r="N1240" i="3"/>
  <c r="M1240" i="3"/>
  <c r="L1240" i="3"/>
  <c r="N1239" i="3"/>
  <c r="M1239" i="3"/>
  <c r="L1239" i="3"/>
  <c r="N1238" i="3"/>
  <c r="M1238" i="3"/>
  <c r="L1238" i="3"/>
  <c r="N1237" i="3"/>
  <c r="M1237" i="3"/>
  <c r="L1237" i="3"/>
  <c r="N1236" i="3"/>
  <c r="M1236" i="3"/>
  <c r="L1236" i="3"/>
  <c r="N1235" i="3"/>
  <c r="M1235" i="3"/>
  <c r="L1235" i="3"/>
  <c r="N1234" i="3"/>
  <c r="M1234" i="3"/>
  <c r="L1234" i="3"/>
  <c r="N1233" i="3"/>
  <c r="M1233" i="3"/>
  <c r="L1233" i="3"/>
  <c r="N1232" i="3"/>
  <c r="M1232" i="3"/>
  <c r="L1232" i="3"/>
  <c r="N1231" i="3"/>
  <c r="M1231" i="3"/>
  <c r="L1231" i="3"/>
  <c r="N1230" i="3"/>
  <c r="M1230" i="3"/>
  <c r="L1230" i="3"/>
  <c r="N1229" i="3"/>
  <c r="M1229" i="3"/>
  <c r="L1229" i="3"/>
  <c r="N1228" i="3"/>
  <c r="M1228" i="3"/>
  <c r="L1228" i="3"/>
  <c r="N1227" i="3"/>
  <c r="M1227" i="3"/>
  <c r="L1227" i="3"/>
  <c r="N1226" i="3"/>
  <c r="M1226" i="3"/>
  <c r="L1226" i="3"/>
  <c r="N1225" i="3"/>
  <c r="M1225" i="3"/>
  <c r="L1225" i="3"/>
  <c r="N1224" i="3"/>
  <c r="M1224" i="3"/>
  <c r="L1224" i="3"/>
  <c r="N1223" i="3"/>
  <c r="M1223" i="3"/>
  <c r="L1223" i="3"/>
  <c r="N1222" i="3"/>
  <c r="M1222" i="3"/>
  <c r="L1222" i="3"/>
  <c r="N1221" i="3"/>
  <c r="M1221" i="3"/>
  <c r="L1221" i="3"/>
  <c r="N1220" i="3"/>
  <c r="M1220" i="3"/>
  <c r="L1220" i="3"/>
  <c r="N1219" i="3"/>
  <c r="M1219" i="3"/>
  <c r="L1219" i="3"/>
  <c r="N1218" i="3"/>
  <c r="M1218" i="3"/>
  <c r="L1218" i="3"/>
  <c r="N1217" i="3"/>
  <c r="M1217" i="3"/>
  <c r="L1217" i="3"/>
  <c r="N1216" i="3"/>
  <c r="M1216" i="3"/>
  <c r="L1216" i="3"/>
  <c r="N1215" i="3"/>
  <c r="M1215" i="3"/>
  <c r="L1215" i="3"/>
  <c r="N1214" i="3"/>
  <c r="M1214" i="3"/>
  <c r="L1214" i="3"/>
  <c r="N1213" i="3"/>
  <c r="M1213" i="3"/>
  <c r="L1213" i="3"/>
  <c r="N1212" i="3"/>
  <c r="M1212" i="3"/>
  <c r="L1212" i="3"/>
  <c r="N1211" i="3"/>
  <c r="M1211" i="3"/>
  <c r="L1211" i="3"/>
  <c r="N1210" i="3"/>
  <c r="M1210" i="3"/>
  <c r="L1210" i="3"/>
  <c r="N1209" i="3"/>
  <c r="M1209" i="3"/>
  <c r="L1209" i="3"/>
  <c r="N1208" i="3"/>
  <c r="M1208" i="3"/>
  <c r="L1208" i="3"/>
  <c r="N1207" i="3"/>
  <c r="M1207" i="3"/>
  <c r="L1207" i="3"/>
  <c r="N1206" i="3"/>
  <c r="M1206" i="3"/>
  <c r="L1206" i="3"/>
  <c r="N1205" i="3"/>
  <c r="M1205" i="3"/>
  <c r="L1205" i="3"/>
  <c r="N1204" i="3"/>
  <c r="M1204" i="3"/>
  <c r="L1204" i="3"/>
  <c r="N1203" i="3"/>
  <c r="M1203" i="3"/>
  <c r="L1203" i="3"/>
  <c r="N1202" i="3"/>
  <c r="M1202" i="3"/>
  <c r="L1202" i="3"/>
  <c r="N1201" i="3"/>
  <c r="M1201" i="3"/>
  <c r="L1201" i="3"/>
  <c r="N1200" i="3"/>
  <c r="M1200" i="3"/>
  <c r="L1200" i="3"/>
  <c r="N1199" i="3"/>
  <c r="M1199" i="3"/>
  <c r="L1199" i="3"/>
  <c r="N1198" i="3"/>
  <c r="M1198" i="3"/>
  <c r="L1198" i="3"/>
  <c r="N1197" i="3"/>
  <c r="M1197" i="3"/>
  <c r="L1197" i="3"/>
  <c r="N1196" i="3"/>
  <c r="M1196" i="3"/>
  <c r="L1196" i="3"/>
  <c r="N1195" i="3"/>
  <c r="M1195" i="3"/>
  <c r="L1195" i="3"/>
  <c r="N1194" i="3"/>
  <c r="M1194" i="3"/>
  <c r="L1194" i="3"/>
  <c r="N1193" i="3"/>
  <c r="M1193" i="3"/>
  <c r="L1193" i="3"/>
  <c r="N1192" i="3"/>
  <c r="M1192" i="3"/>
  <c r="L1192" i="3"/>
  <c r="N1191" i="3"/>
  <c r="M1191" i="3"/>
  <c r="L1191" i="3"/>
  <c r="N1190" i="3"/>
  <c r="M1190" i="3"/>
  <c r="L1190" i="3"/>
  <c r="N1189" i="3"/>
  <c r="M1189" i="3"/>
  <c r="L1189" i="3"/>
  <c r="N1188" i="3"/>
  <c r="M1188" i="3"/>
  <c r="L1188" i="3"/>
  <c r="N1187" i="3"/>
  <c r="M1187" i="3"/>
  <c r="L1187" i="3"/>
  <c r="N1186" i="3"/>
  <c r="M1186" i="3"/>
  <c r="L1186" i="3"/>
  <c r="N1185" i="3"/>
  <c r="M1185" i="3"/>
  <c r="L1185" i="3"/>
  <c r="N1184" i="3"/>
  <c r="M1184" i="3"/>
  <c r="L1184" i="3"/>
  <c r="N1183" i="3"/>
  <c r="M1183" i="3"/>
  <c r="L1183" i="3"/>
  <c r="N1182" i="3"/>
  <c r="M1182" i="3"/>
  <c r="L1182" i="3"/>
  <c r="N1181" i="3"/>
  <c r="M1181" i="3"/>
  <c r="L1181" i="3"/>
  <c r="N1180" i="3"/>
  <c r="M1180" i="3"/>
  <c r="L1180" i="3"/>
  <c r="N1179" i="3"/>
  <c r="M1179" i="3"/>
  <c r="L1179" i="3"/>
  <c r="N1178" i="3"/>
  <c r="M1178" i="3"/>
  <c r="L1178" i="3"/>
  <c r="N1177" i="3"/>
  <c r="M1177" i="3"/>
  <c r="L1177" i="3"/>
  <c r="N1176" i="3"/>
  <c r="M1176" i="3"/>
  <c r="L1176" i="3"/>
  <c r="N1175" i="3"/>
  <c r="M1175" i="3"/>
  <c r="L1175" i="3"/>
  <c r="N1174" i="3"/>
  <c r="M1174" i="3"/>
  <c r="L1174" i="3"/>
  <c r="N1173" i="3"/>
  <c r="M1173" i="3"/>
  <c r="L1173" i="3"/>
  <c r="N1172" i="3"/>
  <c r="M1172" i="3"/>
  <c r="L1172" i="3"/>
  <c r="N1171" i="3"/>
  <c r="M1171" i="3"/>
  <c r="L1171" i="3"/>
  <c r="N1170" i="3"/>
  <c r="M1170" i="3"/>
  <c r="L1170" i="3"/>
  <c r="N1169" i="3"/>
  <c r="M1169" i="3"/>
  <c r="L1169" i="3"/>
  <c r="N1168" i="3"/>
  <c r="M1168" i="3"/>
  <c r="L1168" i="3"/>
  <c r="N1167" i="3"/>
  <c r="M1167" i="3"/>
  <c r="L1167" i="3"/>
  <c r="N1166" i="3"/>
  <c r="M1166" i="3"/>
  <c r="L1166" i="3"/>
  <c r="N1165" i="3"/>
  <c r="M1165" i="3"/>
  <c r="L1165" i="3"/>
  <c r="N1164" i="3"/>
  <c r="M1164" i="3"/>
  <c r="L1164" i="3"/>
  <c r="N1163" i="3"/>
  <c r="M1163" i="3"/>
  <c r="L1163" i="3"/>
  <c r="N1162" i="3"/>
  <c r="M1162" i="3"/>
  <c r="L1162" i="3"/>
  <c r="N1161" i="3"/>
  <c r="M1161" i="3"/>
  <c r="L1161" i="3"/>
  <c r="N1160" i="3"/>
  <c r="M1160" i="3"/>
  <c r="L1160" i="3"/>
  <c r="N1159" i="3"/>
  <c r="M1159" i="3"/>
  <c r="L1159" i="3"/>
  <c r="N1158" i="3"/>
  <c r="M1158" i="3"/>
  <c r="L1158" i="3"/>
  <c r="N1157" i="3"/>
  <c r="M1157" i="3"/>
  <c r="L1157" i="3"/>
  <c r="N1156" i="3"/>
  <c r="M1156" i="3"/>
  <c r="L1156" i="3"/>
  <c r="N1155" i="3"/>
  <c r="M1155" i="3"/>
  <c r="L1155" i="3"/>
  <c r="N1154" i="3"/>
  <c r="M1154" i="3"/>
  <c r="L1154" i="3"/>
  <c r="N1153" i="3"/>
  <c r="M1153" i="3"/>
  <c r="L1153" i="3"/>
  <c r="N1152" i="3"/>
  <c r="M1152" i="3"/>
  <c r="L1152" i="3"/>
  <c r="N1151" i="3"/>
  <c r="M1151" i="3"/>
  <c r="L1151" i="3"/>
  <c r="N1150" i="3"/>
  <c r="M1150" i="3"/>
  <c r="L1150" i="3"/>
  <c r="N1149" i="3"/>
  <c r="M1149" i="3"/>
  <c r="L1149" i="3"/>
  <c r="N1148" i="3"/>
  <c r="M1148" i="3"/>
  <c r="L1148" i="3"/>
  <c r="N1147" i="3"/>
  <c r="M1147" i="3"/>
  <c r="L1147" i="3"/>
  <c r="N1146" i="3"/>
  <c r="M1146" i="3"/>
  <c r="L1146" i="3"/>
  <c r="N1145" i="3"/>
  <c r="M1145" i="3"/>
  <c r="L1145" i="3"/>
  <c r="N1144" i="3"/>
  <c r="M1144" i="3"/>
  <c r="L1144" i="3"/>
  <c r="N1143" i="3"/>
  <c r="M1143" i="3"/>
  <c r="L1143" i="3"/>
  <c r="N1142" i="3"/>
  <c r="M1142" i="3"/>
  <c r="L1142" i="3"/>
  <c r="N1141" i="3"/>
  <c r="M1141" i="3"/>
  <c r="L1141" i="3"/>
  <c r="N1140" i="3"/>
  <c r="M1140" i="3"/>
  <c r="L1140" i="3"/>
  <c r="N1139" i="3"/>
  <c r="M1139" i="3"/>
  <c r="L1139" i="3"/>
  <c r="N1138" i="3"/>
  <c r="M1138" i="3"/>
  <c r="L1138" i="3"/>
  <c r="N1137" i="3"/>
  <c r="M1137" i="3"/>
  <c r="L1137" i="3"/>
  <c r="N1136" i="3"/>
  <c r="M1136" i="3"/>
  <c r="L1136" i="3"/>
  <c r="N1135" i="3"/>
  <c r="M1135" i="3"/>
  <c r="L1135" i="3"/>
  <c r="N1134" i="3"/>
  <c r="M1134" i="3"/>
  <c r="L1134" i="3"/>
  <c r="N1133" i="3"/>
  <c r="M1133" i="3"/>
  <c r="L1133" i="3"/>
  <c r="N1132" i="3"/>
  <c r="M1132" i="3"/>
  <c r="L1132" i="3"/>
  <c r="N1131" i="3"/>
  <c r="M1131" i="3"/>
  <c r="L1131" i="3"/>
  <c r="N1130" i="3"/>
  <c r="M1130" i="3"/>
  <c r="L1130" i="3"/>
  <c r="N1129" i="3"/>
  <c r="M1129" i="3"/>
  <c r="L1129" i="3"/>
  <c r="N1128" i="3"/>
  <c r="M1128" i="3"/>
  <c r="L1128" i="3"/>
  <c r="N1127" i="3"/>
  <c r="M1127" i="3"/>
  <c r="L1127" i="3"/>
  <c r="N1126" i="3"/>
  <c r="M1126" i="3"/>
  <c r="L1126" i="3"/>
  <c r="N1125" i="3"/>
  <c r="M1125" i="3"/>
  <c r="L1125" i="3"/>
  <c r="N1124" i="3"/>
  <c r="M1124" i="3"/>
  <c r="L1124" i="3"/>
  <c r="N1123" i="3"/>
  <c r="M1123" i="3"/>
  <c r="L1123" i="3"/>
  <c r="N1122" i="3"/>
  <c r="M1122" i="3"/>
  <c r="L1122" i="3"/>
  <c r="N1121" i="3"/>
  <c r="M1121" i="3"/>
  <c r="L1121" i="3"/>
  <c r="N1120" i="3"/>
  <c r="M1120" i="3"/>
  <c r="L1120" i="3"/>
  <c r="N1119" i="3"/>
  <c r="M1119" i="3"/>
  <c r="L1119" i="3"/>
  <c r="N1118" i="3"/>
  <c r="M1118" i="3"/>
  <c r="L1118" i="3"/>
  <c r="N1117" i="3"/>
  <c r="M1117" i="3"/>
  <c r="L1117" i="3"/>
  <c r="N1116" i="3"/>
  <c r="M1116" i="3"/>
  <c r="L1116" i="3"/>
  <c r="N1115" i="3"/>
  <c r="M1115" i="3"/>
  <c r="L1115" i="3"/>
  <c r="N1114" i="3"/>
  <c r="M1114" i="3"/>
  <c r="L1114" i="3"/>
  <c r="N1113" i="3"/>
  <c r="M1113" i="3"/>
  <c r="L1113" i="3"/>
  <c r="N1112" i="3"/>
  <c r="M1112" i="3"/>
  <c r="L1112" i="3"/>
  <c r="N1111" i="3"/>
  <c r="M1111" i="3"/>
  <c r="L1111" i="3"/>
  <c r="N1110" i="3"/>
  <c r="M1110" i="3"/>
  <c r="L1110" i="3"/>
  <c r="N1109" i="3"/>
  <c r="M1109" i="3"/>
  <c r="L1109" i="3"/>
  <c r="N1108" i="3"/>
  <c r="M1108" i="3"/>
  <c r="L1108" i="3"/>
  <c r="N1107" i="3"/>
  <c r="M1107" i="3"/>
  <c r="L1107" i="3"/>
  <c r="N1106" i="3"/>
  <c r="M1106" i="3"/>
  <c r="L1106" i="3"/>
  <c r="N1105" i="3"/>
  <c r="M1105" i="3"/>
  <c r="L1105" i="3"/>
  <c r="N1104" i="3"/>
  <c r="M1104" i="3"/>
  <c r="L1104" i="3"/>
  <c r="N1103" i="3"/>
  <c r="M1103" i="3"/>
  <c r="L1103" i="3"/>
  <c r="N1102" i="3"/>
  <c r="M1102" i="3"/>
  <c r="L1102" i="3"/>
  <c r="N1101" i="3"/>
  <c r="M1101" i="3"/>
  <c r="L1101" i="3"/>
  <c r="N1100" i="3"/>
  <c r="M1100" i="3"/>
  <c r="L1100" i="3"/>
  <c r="N1099" i="3"/>
  <c r="M1099" i="3"/>
  <c r="L1099" i="3"/>
  <c r="N1098" i="3"/>
  <c r="M1098" i="3"/>
  <c r="L1098" i="3"/>
  <c r="N1097" i="3"/>
  <c r="M1097" i="3"/>
  <c r="L1097" i="3"/>
  <c r="N1096" i="3"/>
  <c r="M1096" i="3"/>
  <c r="L1096" i="3"/>
  <c r="N1095" i="3"/>
  <c r="M1095" i="3"/>
  <c r="L1095" i="3"/>
  <c r="N1094" i="3"/>
  <c r="M1094" i="3"/>
  <c r="L1094" i="3"/>
  <c r="N1093" i="3"/>
  <c r="M1093" i="3"/>
  <c r="L1093" i="3"/>
  <c r="N1092" i="3"/>
  <c r="M1092" i="3"/>
  <c r="L1092" i="3"/>
  <c r="N1091" i="3"/>
  <c r="M1091" i="3"/>
  <c r="L1091" i="3"/>
  <c r="N1090" i="3"/>
  <c r="M1090" i="3"/>
  <c r="L1090" i="3"/>
  <c r="N1089" i="3"/>
  <c r="M1089" i="3"/>
  <c r="L1089" i="3"/>
  <c r="N1088" i="3"/>
  <c r="M1088" i="3"/>
  <c r="L1088" i="3"/>
  <c r="N1087" i="3"/>
  <c r="M1087" i="3"/>
  <c r="L1087" i="3"/>
  <c r="N1086" i="3"/>
  <c r="M1086" i="3"/>
  <c r="L1086" i="3"/>
  <c r="N1085" i="3"/>
  <c r="M1085" i="3"/>
  <c r="L1085" i="3"/>
  <c r="N1084" i="3"/>
  <c r="M1084" i="3"/>
  <c r="L1084" i="3"/>
  <c r="N1083" i="3"/>
  <c r="M1083" i="3"/>
  <c r="L1083" i="3"/>
  <c r="N1082" i="3"/>
  <c r="M1082" i="3"/>
  <c r="L1082" i="3"/>
  <c r="N1081" i="3"/>
  <c r="M1081" i="3"/>
  <c r="L1081" i="3"/>
  <c r="N1080" i="3"/>
  <c r="M1080" i="3"/>
  <c r="L1080" i="3"/>
  <c r="N1079" i="3"/>
  <c r="M1079" i="3"/>
  <c r="L1079" i="3"/>
  <c r="N1078" i="3"/>
  <c r="M1078" i="3"/>
  <c r="L1078" i="3"/>
  <c r="N1077" i="3"/>
  <c r="M1077" i="3"/>
  <c r="L1077" i="3"/>
  <c r="N1076" i="3"/>
  <c r="M1076" i="3"/>
  <c r="L1076" i="3"/>
  <c r="N1075" i="3"/>
  <c r="M1075" i="3"/>
  <c r="L1075" i="3"/>
  <c r="N1074" i="3"/>
  <c r="M1074" i="3"/>
  <c r="L1074" i="3"/>
  <c r="N1073" i="3"/>
  <c r="M1073" i="3"/>
  <c r="L1073" i="3"/>
  <c r="N1072" i="3"/>
  <c r="M1072" i="3"/>
  <c r="L1072" i="3"/>
  <c r="N1071" i="3"/>
  <c r="M1071" i="3"/>
  <c r="L1071" i="3"/>
  <c r="N1070" i="3"/>
  <c r="M1070" i="3"/>
  <c r="L1070" i="3"/>
  <c r="N1069" i="3"/>
  <c r="M1069" i="3"/>
  <c r="L1069" i="3"/>
  <c r="N1068" i="3"/>
  <c r="M1068" i="3"/>
  <c r="L1068" i="3"/>
  <c r="N1067" i="3"/>
  <c r="M1067" i="3"/>
  <c r="L1067" i="3"/>
  <c r="N1066" i="3"/>
  <c r="M1066" i="3"/>
  <c r="L1066" i="3"/>
  <c r="N1065" i="3"/>
  <c r="M1065" i="3"/>
  <c r="L1065" i="3"/>
  <c r="N1064" i="3"/>
  <c r="M1064" i="3"/>
  <c r="L1064" i="3"/>
  <c r="N1063" i="3"/>
  <c r="M1063" i="3"/>
  <c r="L1063" i="3"/>
  <c r="N1062" i="3"/>
  <c r="M1062" i="3"/>
  <c r="L1062" i="3"/>
  <c r="N1061" i="3"/>
  <c r="M1061" i="3"/>
  <c r="L1061" i="3"/>
  <c r="N1060" i="3"/>
  <c r="M1060" i="3"/>
  <c r="L1060" i="3"/>
  <c r="N1059" i="3"/>
  <c r="M1059" i="3"/>
  <c r="L1059" i="3"/>
  <c r="N1058" i="3"/>
  <c r="M1058" i="3"/>
  <c r="L1058" i="3"/>
  <c r="N1057" i="3"/>
  <c r="M1057" i="3"/>
  <c r="L1057" i="3"/>
  <c r="N1056" i="3"/>
  <c r="M1056" i="3"/>
  <c r="L1056" i="3"/>
  <c r="N1055" i="3"/>
  <c r="M1055" i="3"/>
  <c r="L1055" i="3"/>
  <c r="N1054" i="3"/>
  <c r="M1054" i="3"/>
  <c r="L1054" i="3"/>
  <c r="N1053" i="3"/>
  <c r="M1053" i="3"/>
  <c r="L1053" i="3"/>
  <c r="N1052" i="3"/>
  <c r="M1052" i="3"/>
  <c r="L1052" i="3"/>
  <c r="N1051" i="3"/>
  <c r="M1051" i="3"/>
  <c r="L1051" i="3"/>
  <c r="N1050" i="3"/>
  <c r="M1050" i="3"/>
  <c r="L1050" i="3"/>
  <c r="N1049" i="3"/>
  <c r="M1049" i="3"/>
  <c r="L1049" i="3"/>
  <c r="N1048" i="3"/>
  <c r="M1048" i="3"/>
  <c r="L1048" i="3"/>
  <c r="N1047" i="3"/>
  <c r="M1047" i="3"/>
  <c r="L1047" i="3"/>
  <c r="N1046" i="3"/>
  <c r="M1046" i="3"/>
  <c r="L1046" i="3"/>
  <c r="N1045" i="3"/>
  <c r="M1045" i="3"/>
  <c r="L1045" i="3"/>
  <c r="N1044" i="3"/>
  <c r="M1044" i="3"/>
  <c r="L1044" i="3"/>
  <c r="N1043" i="3"/>
  <c r="M1043" i="3"/>
  <c r="L1043" i="3"/>
  <c r="N1042" i="3"/>
  <c r="M1042" i="3"/>
  <c r="L1042" i="3"/>
  <c r="N1041" i="3"/>
  <c r="M1041" i="3"/>
  <c r="L1041" i="3"/>
  <c r="N1040" i="3"/>
  <c r="M1040" i="3"/>
  <c r="L1040" i="3"/>
  <c r="N1039" i="3"/>
  <c r="M1039" i="3"/>
  <c r="L1039" i="3"/>
  <c r="N1038" i="3"/>
  <c r="M1038" i="3"/>
  <c r="L1038" i="3"/>
  <c r="N1037" i="3"/>
  <c r="M1037" i="3"/>
  <c r="L1037" i="3"/>
  <c r="N1036" i="3"/>
  <c r="M1036" i="3"/>
  <c r="L1036" i="3"/>
  <c r="N1035" i="3"/>
  <c r="M1035" i="3"/>
  <c r="L1035" i="3"/>
  <c r="N1034" i="3"/>
  <c r="M1034" i="3"/>
  <c r="L1034" i="3"/>
  <c r="N1033" i="3"/>
  <c r="M1033" i="3"/>
  <c r="L1033" i="3"/>
  <c r="N1032" i="3"/>
  <c r="M1032" i="3"/>
  <c r="L1032" i="3"/>
  <c r="N1031" i="3"/>
  <c r="M1031" i="3"/>
  <c r="L1031" i="3"/>
  <c r="N1030" i="3"/>
  <c r="M1030" i="3"/>
  <c r="L1030" i="3"/>
  <c r="N1029" i="3"/>
  <c r="M1029" i="3"/>
  <c r="L1029" i="3"/>
  <c r="N1028" i="3"/>
  <c r="M1028" i="3"/>
  <c r="L1028" i="3"/>
  <c r="N1027" i="3"/>
  <c r="M1027" i="3"/>
  <c r="L1027" i="3"/>
  <c r="N1026" i="3"/>
  <c r="M1026" i="3"/>
  <c r="L1026" i="3"/>
  <c r="N1025" i="3"/>
  <c r="M1025" i="3"/>
  <c r="L1025" i="3"/>
  <c r="N1024" i="3"/>
  <c r="M1024" i="3"/>
  <c r="L1024" i="3"/>
  <c r="N1023" i="3"/>
  <c r="M1023" i="3"/>
  <c r="L1023" i="3"/>
  <c r="N1022" i="3"/>
  <c r="M1022" i="3"/>
  <c r="L1022" i="3"/>
  <c r="N1021" i="3"/>
  <c r="M1021" i="3"/>
  <c r="L1021" i="3"/>
  <c r="N1020" i="3"/>
  <c r="M1020" i="3"/>
  <c r="L1020" i="3"/>
  <c r="N1019" i="3"/>
  <c r="M1019" i="3"/>
  <c r="L1019" i="3"/>
  <c r="N1018" i="3"/>
  <c r="M1018" i="3"/>
  <c r="L1018" i="3"/>
  <c r="N1017" i="3"/>
  <c r="M1017" i="3"/>
  <c r="L1017" i="3"/>
  <c r="N1016" i="3"/>
  <c r="M1016" i="3"/>
  <c r="L1016" i="3"/>
  <c r="N1015" i="3"/>
  <c r="M1015" i="3"/>
  <c r="L1015" i="3"/>
  <c r="N1014" i="3"/>
  <c r="M1014" i="3"/>
  <c r="L1014" i="3"/>
  <c r="N1013" i="3"/>
  <c r="M1013" i="3"/>
  <c r="L1013" i="3"/>
  <c r="N1012" i="3"/>
  <c r="M1012" i="3"/>
  <c r="L1012" i="3"/>
  <c r="N1011" i="3"/>
  <c r="M1011" i="3"/>
  <c r="L1011" i="3"/>
  <c r="N1010" i="3"/>
  <c r="M1010" i="3"/>
  <c r="L1010" i="3"/>
  <c r="N1009" i="3"/>
  <c r="M1009" i="3"/>
  <c r="L1009" i="3"/>
  <c r="N1008" i="3"/>
  <c r="M1008" i="3"/>
  <c r="L1008" i="3"/>
  <c r="N1007" i="3"/>
  <c r="M1007" i="3"/>
  <c r="L1007" i="3"/>
  <c r="N1006" i="3"/>
  <c r="M1006" i="3"/>
  <c r="L1006" i="3"/>
  <c r="N1005" i="3"/>
  <c r="M1005" i="3"/>
  <c r="L1005" i="3"/>
  <c r="N1004" i="3"/>
  <c r="M1004" i="3"/>
  <c r="L1004" i="3"/>
  <c r="N1003" i="3"/>
  <c r="M1003" i="3"/>
  <c r="L1003" i="3"/>
  <c r="N1002" i="3"/>
  <c r="M1002" i="3"/>
  <c r="L1002" i="3"/>
  <c r="N1001" i="3"/>
  <c r="M1001" i="3"/>
  <c r="L1001" i="3"/>
  <c r="N1000" i="3"/>
  <c r="M1000" i="3"/>
  <c r="L1000" i="3"/>
  <c r="N999" i="3"/>
  <c r="M999" i="3"/>
  <c r="L999" i="3"/>
  <c r="N998" i="3"/>
  <c r="M998" i="3"/>
  <c r="L998" i="3"/>
  <c r="N997" i="3"/>
  <c r="M997" i="3"/>
  <c r="L997" i="3"/>
  <c r="N996" i="3"/>
  <c r="M996" i="3"/>
  <c r="L996" i="3"/>
  <c r="N995" i="3"/>
  <c r="M995" i="3"/>
  <c r="L995" i="3"/>
  <c r="N994" i="3"/>
  <c r="M994" i="3"/>
  <c r="L994" i="3"/>
  <c r="N993" i="3"/>
  <c r="M993" i="3"/>
  <c r="L993" i="3"/>
  <c r="N992" i="3"/>
  <c r="M992" i="3"/>
  <c r="L992" i="3"/>
  <c r="N991" i="3"/>
  <c r="M991" i="3"/>
  <c r="L991" i="3"/>
  <c r="N990" i="3"/>
  <c r="M990" i="3"/>
  <c r="L990" i="3"/>
  <c r="N989" i="3"/>
  <c r="M989" i="3"/>
  <c r="L989" i="3"/>
  <c r="N988" i="3"/>
  <c r="M988" i="3"/>
  <c r="L988" i="3"/>
  <c r="N987" i="3"/>
  <c r="M987" i="3"/>
  <c r="L987" i="3"/>
  <c r="N986" i="3"/>
  <c r="M986" i="3"/>
  <c r="L986" i="3"/>
  <c r="N985" i="3"/>
  <c r="M985" i="3"/>
  <c r="L985" i="3"/>
  <c r="N984" i="3"/>
  <c r="M984" i="3"/>
  <c r="L984" i="3"/>
  <c r="N983" i="3"/>
  <c r="M983" i="3"/>
  <c r="L983" i="3"/>
  <c r="N982" i="3"/>
  <c r="M982" i="3"/>
  <c r="L982" i="3"/>
  <c r="N981" i="3"/>
  <c r="M981" i="3"/>
  <c r="L981" i="3"/>
  <c r="N980" i="3"/>
  <c r="M980" i="3"/>
  <c r="L980" i="3"/>
  <c r="N979" i="3"/>
  <c r="M979" i="3"/>
  <c r="L979" i="3"/>
  <c r="N978" i="3"/>
  <c r="M978" i="3"/>
  <c r="L978" i="3"/>
  <c r="N977" i="3"/>
  <c r="M977" i="3"/>
  <c r="L977" i="3"/>
  <c r="N976" i="3"/>
  <c r="M976" i="3"/>
  <c r="L976" i="3"/>
  <c r="N975" i="3"/>
  <c r="M975" i="3"/>
  <c r="L975" i="3"/>
  <c r="N974" i="3"/>
  <c r="M974" i="3"/>
  <c r="L974" i="3"/>
  <c r="N973" i="3"/>
  <c r="M973" i="3"/>
  <c r="L973" i="3"/>
  <c r="N972" i="3"/>
  <c r="M972" i="3"/>
  <c r="L972" i="3"/>
  <c r="N971" i="3"/>
  <c r="M971" i="3"/>
  <c r="L971" i="3"/>
  <c r="N970" i="3"/>
  <c r="M970" i="3"/>
  <c r="L970" i="3"/>
  <c r="N969" i="3"/>
  <c r="M969" i="3"/>
  <c r="L969" i="3"/>
  <c r="N968" i="3"/>
  <c r="M968" i="3"/>
  <c r="L968" i="3"/>
  <c r="N967" i="3"/>
  <c r="M967" i="3"/>
  <c r="L967" i="3"/>
  <c r="N966" i="3"/>
  <c r="M966" i="3"/>
  <c r="L966" i="3"/>
  <c r="N965" i="3"/>
  <c r="M965" i="3"/>
  <c r="L965" i="3"/>
  <c r="N964" i="3"/>
  <c r="M964" i="3"/>
  <c r="L964" i="3"/>
  <c r="N963" i="3"/>
  <c r="M963" i="3"/>
  <c r="L963" i="3"/>
  <c r="N962" i="3"/>
  <c r="M962" i="3"/>
  <c r="L962" i="3"/>
  <c r="N961" i="3"/>
  <c r="M961" i="3"/>
  <c r="L961" i="3"/>
  <c r="N960" i="3"/>
  <c r="M960" i="3"/>
  <c r="L960" i="3"/>
  <c r="N959" i="3"/>
  <c r="M959" i="3"/>
  <c r="L959" i="3"/>
  <c r="N958" i="3"/>
  <c r="M958" i="3"/>
  <c r="L958" i="3"/>
  <c r="N957" i="3"/>
  <c r="M957" i="3"/>
  <c r="L957" i="3"/>
  <c r="N956" i="3"/>
  <c r="M956" i="3"/>
  <c r="L956" i="3"/>
  <c r="N955" i="3"/>
  <c r="M955" i="3"/>
  <c r="L955" i="3"/>
  <c r="N954" i="3"/>
  <c r="M954" i="3"/>
  <c r="L954" i="3"/>
  <c r="N953" i="3"/>
  <c r="M953" i="3"/>
  <c r="L953" i="3"/>
  <c r="N952" i="3"/>
  <c r="M952" i="3"/>
  <c r="L952" i="3"/>
  <c r="N951" i="3"/>
  <c r="M951" i="3"/>
  <c r="L951" i="3"/>
  <c r="N950" i="3"/>
  <c r="M950" i="3"/>
  <c r="L950" i="3"/>
  <c r="N949" i="3"/>
  <c r="M949" i="3"/>
  <c r="L949" i="3"/>
  <c r="N948" i="3"/>
  <c r="M948" i="3"/>
  <c r="L948" i="3"/>
  <c r="N947" i="3"/>
  <c r="M947" i="3"/>
  <c r="L947" i="3"/>
  <c r="N946" i="3"/>
  <c r="M946" i="3"/>
  <c r="L946" i="3"/>
  <c r="N945" i="3"/>
  <c r="M945" i="3"/>
  <c r="L945" i="3"/>
  <c r="N944" i="3"/>
  <c r="M944" i="3"/>
  <c r="L944" i="3"/>
  <c r="N943" i="3"/>
  <c r="M943" i="3"/>
  <c r="L943" i="3"/>
  <c r="N942" i="3"/>
  <c r="M942" i="3"/>
  <c r="L942" i="3"/>
  <c r="N941" i="3"/>
  <c r="M941" i="3"/>
  <c r="L941" i="3"/>
  <c r="N940" i="3"/>
  <c r="M940" i="3"/>
  <c r="L940" i="3"/>
  <c r="N939" i="3"/>
  <c r="M939" i="3"/>
  <c r="L939" i="3"/>
  <c r="N938" i="3"/>
  <c r="M938" i="3"/>
  <c r="L938" i="3"/>
  <c r="N937" i="3"/>
  <c r="M937" i="3"/>
  <c r="L937" i="3"/>
  <c r="N936" i="3"/>
  <c r="M936" i="3"/>
  <c r="L936" i="3"/>
  <c r="N935" i="3"/>
  <c r="M935" i="3"/>
  <c r="L935" i="3"/>
  <c r="N934" i="3"/>
  <c r="M934" i="3"/>
  <c r="L934" i="3"/>
  <c r="N933" i="3"/>
  <c r="M933" i="3"/>
  <c r="L933" i="3"/>
  <c r="N932" i="3"/>
  <c r="M932" i="3"/>
  <c r="L932" i="3"/>
  <c r="N931" i="3"/>
  <c r="M931" i="3"/>
  <c r="L931" i="3"/>
  <c r="N930" i="3"/>
  <c r="M930" i="3"/>
  <c r="L930" i="3"/>
  <c r="N929" i="3"/>
  <c r="M929" i="3"/>
  <c r="L929" i="3"/>
  <c r="N928" i="3"/>
  <c r="M928" i="3"/>
  <c r="L928" i="3"/>
  <c r="N927" i="3"/>
  <c r="M927" i="3"/>
  <c r="L927" i="3"/>
  <c r="N926" i="3"/>
  <c r="M926" i="3"/>
  <c r="L926" i="3"/>
  <c r="N925" i="3"/>
  <c r="M925" i="3"/>
  <c r="L925" i="3"/>
  <c r="N924" i="3"/>
  <c r="M924" i="3"/>
  <c r="L924" i="3"/>
  <c r="N923" i="3"/>
  <c r="M923" i="3"/>
  <c r="L923" i="3"/>
  <c r="N922" i="3"/>
  <c r="M922" i="3"/>
  <c r="L922" i="3"/>
  <c r="N921" i="3"/>
  <c r="M921" i="3"/>
  <c r="L921" i="3"/>
  <c r="N920" i="3"/>
  <c r="M920" i="3"/>
  <c r="L920" i="3"/>
  <c r="N919" i="3"/>
  <c r="M919" i="3"/>
  <c r="L919" i="3"/>
  <c r="N918" i="3"/>
  <c r="M918" i="3"/>
  <c r="L918" i="3"/>
  <c r="N917" i="3"/>
  <c r="M917" i="3"/>
  <c r="L917" i="3"/>
  <c r="N916" i="3"/>
  <c r="M916" i="3"/>
  <c r="L916" i="3"/>
  <c r="N915" i="3"/>
  <c r="M915" i="3"/>
  <c r="L915" i="3"/>
  <c r="N914" i="3"/>
  <c r="M914" i="3"/>
  <c r="L914" i="3"/>
  <c r="N913" i="3"/>
  <c r="M913" i="3"/>
  <c r="L913" i="3"/>
  <c r="N912" i="3"/>
  <c r="M912" i="3"/>
  <c r="L912" i="3"/>
  <c r="N911" i="3"/>
  <c r="M911" i="3"/>
  <c r="L911" i="3"/>
  <c r="N910" i="3"/>
  <c r="M910" i="3"/>
  <c r="L910" i="3"/>
  <c r="N909" i="3"/>
  <c r="M909" i="3"/>
  <c r="L909" i="3"/>
  <c r="N908" i="3"/>
  <c r="M908" i="3"/>
  <c r="L908" i="3"/>
  <c r="N907" i="3"/>
  <c r="M907" i="3"/>
  <c r="L907" i="3"/>
  <c r="N906" i="3"/>
  <c r="M906" i="3"/>
  <c r="L906" i="3"/>
  <c r="N905" i="3"/>
  <c r="M905" i="3"/>
  <c r="L905" i="3"/>
  <c r="N904" i="3"/>
  <c r="M904" i="3"/>
  <c r="L904" i="3"/>
  <c r="N903" i="3"/>
  <c r="M903" i="3"/>
  <c r="L903" i="3"/>
  <c r="N902" i="3"/>
  <c r="M902" i="3"/>
  <c r="L902" i="3"/>
  <c r="N901" i="3"/>
  <c r="M901" i="3"/>
  <c r="L901" i="3"/>
  <c r="N900" i="3"/>
  <c r="M900" i="3"/>
  <c r="L900" i="3"/>
  <c r="N899" i="3"/>
  <c r="M899" i="3"/>
  <c r="L899" i="3"/>
  <c r="N898" i="3"/>
  <c r="M898" i="3"/>
  <c r="L898" i="3"/>
  <c r="N897" i="3"/>
  <c r="M897" i="3"/>
  <c r="L897" i="3"/>
  <c r="N896" i="3"/>
  <c r="M896" i="3"/>
  <c r="L896" i="3"/>
  <c r="N895" i="3"/>
  <c r="M895" i="3"/>
  <c r="L895" i="3"/>
  <c r="N894" i="3"/>
  <c r="M894" i="3"/>
  <c r="L894" i="3"/>
  <c r="N893" i="3"/>
  <c r="M893" i="3"/>
  <c r="L893" i="3"/>
  <c r="N892" i="3"/>
  <c r="M892" i="3"/>
  <c r="L892" i="3"/>
  <c r="N891" i="3"/>
  <c r="M891" i="3"/>
  <c r="L891" i="3"/>
  <c r="N890" i="3"/>
  <c r="M890" i="3"/>
  <c r="L890" i="3"/>
  <c r="N889" i="3"/>
  <c r="M889" i="3"/>
  <c r="L889" i="3"/>
  <c r="N888" i="3"/>
  <c r="M888" i="3"/>
  <c r="L888" i="3"/>
  <c r="N887" i="3"/>
  <c r="M887" i="3"/>
  <c r="L887" i="3"/>
  <c r="N886" i="3"/>
  <c r="M886" i="3"/>
  <c r="L886" i="3"/>
  <c r="N885" i="3"/>
  <c r="M885" i="3"/>
  <c r="L885" i="3"/>
  <c r="N884" i="3"/>
  <c r="M884" i="3"/>
  <c r="L884" i="3"/>
  <c r="N883" i="3"/>
  <c r="M883" i="3"/>
  <c r="L883" i="3"/>
  <c r="N882" i="3"/>
  <c r="M882" i="3"/>
  <c r="L882" i="3"/>
  <c r="N881" i="3"/>
  <c r="M881" i="3"/>
  <c r="L881" i="3"/>
  <c r="N880" i="3"/>
  <c r="M880" i="3"/>
  <c r="L880" i="3"/>
  <c r="N879" i="3"/>
  <c r="M879" i="3"/>
  <c r="L879" i="3"/>
  <c r="N878" i="3"/>
  <c r="M878" i="3"/>
  <c r="L878" i="3"/>
  <c r="N877" i="3"/>
  <c r="M877" i="3"/>
  <c r="L877" i="3"/>
  <c r="N876" i="3"/>
  <c r="M876" i="3"/>
  <c r="L876" i="3"/>
  <c r="N875" i="3"/>
  <c r="M875" i="3"/>
  <c r="L875" i="3"/>
  <c r="N874" i="3"/>
  <c r="M874" i="3"/>
  <c r="L874" i="3"/>
  <c r="N873" i="3"/>
  <c r="M873" i="3"/>
  <c r="L873" i="3"/>
  <c r="N872" i="3"/>
  <c r="M872" i="3"/>
  <c r="L872" i="3"/>
  <c r="N871" i="3"/>
  <c r="M871" i="3"/>
  <c r="L871" i="3"/>
  <c r="N870" i="3"/>
  <c r="M870" i="3"/>
  <c r="L870" i="3"/>
  <c r="N869" i="3"/>
  <c r="M869" i="3"/>
  <c r="L869" i="3"/>
  <c r="N868" i="3"/>
  <c r="M868" i="3"/>
  <c r="L868" i="3"/>
  <c r="N867" i="3"/>
  <c r="M867" i="3"/>
  <c r="L867" i="3"/>
  <c r="N866" i="3"/>
  <c r="M866" i="3"/>
  <c r="L866" i="3"/>
  <c r="N865" i="3"/>
  <c r="M865" i="3"/>
  <c r="L865" i="3"/>
  <c r="N864" i="3"/>
  <c r="M864" i="3"/>
  <c r="L864" i="3"/>
  <c r="N863" i="3"/>
  <c r="M863" i="3"/>
  <c r="L863" i="3"/>
  <c r="N862" i="3"/>
  <c r="M862" i="3"/>
  <c r="L862" i="3"/>
  <c r="N861" i="3"/>
  <c r="M861" i="3"/>
  <c r="L861" i="3"/>
  <c r="N860" i="3"/>
  <c r="M860" i="3"/>
  <c r="L860" i="3"/>
  <c r="N859" i="3"/>
  <c r="M859" i="3"/>
  <c r="L859" i="3"/>
  <c r="N858" i="3"/>
  <c r="M858" i="3"/>
  <c r="L858" i="3"/>
  <c r="N857" i="3"/>
  <c r="M857" i="3"/>
  <c r="L857" i="3"/>
  <c r="N856" i="3"/>
  <c r="M856" i="3"/>
  <c r="L856" i="3"/>
  <c r="N855" i="3"/>
  <c r="M855" i="3"/>
  <c r="L855" i="3"/>
  <c r="N854" i="3"/>
  <c r="M854" i="3"/>
  <c r="L854" i="3"/>
  <c r="N853" i="3"/>
  <c r="M853" i="3"/>
  <c r="L853" i="3"/>
  <c r="N852" i="3"/>
  <c r="M852" i="3"/>
  <c r="L852" i="3"/>
  <c r="N851" i="3"/>
  <c r="M851" i="3"/>
  <c r="L851" i="3"/>
  <c r="N850" i="3"/>
  <c r="M850" i="3"/>
  <c r="L850" i="3"/>
  <c r="N849" i="3"/>
  <c r="M849" i="3"/>
  <c r="L849" i="3"/>
  <c r="N848" i="3"/>
  <c r="M848" i="3"/>
  <c r="L848" i="3"/>
  <c r="N847" i="3"/>
  <c r="M847" i="3"/>
  <c r="L847" i="3"/>
  <c r="N846" i="3"/>
  <c r="M846" i="3"/>
  <c r="L846" i="3"/>
  <c r="N845" i="3"/>
  <c r="M845" i="3"/>
  <c r="L845" i="3"/>
  <c r="N844" i="3"/>
  <c r="M844" i="3"/>
  <c r="L844" i="3"/>
  <c r="N843" i="3"/>
  <c r="M843" i="3"/>
  <c r="L843" i="3"/>
  <c r="N842" i="3"/>
  <c r="M842" i="3"/>
  <c r="L842" i="3"/>
  <c r="N841" i="3"/>
  <c r="M841" i="3"/>
  <c r="L841" i="3"/>
  <c r="N840" i="3"/>
  <c r="M840" i="3"/>
  <c r="L840" i="3"/>
  <c r="N839" i="3"/>
  <c r="M839" i="3"/>
  <c r="L839" i="3"/>
  <c r="N838" i="3"/>
  <c r="M838" i="3"/>
  <c r="L838" i="3"/>
  <c r="N837" i="3"/>
  <c r="M837" i="3"/>
  <c r="L837" i="3"/>
  <c r="N836" i="3"/>
  <c r="M836" i="3"/>
  <c r="L836" i="3"/>
  <c r="N835" i="3"/>
  <c r="M835" i="3"/>
  <c r="L835" i="3"/>
  <c r="N834" i="3"/>
  <c r="M834" i="3"/>
  <c r="L834" i="3"/>
  <c r="N833" i="3"/>
  <c r="M833" i="3"/>
  <c r="L833" i="3"/>
  <c r="N832" i="3"/>
  <c r="M832" i="3"/>
  <c r="L832" i="3"/>
  <c r="N831" i="3"/>
  <c r="M831" i="3"/>
  <c r="L831" i="3"/>
  <c r="N830" i="3"/>
  <c r="M830" i="3"/>
  <c r="L830" i="3"/>
  <c r="N829" i="3"/>
  <c r="M829" i="3"/>
  <c r="L829" i="3"/>
  <c r="N828" i="3"/>
  <c r="M828" i="3"/>
  <c r="L828" i="3"/>
  <c r="N827" i="3"/>
  <c r="M827" i="3"/>
  <c r="L827" i="3"/>
  <c r="N826" i="3"/>
  <c r="M826" i="3"/>
  <c r="L826" i="3"/>
  <c r="N825" i="3"/>
  <c r="M825" i="3"/>
  <c r="L825" i="3"/>
  <c r="N824" i="3"/>
  <c r="M824" i="3"/>
  <c r="L824" i="3"/>
  <c r="N823" i="3"/>
  <c r="M823" i="3"/>
  <c r="L823" i="3"/>
  <c r="N822" i="3"/>
  <c r="M822" i="3"/>
  <c r="L822" i="3"/>
  <c r="N821" i="3"/>
  <c r="M821" i="3"/>
  <c r="L821" i="3"/>
  <c r="N820" i="3"/>
  <c r="M820" i="3"/>
  <c r="L820" i="3"/>
  <c r="N819" i="3"/>
  <c r="M819" i="3"/>
  <c r="L819" i="3"/>
  <c r="N818" i="3"/>
  <c r="M818" i="3"/>
  <c r="L818" i="3"/>
  <c r="N817" i="3"/>
  <c r="M817" i="3"/>
  <c r="L817" i="3"/>
  <c r="N816" i="3"/>
  <c r="M816" i="3"/>
  <c r="L816" i="3"/>
  <c r="N815" i="3"/>
  <c r="M815" i="3"/>
  <c r="L815" i="3"/>
  <c r="N814" i="3"/>
  <c r="M814" i="3"/>
  <c r="L814" i="3"/>
  <c r="N813" i="3"/>
  <c r="M813" i="3"/>
  <c r="L813" i="3"/>
  <c r="N812" i="3"/>
  <c r="M812" i="3"/>
  <c r="L812" i="3"/>
  <c r="N811" i="3"/>
  <c r="M811" i="3"/>
  <c r="L811" i="3"/>
  <c r="N810" i="3"/>
  <c r="M810" i="3"/>
  <c r="L810" i="3"/>
  <c r="N809" i="3"/>
  <c r="M809" i="3"/>
  <c r="L809" i="3"/>
  <c r="N808" i="3"/>
  <c r="M808" i="3"/>
  <c r="L808" i="3"/>
  <c r="N807" i="3"/>
  <c r="M807" i="3"/>
  <c r="L807" i="3"/>
  <c r="N806" i="3"/>
  <c r="M806" i="3"/>
  <c r="L806" i="3"/>
  <c r="N805" i="3"/>
  <c r="M805" i="3"/>
  <c r="L805" i="3"/>
  <c r="N804" i="3"/>
  <c r="M804" i="3"/>
  <c r="L804" i="3"/>
  <c r="N803" i="3"/>
  <c r="M803" i="3"/>
  <c r="L803" i="3"/>
  <c r="N802" i="3"/>
  <c r="M802" i="3"/>
  <c r="L802" i="3"/>
  <c r="N801" i="3"/>
  <c r="M801" i="3"/>
  <c r="L801" i="3"/>
  <c r="N800" i="3"/>
  <c r="M800" i="3"/>
  <c r="L800" i="3"/>
  <c r="N799" i="3"/>
  <c r="M799" i="3"/>
  <c r="L799" i="3"/>
  <c r="N798" i="3"/>
  <c r="M798" i="3"/>
  <c r="L798" i="3"/>
  <c r="N797" i="3"/>
  <c r="M797" i="3"/>
  <c r="L797" i="3"/>
  <c r="N796" i="3"/>
  <c r="M796" i="3"/>
  <c r="L796" i="3"/>
  <c r="N795" i="3"/>
  <c r="M795" i="3"/>
  <c r="L795" i="3"/>
  <c r="N794" i="3"/>
  <c r="M794" i="3"/>
  <c r="L794" i="3"/>
  <c r="N793" i="3"/>
  <c r="M793" i="3"/>
  <c r="L793" i="3"/>
  <c r="N792" i="3"/>
  <c r="M792" i="3"/>
  <c r="L792" i="3"/>
  <c r="N791" i="3"/>
  <c r="M791" i="3"/>
  <c r="L791" i="3"/>
  <c r="N790" i="3"/>
  <c r="M790" i="3"/>
  <c r="L790" i="3"/>
  <c r="N789" i="3"/>
  <c r="M789" i="3"/>
  <c r="L789" i="3"/>
  <c r="N788" i="3"/>
  <c r="M788" i="3"/>
  <c r="L788" i="3"/>
  <c r="N787" i="3"/>
  <c r="M787" i="3"/>
  <c r="L787" i="3"/>
  <c r="N786" i="3"/>
  <c r="M786" i="3"/>
  <c r="L786" i="3"/>
  <c r="N785" i="3"/>
  <c r="M785" i="3"/>
  <c r="L785" i="3"/>
  <c r="N784" i="3"/>
  <c r="M784" i="3"/>
  <c r="L784" i="3"/>
  <c r="N783" i="3"/>
  <c r="M783" i="3"/>
  <c r="L783" i="3"/>
  <c r="N782" i="3"/>
  <c r="M782" i="3"/>
  <c r="L782" i="3"/>
  <c r="N781" i="3"/>
  <c r="M781" i="3"/>
  <c r="L781" i="3"/>
  <c r="N780" i="3"/>
  <c r="M780" i="3"/>
  <c r="L780" i="3"/>
  <c r="N779" i="3"/>
  <c r="M779" i="3"/>
  <c r="L779" i="3"/>
  <c r="N778" i="3"/>
  <c r="M778" i="3"/>
  <c r="L778" i="3"/>
  <c r="N777" i="3"/>
  <c r="M777" i="3"/>
  <c r="L777" i="3"/>
  <c r="N776" i="3"/>
  <c r="M776" i="3"/>
  <c r="L776" i="3"/>
  <c r="N775" i="3"/>
  <c r="M775" i="3"/>
  <c r="L775" i="3"/>
  <c r="N774" i="3"/>
  <c r="M774" i="3"/>
  <c r="L774" i="3"/>
  <c r="N773" i="3"/>
  <c r="M773" i="3"/>
  <c r="L773" i="3"/>
  <c r="N772" i="3"/>
  <c r="M772" i="3"/>
  <c r="L772" i="3"/>
  <c r="N771" i="3"/>
  <c r="M771" i="3"/>
  <c r="L771" i="3"/>
  <c r="N770" i="3"/>
  <c r="M770" i="3"/>
  <c r="L770" i="3"/>
  <c r="N769" i="3"/>
  <c r="M769" i="3"/>
  <c r="L769" i="3"/>
  <c r="N768" i="3"/>
  <c r="M768" i="3"/>
  <c r="L768" i="3"/>
  <c r="N767" i="3"/>
  <c r="M767" i="3"/>
  <c r="L767" i="3"/>
  <c r="N766" i="3"/>
  <c r="M766" i="3"/>
  <c r="L766" i="3"/>
  <c r="N765" i="3"/>
  <c r="M765" i="3"/>
  <c r="L765" i="3"/>
  <c r="N764" i="3"/>
  <c r="M764" i="3"/>
  <c r="L764" i="3"/>
  <c r="N763" i="3"/>
  <c r="M763" i="3"/>
  <c r="L763" i="3"/>
  <c r="N762" i="3"/>
  <c r="M762" i="3"/>
  <c r="L762" i="3"/>
  <c r="N761" i="3"/>
  <c r="M761" i="3"/>
  <c r="L761" i="3"/>
  <c r="N760" i="3"/>
  <c r="M760" i="3"/>
  <c r="L760" i="3"/>
  <c r="N759" i="3"/>
  <c r="M759" i="3"/>
  <c r="L759" i="3"/>
  <c r="N758" i="3"/>
  <c r="M758" i="3"/>
  <c r="L758" i="3"/>
  <c r="N757" i="3"/>
  <c r="M757" i="3"/>
  <c r="L757" i="3"/>
  <c r="N756" i="3"/>
  <c r="M756" i="3"/>
  <c r="L756" i="3"/>
  <c r="N755" i="3"/>
  <c r="M755" i="3"/>
  <c r="L755" i="3"/>
  <c r="N754" i="3"/>
  <c r="M754" i="3"/>
  <c r="L754" i="3"/>
  <c r="N753" i="3"/>
  <c r="M753" i="3"/>
  <c r="L753" i="3"/>
  <c r="N752" i="3"/>
  <c r="M752" i="3"/>
  <c r="L752" i="3"/>
  <c r="N751" i="3"/>
  <c r="M751" i="3"/>
  <c r="L751" i="3"/>
  <c r="N750" i="3"/>
  <c r="M750" i="3"/>
  <c r="L750" i="3"/>
  <c r="N749" i="3"/>
  <c r="M749" i="3"/>
  <c r="L749" i="3"/>
  <c r="N748" i="3"/>
  <c r="M748" i="3"/>
  <c r="L748" i="3"/>
  <c r="N747" i="3"/>
  <c r="M747" i="3"/>
  <c r="L747" i="3"/>
  <c r="N746" i="3"/>
  <c r="M746" i="3"/>
  <c r="L746" i="3"/>
  <c r="N745" i="3"/>
  <c r="M745" i="3"/>
  <c r="L745" i="3"/>
  <c r="N744" i="3"/>
  <c r="M744" i="3"/>
  <c r="L744" i="3"/>
  <c r="N743" i="3"/>
  <c r="M743" i="3"/>
  <c r="L743" i="3"/>
  <c r="N742" i="3"/>
  <c r="M742" i="3"/>
  <c r="L742" i="3"/>
  <c r="N741" i="3"/>
  <c r="M741" i="3"/>
  <c r="L741" i="3"/>
  <c r="N740" i="3"/>
  <c r="M740" i="3"/>
  <c r="L740" i="3"/>
  <c r="N739" i="3"/>
  <c r="M739" i="3"/>
  <c r="L739" i="3"/>
  <c r="N738" i="3"/>
  <c r="M738" i="3"/>
  <c r="L738" i="3"/>
  <c r="N737" i="3"/>
  <c r="M737" i="3"/>
  <c r="L737" i="3"/>
  <c r="N736" i="3"/>
  <c r="M736" i="3"/>
  <c r="L736" i="3"/>
  <c r="N735" i="3"/>
  <c r="M735" i="3"/>
  <c r="L735" i="3"/>
  <c r="N734" i="3"/>
  <c r="M734" i="3"/>
  <c r="L734" i="3"/>
  <c r="N733" i="3"/>
  <c r="M733" i="3"/>
  <c r="L733" i="3"/>
  <c r="N732" i="3"/>
  <c r="M732" i="3"/>
  <c r="L732" i="3"/>
  <c r="N731" i="3"/>
  <c r="M731" i="3"/>
  <c r="L731" i="3"/>
  <c r="N730" i="3"/>
  <c r="M730" i="3"/>
  <c r="L730" i="3"/>
  <c r="N729" i="3"/>
  <c r="M729" i="3"/>
  <c r="L729" i="3"/>
  <c r="N728" i="3"/>
  <c r="M728" i="3"/>
  <c r="L728" i="3"/>
  <c r="N727" i="3"/>
  <c r="M727" i="3"/>
  <c r="L727" i="3"/>
  <c r="N726" i="3"/>
  <c r="M726" i="3"/>
  <c r="L726" i="3"/>
  <c r="N725" i="3"/>
  <c r="M725" i="3"/>
  <c r="L725" i="3"/>
  <c r="N724" i="3"/>
  <c r="M724" i="3"/>
  <c r="L724" i="3"/>
  <c r="N723" i="3"/>
  <c r="M723" i="3"/>
  <c r="L723" i="3"/>
  <c r="N722" i="3"/>
  <c r="M722" i="3"/>
  <c r="L722" i="3"/>
  <c r="N721" i="3"/>
  <c r="M721" i="3"/>
  <c r="L721" i="3"/>
  <c r="N720" i="3"/>
  <c r="M720" i="3"/>
  <c r="L720" i="3"/>
  <c r="N719" i="3"/>
  <c r="M719" i="3"/>
  <c r="L719" i="3"/>
  <c r="N718" i="3"/>
  <c r="M718" i="3"/>
  <c r="L718" i="3"/>
  <c r="N717" i="3"/>
  <c r="M717" i="3"/>
  <c r="L717" i="3"/>
  <c r="N716" i="3"/>
  <c r="M716" i="3"/>
  <c r="L716" i="3"/>
  <c r="N715" i="3"/>
  <c r="M715" i="3"/>
  <c r="L715" i="3"/>
  <c r="N714" i="3"/>
  <c r="M714" i="3"/>
  <c r="L714" i="3"/>
  <c r="N713" i="3"/>
  <c r="M713" i="3"/>
  <c r="L713" i="3"/>
  <c r="N712" i="3"/>
  <c r="M712" i="3"/>
  <c r="L712" i="3"/>
  <c r="N711" i="3"/>
  <c r="M711" i="3"/>
  <c r="L711" i="3"/>
  <c r="N710" i="3"/>
  <c r="M710" i="3"/>
  <c r="L710" i="3"/>
  <c r="N709" i="3"/>
  <c r="M709" i="3"/>
  <c r="L709" i="3"/>
  <c r="N708" i="3"/>
  <c r="M708" i="3"/>
  <c r="L708" i="3"/>
  <c r="N707" i="3"/>
  <c r="M707" i="3"/>
  <c r="L707" i="3"/>
  <c r="N706" i="3"/>
  <c r="M706" i="3"/>
  <c r="L706" i="3"/>
  <c r="N705" i="3"/>
  <c r="M705" i="3"/>
  <c r="L705" i="3"/>
  <c r="N704" i="3"/>
  <c r="M704" i="3"/>
  <c r="L704" i="3"/>
  <c r="N703" i="3"/>
  <c r="M703" i="3"/>
  <c r="L703" i="3"/>
  <c r="N702" i="3"/>
  <c r="M702" i="3"/>
  <c r="L702" i="3"/>
  <c r="N701" i="3"/>
  <c r="M701" i="3"/>
  <c r="L701" i="3"/>
  <c r="N700" i="3"/>
  <c r="M700" i="3"/>
  <c r="L700" i="3"/>
  <c r="N699" i="3"/>
  <c r="M699" i="3"/>
  <c r="L699" i="3"/>
  <c r="N698" i="3"/>
  <c r="M698" i="3"/>
  <c r="L698" i="3"/>
  <c r="N697" i="3"/>
  <c r="M697" i="3"/>
  <c r="L697" i="3"/>
  <c r="N696" i="3"/>
  <c r="M696" i="3"/>
  <c r="L696" i="3"/>
  <c r="N695" i="3"/>
  <c r="M695" i="3"/>
  <c r="L695" i="3"/>
  <c r="N694" i="3"/>
  <c r="M694" i="3"/>
  <c r="L694" i="3"/>
  <c r="N693" i="3"/>
  <c r="M693" i="3"/>
  <c r="L693" i="3"/>
  <c r="N692" i="3"/>
  <c r="M692" i="3"/>
  <c r="L692" i="3"/>
  <c r="N691" i="3"/>
  <c r="M691" i="3"/>
  <c r="L691" i="3"/>
  <c r="N690" i="3"/>
  <c r="M690" i="3"/>
  <c r="L690" i="3"/>
  <c r="N689" i="3"/>
  <c r="M689" i="3"/>
  <c r="L689" i="3"/>
  <c r="N688" i="3"/>
  <c r="M688" i="3"/>
  <c r="L688" i="3"/>
  <c r="N687" i="3"/>
  <c r="M687" i="3"/>
  <c r="L687" i="3"/>
  <c r="N686" i="3"/>
  <c r="M686" i="3"/>
  <c r="L686" i="3"/>
  <c r="N685" i="3"/>
  <c r="M685" i="3"/>
  <c r="L685" i="3"/>
  <c r="N684" i="3"/>
  <c r="M684" i="3"/>
  <c r="L684" i="3"/>
  <c r="N683" i="3"/>
  <c r="M683" i="3"/>
  <c r="L683" i="3"/>
  <c r="N682" i="3"/>
  <c r="M682" i="3"/>
  <c r="L682" i="3"/>
  <c r="N681" i="3"/>
  <c r="M681" i="3"/>
  <c r="L681" i="3"/>
  <c r="N680" i="3"/>
  <c r="M680" i="3"/>
  <c r="L680" i="3"/>
  <c r="N679" i="3"/>
  <c r="M679" i="3"/>
  <c r="L679" i="3"/>
  <c r="N678" i="3"/>
  <c r="M678" i="3"/>
  <c r="L678" i="3"/>
  <c r="N677" i="3"/>
  <c r="M677" i="3"/>
  <c r="L677" i="3"/>
  <c r="N676" i="3"/>
  <c r="M676" i="3"/>
  <c r="L676" i="3"/>
  <c r="N675" i="3"/>
  <c r="M675" i="3"/>
  <c r="L675" i="3"/>
  <c r="N674" i="3"/>
  <c r="M674" i="3"/>
  <c r="L674" i="3"/>
  <c r="N673" i="3"/>
  <c r="M673" i="3"/>
  <c r="L673" i="3"/>
  <c r="N672" i="3"/>
  <c r="M672" i="3"/>
  <c r="L672" i="3"/>
  <c r="N671" i="3"/>
  <c r="M671" i="3"/>
  <c r="L671" i="3"/>
  <c r="N670" i="3"/>
  <c r="M670" i="3"/>
  <c r="L670" i="3"/>
  <c r="N669" i="3"/>
  <c r="M669" i="3"/>
  <c r="L669" i="3"/>
  <c r="N668" i="3"/>
  <c r="M668" i="3"/>
  <c r="L668" i="3"/>
  <c r="N667" i="3"/>
  <c r="M667" i="3"/>
  <c r="L667" i="3"/>
  <c r="N666" i="3"/>
  <c r="M666" i="3"/>
  <c r="L666" i="3"/>
  <c r="N665" i="3"/>
  <c r="M665" i="3"/>
  <c r="L665" i="3"/>
  <c r="N664" i="3"/>
  <c r="M664" i="3"/>
  <c r="L664" i="3"/>
  <c r="N663" i="3"/>
  <c r="M663" i="3"/>
  <c r="L663" i="3"/>
  <c r="N662" i="3"/>
  <c r="M662" i="3"/>
  <c r="L662" i="3"/>
  <c r="N661" i="3"/>
  <c r="M661" i="3"/>
  <c r="L661" i="3"/>
  <c r="N660" i="3"/>
  <c r="M660" i="3"/>
  <c r="L660" i="3"/>
  <c r="N659" i="3"/>
  <c r="M659" i="3"/>
  <c r="L659" i="3"/>
  <c r="N658" i="3"/>
  <c r="M658" i="3"/>
  <c r="L658" i="3"/>
  <c r="N657" i="3"/>
  <c r="M657" i="3"/>
  <c r="L657" i="3"/>
  <c r="N656" i="3"/>
  <c r="M656" i="3"/>
  <c r="L656" i="3"/>
  <c r="N655" i="3"/>
  <c r="M655" i="3"/>
  <c r="L655" i="3"/>
  <c r="N654" i="3"/>
  <c r="M654" i="3"/>
  <c r="L654" i="3"/>
  <c r="N653" i="3"/>
  <c r="M653" i="3"/>
  <c r="L653" i="3"/>
  <c r="N652" i="3"/>
  <c r="M652" i="3"/>
  <c r="L652" i="3"/>
  <c r="N651" i="3"/>
  <c r="M651" i="3"/>
  <c r="L651" i="3"/>
  <c r="N650" i="3"/>
  <c r="M650" i="3"/>
  <c r="L650" i="3"/>
  <c r="N649" i="3"/>
  <c r="M649" i="3"/>
  <c r="L649" i="3"/>
  <c r="N648" i="3"/>
  <c r="M648" i="3"/>
  <c r="L648" i="3"/>
  <c r="N647" i="3"/>
  <c r="M647" i="3"/>
  <c r="L647" i="3"/>
  <c r="N646" i="3"/>
  <c r="M646" i="3"/>
  <c r="L646" i="3"/>
  <c r="N645" i="3"/>
  <c r="M645" i="3"/>
  <c r="L645" i="3"/>
  <c r="N644" i="3"/>
  <c r="M644" i="3"/>
  <c r="L644" i="3"/>
  <c r="N643" i="3"/>
  <c r="M643" i="3"/>
  <c r="L643" i="3"/>
  <c r="N642" i="3"/>
  <c r="M642" i="3"/>
  <c r="L642" i="3"/>
  <c r="N641" i="3"/>
  <c r="M641" i="3"/>
  <c r="L641" i="3"/>
  <c r="N640" i="3"/>
  <c r="M640" i="3"/>
  <c r="L640" i="3"/>
  <c r="N639" i="3"/>
  <c r="M639" i="3"/>
  <c r="L639" i="3"/>
  <c r="N638" i="3"/>
  <c r="M638" i="3"/>
  <c r="L638" i="3"/>
  <c r="N637" i="3"/>
  <c r="M637" i="3"/>
  <c r="L637" i="3"/>
  <c r="N636" i="3"/>
  <c r="M636" i="3"/>
  <c r="L636" i="3"/>
  <c r="N635" i="3"/>
  <c r="M635" i="3"/>
  <c r="L635" i="3"/>
  <c r="N634" i="3"/>
  <c r="M634" i="3"/>
  <c r="L634" i="3"/>
  <c r="N633" i="3"/>
  <c r="M633" i="3"/>
  <c r="L633" i="3"/>
  <c r="N632" i="3"/>
  <c r="M632" i="3"/>
  <c r="L632" i="3"/>
  <c r="N631" i="3"/>
  <c r="M631" i="3"/>
  <c r="L631" i="3"/>
  <c r="N630" i="3"/>
  <c r="M630" i="3"/>
  <c r="L630" i="3"/>
  <c r="N629" i="3"/>
  <c r="M629" i="3"/>
  <c r="L629" i="3"/>
  <c r="N628" i="3"/>
  <c r="M628" i="3"/>
  <c r="L628" i="3"/>
  <c r="N627" i="3"/>
  <c r="M627" i="3"/>
  <c r="L627" i="3"/>
  <c r="N626" i="3"/>
  <c r="M626" i="3"/>
  <c r="L626" i="3"/>
  <c r="N625" i="3"/>
  <c r="M625" i="3"/>
  <c r="L625" i="3"/>
  <c r="N624" i="3"/>
  <c r="M624" i="3"/>
  <c r="L624" i="3"/>
  <c r="N623" i="3"/>
  <c r="M623" i="3"/>
  <c r="L623" i="3"/>
  <c r="N622" i="3"/>
  <c r="M622" i="3"/>
  <c r="L622" i="3"/>
  <c r="N621" i="3"/>
  <c r="M621" i="3"/>
  <c r="L621" i="3"/>
  <c r="N620" i="3"/>
  <c r="M620" i="3"/>
  <c r="L620" i="3"/>
  <c r="N619" i="3"/>
  <c r="M619" i="3"/>
  <c r="L619" i="3"/>
  <c r="N618" i="3"/>
  <c r="M618" i="3"/>
  <c r="L618" i="3"/>
  <c r="N617" i="3"/>
  <c r="M617" i="3"/>
  <c r="L617" i="3"/>
  <c r="N616" i="3"/>
  <c r="M616" i="3"/>
  <c r="L616" i="3"/>
  <c r="N615" i="3"/>
  <c r="M615" i="3"/>
  <c r="L615" i="3"/>
  <c r="N614" i="3"/>
  <c r="M614" i="3"/>
  <c r="L614" i="3"/>
  <c r="N613" i="3"/>
  <c r="M613" i="3"/>
  <c r="L613" i="3"/>
  <c r="N612" i="3"/>
  <c r="M612" i="3"/>
  <c r="L612" i="3"/>
  <c r="N611" i="3"/>
  <c r="M611" i="3"/>
  <c r="L611" i="3"/>
  <c r="N610" i="3"/>
  <c r="M610" i="3"/>
  <c r="L610" i="3"/>
  <c r="N609" i="3"/>
  <c r="M609" i="3"/>
  <c r="L609" i="3"/>
  <c r="N608" i="3"/>
  <c r="M608" i="3"/>
  <c r="L608" i="3"/>
  <c r="N607" i="3"/>
  <c r="M607" i="3"/>
  <c r="L607" i="3"/>
  <c r="N606" i="3"/>
  <c r="M606" i="3"/>
  <c r="L606" i="3"/>
  <c r="N605" i="3"/>
  <c r="M605" i="3"/>
  <c r="L605" i="3"/>
  <c r="N604" i="3"/>
  <c r="M604" i="3"/>
  <c r="L604" i="3"/>
  <c r="N603" i="3"/>
  <c r="M603" i="3"/>
  <c r="L603" i="3"/>
  <c r="N602" i="3"/>
  <c r="M602" i="3"/>
  <c r="L602" i="3"/>
  <c r="N601" i="3"/>
  <c r="M601" i="3"/>
  <c r="L601" i="3"/>
  <c r="N600" i="3"/>
  <c r="M600" i="3"/>
  <c r="L600" i="3"/>
  <c r="N599" i="3"/>
  <c r="M599" i="3"/>
  <c r="L599" i="3"/>
  <c r="N598" i="3"/>
  <c r="M598" i="3"/>
  <c r="L598" i="3"/>
  <c r="N597" i="3"/>
  <c r="M597" i="3"/>
  <c r="L597" i="3"/>
  <c r="N596" i="3"/>
  <c r="M596" i="3"/>
  <c r="L596" i="3"/>
  <c r="N595" i="3"/>
  <c r="M595" i="3"/>
  <c r="L595" i="3"/>
  <c r="N594" i="3"/>
  <c r="M594" i="3"/>
  <c r="L594" i="3"/>
  <c r="N593" i="3"/>
  <c r="M593" i="3"/>
  <c r="L593" i="3"/>
  <c r="N592" i="3"/>
  <c r="M592" i="3"/>
  <c r="L592" i="3"/>
  <c r="N591" i="3"/>
  <c r="M591" i="3"/>
  <c r="L591" i="3"/>
  <c r="N590" i="3"/>
  <c r="M590" i="3"/>
  <c r="L590" i="3"/>
  <c r="N589" i="3"/>
  <c r="M589" i="3"/>
  <c r="L589" i="3"/>
  <c r="N588" i="3"/>
  <c r="M588" i="3"/>
  <c r="L588" i="3"/>
  <c r="N587" i="3"/>
  <c r="M587" i="3"/>
  <c r="L587" i="3"/>
  <c r="N586" i="3"/>
  <c r="M586" i="3"/>
  <c r="L586" i="3"/>
  <c r="N585" i="3"/>
  <c r="M585" i="3"/>
  <c r="L585" i="3"/>
  <c r="N584" i="3"/>
  <c r="M584" i="3"/>
  <c r="L584" i="3"/>
  <c r="N583" i="3"/>
  <c r="M583" i="3"/>
  <c r="L583" i="3"/>
  <c r="N582" i="3"/>
  <c r="M582" i="3"/>
  <c r="L582" i="3"/>
  <c r="N581" i="3"/>
  <c r="M581" i="3"/>
  <c r="L581" i="3"/>
  <c r="N580" i="3"/>
  <c r="M580" i="3"/>
  <c r="L580" i="3"/>
  <c r="N579" i="3"/>
  <c r="M579" i="3"/>
  <c r="L579" i="3"/>
  <c r="N578" i="3"/>
  <c r="M578" i="3"/>
  <c r="L578" i="3"/>
  <c r="N577" i="3"/>
  <c r="M577" i="3"/>
  <c r="L577" i="3"/>
  <c r="N576" i="3"/>
  <c r="M576" i="3"/>
  <c r="L576" i="3"/>
  <c r="N575" i="3"/>
  <c r="M575" i="3"/>
  <c r="L575" i="3"/>
  <c r="N574" i="3"/>
  <c r="M574" i="3"/>
  <c r="L574" i="3"/>
  <c r="N573" i="3"/>
  <c r="M573" i="3"/>
  <c r="L573" i="3"/>
  <c r="N572" i="3"/>
  <c r="M572" i="3"/>
  <c r="L572" i="3"/>
  <c r="N571" i="3"/>
  <c r="M571" i="3"/>
  <c r="L571" i="3"/>
  <c r="N570" i="3"/>
  <c r="M570" i="3"/>
  <c r="L570" i="3"/>
  <c r="N569" i="3"/>
  <c r="M569" i="3"/>
  <c r="L569" i="3"/>
  <c r="N568" i="3"/>
  <c r="M568" i="3"/>
  <c r="L568" i="3"/>
  <c r="N567" i="3"/>
  <c r="M567" i="3"/>
  <c r="L567" i="3"/>
  <c r="N566" i="3"/>
  <c r="M566" i="3"/>
  <c r="L566" i="3"/>
  <c r="N565" i="3"/>
  <c r="M565" i="3"/>
  <c r="L565" i="3"/>
  <c r="N564" i="3"/>
  <c r="M564" i="3"/>
  <c r="L564" i="3"/>
  <c r="N563" i="3"/>
  <c r="M563" i="3"/>
  <c r="L563" i="3"/>
  <c r="N562" i="3"/>
  <c r="M562" i="3"/>
  <c r="L562" i="3"/>
  <c r="N561" i="3"/>
  <c r="M561" i="3"/>
  <c r="L561" i="3"/>
  <c r="N560" i="3"/>
  <c r="M560" i="3"/>
  <c r="L560" i="3"/>
  <c r="N559" i="3"/>
  <c r="M559" i="3"/>
  <c r="L559" i="3"/>
  <c r="N558" i="3"/>
  <c r="M558" i="3"/>
  <c r="L558" i="3"/>
  <c r="N557" i="3"/>
  <c r="M557" i="3"/>
  <c r="L557" i="3"/>
  <c r="N556" i="3"/>
  <c r="M556" i="3"/>
  <c r="L556" i="3"/>
  <c r="N555" i="3"/>
  <c r="M555" i="3"/>
  <c r="L555" i="3"/>
  <c r="N554" i="3"/>
  <c r="M554" i="3"/>
  <c r="L554" i="3"/>
  <c r="N553" i="3"/>
  <c r="M553" i="3"/>
  <c r="L553" i="3"/>
  <c r="N552" i="3"/>
  <c r="M552" i="3"/>
  <c r="L552" i="3"/>
  <c r="N551" i="3"/>
  <c r="M551" i="3"/>
  <c r="L551" i="3"/>
  <c r="N550" i="3"/>
  <c r="M550" i="3"/>
  <c r="L550" i="3"/>
  <c r="N549" i="3"/>
  <c r="M549" i="3"/>
  <c r="L549" i="3"/>
  <c r="N548" i="3"/>
  <c r="M548" i="3"/>
  <c r="L548" i="3"/>
  <c r="N547" i="3"/>
  <c r="M547" i="3"/>
  <c r="L547" i="3"/>
  <c r="N546" i="3"/>
  <c r="M546" i="3"/>
  <c r="L546" i="3"/>
  <c r="N545" i="3"/>
  <c r="M545" i="3"/>
  <c r="L545" i="3"/>
  <c r="N544" i="3"/>
  <c r="M544" i="3"/>
  <c r="L544" i="3"/>
  <c r="N543" i="3"/>
  <c r="M543" i="3"/>
  <c r="L543" i="3"/>
  <c r="N542" i="3"/>
  <c r="M542" i="3"/>
  <c r="L542" i="3"/>
  <c r="N541" i="3"/>
  <c r="M541" i="3"/>
  <c r="L541" i="3"/>
  <c r="N540" i="3"/>
  <c r="M540" i="3"/>
  <c r="L540" i="3"/>
  <c r="N539" i="3"/>
  <c r="M539" i="3"/>
  <c r="L539" i="3"/>
  <c r="N538" i="3"/>
  <c r="M538" i="3"/>
  <c r="L538" i="3"/>
  <c r="N537" i="3"/>
  <c r="M537" i="3"/>
  <c r="L537" i="3"/>
  <c r="N536" i="3"/>
  <c r="M536" i="3"/>
  <c r="L536" i="3"/>
  <c r="N535" i="3"/>
  <c r="M535" i="3"/>
  <c r="L535" i="3"/>
  <c r="N534" i="3"/>
  <c r="M534" i="3"/>
  <c r="L534" i="3"/>
  <c r="N533" i="3"/>
  <c r="M533" i="3"/>
  <c r="L533" i="3"/>
  <c r="N532" i="3"/>
  <c r="M532" i="3"/>
  <c r="L532" i="3"/>
  <c r="N531" i="3"/>
  <c r="M531" i="3"/>
  <c r="L531" i="3"/>
  <c r="N530" i="3"/>
  <c r="M530" i="3"/>
  <c r="L530" i="3"/>
  <c r="N529" i="3"/>
  <c r="M529" i="3"/>
  <c r="L529" i="3"/>
  <c r="N528" i="3"/>
  <c r="M528" i="3"/>
  <c r="L528" i="3"/>
  <c r="N527" i="3"/>
  <c r="M527" i="3"/>
  <c r="L527" i="3"/>
  <c r="N526" i="3"/>
  <c r="M526" i="3"/>
  <c r="L526" i="3"/>
  <c r="N525" i="3"/>
  <c r="M525" i="3"/>
  <c r="L525" i="3"/>
  <c r="N524" i="3"/>
  <c r="M524" i="3"/>
  <c r="L524" i="3"/>
  <c r="N523" i="3"/>
  <c r="M523" i="3"/>
  <c r="L523" i="3"/>
  <c r="N522" i="3"/>
  <c r="M522" i="3"/>
  <c r="L522" i="3"/>
  <c r="N521" i="3"/>
  <c r="M521" i="3"/>
  <c r="L521" i="3"/>
  <c r="N520" i="3"/>
  <c r="M520" i="3"/>
  <c r="L520" i="3"/>
  <c r="N519" i="3"/>
  <c r="M519" i="3"/>
  <c r="L519" i="3"/>
  <c r="N518" i="3"/>
  <c r="M518" i="3"/>
  <c r="L518" i="3"/>
  <c r="N517" i="3"/>
  <c r="M517" i="3"/>
  <c r="L517" i="3"/>
  <c r="N516" i="3"/>
  <c r="M516" i="3"/>
  <c r="L516" i="3"/>
  <c r="N515" i="3"/>
  <c r="M515" i="3"/>
  <c r="L515" i="3"/>
  <c r="N514" i="3"/>
  <c r="M514" i="3"/>
  <c r="L514" i="3"/>
  <c r="N513" i="3"/>
  <c r="M513" i="3"/>
  <c r="L513" i="3"/>
  <c r="N512" i="3"/>
  <c r="M512" i="3"/>
  <c r="L512" i="3"/>
  <c r="N511" i="3"/>
  <c r="M511" i="3"/>
  <c r="L511" i="3"/>
  <c r="N510" i="3"/>
  <c r="M510" i="3"/>
  <c r="L510" i="3"/>
  <c r="N509" i="3"/>
  <c r="M509" i="3"/>
  <c r="L509" i="3"/>
  <c r="N508" i="3"/>
  <c r="M508" i="3"/>
  <c r="L508" i="3"/>
  <c r="N507" i="3"/>
  <c r="M507" i="3"/>
  <c r="L507" i="3"/>
  <c r="N506" i="3"/>
  <c r="M506" i="3"/>
  <c r="L506" i="3"/>
  <c r="N505" i="3"/>
  <c r="M505" i="3"/>
  <c r="L505" i="3"/>
  <c r="N504" i="3"/>
  <c r="M504" i="3"/>
  <c r="L504" i="3"/>
  <c r="N503" i="3"/>
  <c r="M503" i="3"/>
  <c r="L503" i="3"/>
  <c r="N502" i="3"/>
  <c r="M502" i="3"/>
  <c r="L502" i="3"/>
  <c r="N501" i="3"/>
  <c r="M501" i="3"/>
  <c r="L501" i="3"/>
  <c r="N500" i="3"/>
  <c r="M500" i="3"/>
  <c r="L500" i="3"/>
  <c r="N499" i="3"/>
  <c r="M499" i="3"/>
  <c r="L499" i="3"/>
  <c r="N498" i="3"/>
  <c r="M498" i="3"/>
  <c r="L498" i="3"/>
  <c r="N497" i="3"/>
  <c r="M497" i="3"/>
  <c r="L497" i="3"/>
  <c r="N496" i="3"/>
  <c r="M496" i="3"/>
  <c r="L496" i="3"/>
  <c r="N495" i="3"/>
  <c r="M495" i="3"/>
  <c r="L495" i="3"/>
  <c r="N494" i="3"/>
  <c r="M494" i="3"/>
  <c r="L494" i="3"/>
  <c r="N493" i="3"/>
  <c r="M493" i="3"/>
  <c r="L493" i="3"/>
  <c r="N492" i="3"/>
  <c r="M492" i="3"/>
  <c r="L492" i="3"/>
  <c r="N491" i="3"/>
  <c r="M491" i="3"/>
  <c r="L491" i="3"/>
  <c r="N490" i="3"/>
  <c r="M490" i="3"/>
  <c r="L490" i="3"/>
  <c r="N489" i="3"/>
  <c r="M489" i="3"/>
  <c r="L489" i="3"/>
  <c r="N488" i="3"/>
  <c r="M488" i="3"/>
  <c r="L488" i="3"/>
  <c r="N487" i="3"/>
  <c r="M487" i="3"/>
  <c r="L487" i="3"/>
  <c r="N486" i="3"/>
  <c r="M486" i="3"/>
  <c r="L486" i="3"/>
  <c r="N485" i="3"/>
  <c r="M485" i="3"/>
  <c r="L485" i="3"/>
  <c r="N484" i="3"/>
  <c r="M484" i="3"/>
  <c r="L484" i="3"/>
  <c r="N483" i="3"/>
  <c r="M483" i="3"/>
  <c r="L483" i="3"/>
  <c r="N482" i="3"/>
  <c r="M482" i="3"/>
  <c r="L482" i="3"/>
  <c r="N481" i="3"/>
  <c r="M481" i="3"/>
  <c r="L481" i="3"/>
  <c r="N480" i="3"/>
  <c r="M480" i="3"/>
  <c r="L480" i="3"/>
  <c r="N479" i="3"/>
  <c r="M479" i="3"/>
  <c r="L479" i="3"/>
  <c r="N478" i="3"/>
  <c r="M478" i="3"/>
  <c r="L478" i="3"/>
  <c r="N477" i="3"/>
  <c r="M477" i="3"/>
  <c r="L477" i="3"/>
  <c r="N476" i="3"/>
  <c r="M476" i="3"/>
  <c r="L476" i="3"/>
  <c r="N475" i="3"/>
  <c r="M475" i="3"/>
  <c r="L475" i="3"/>
  <c r="N474" i="3"/>
  <c r="M474" i="3"/>
  <c r="L474" i="3"/>
  <c r="N473" i="3"/>
  <c r="M473" i="3"/>
  <c r="L473" i="3"/>
  <c r="N472" i="3"/>
  <c r="M472" i="3"/>
  <c r="L472" i="3"/>
  <c r="N471" i="3"/>
  <c r="M471" i="3"/>
  <c r="L471" i="3"/>
  <c r="N470" i="3"/>
  <c r="M470" i="3"/>
  <c r="L470" i="3"/>
  <c r="N469" i="3"/>
  <c r="M469" i="3"/>
  <c r="L469" i="3"/>
  <c r="N468" i="3"/>
  <c r="M468" i="3"/>
  <c r="L468" i="3"/>
  <c r="N467" i="3"/>
  <c r="M467" i="3"/>
  <c r="L467" i="3"/>
  <c r="N466" i="3"/>
  <c r="M466" i="3"/>
  <c r="L466" i="3"/>
  <c r="N465" i="3"/>
  <c r="M465" i="3"/>
  <c r="L465" i="3"/>
  <c r="N464" i="3"/>
  <c r="M464" i="3"/>
  <c r="L464" i="3"/>
  <c r="N463" i="3"/>
  <c r="M463" i="3"/>
  <c r="L463" i="3"/>
  <c r="N462" i="3"/>
  <c r="M462" i="3"/>
  <c r="L462" i="3"/>
  <c r="N461" i="3"/>
  <c r="M461" i="3"/>
  <c r="L461" i="3"/>
  <c r="N460" i="3"/>
  <c r="M460" i="3"/>
  <c r="L460" i="3"/>
  <c r="N459" i="3"/>
  <c r="M459" i="3"/>
  <c r="L459" i="3"/>
  <c r="N458" i="3"/>
  <c r="M458" i="3"/>
  <c r="L458" i="3"/>
  <c r="N457" i="3"/>
  <c r="M457" i="3"/>
  <c r="L457" i="3"/>
  <c r="N456" i="3"/>
  <c r="M456" i="3"/>
  <c r="L456" i="3"/>
  <c r="N455" i="3"/>
  <c r="M455" i="3"/>
  <c r="L455" i="3"/>
  <c r="N454" i="3"/>
  <c r="M454" i="3"/>
  <c r="L454" i="3"/>
  <c r="N453" i="3"/>
  <c r="M453" i="3"/>
  <c r="L453" i="3"/>
  <c r="N452" i="3"/>
  <c r="M452" i="3"/>
  <c r="L452" i="3"/>
  <c r="N451" i="3"/>
  <c r="M451" i="3"/>
  <c r="L451" i="3"/>
  <c r="N450" i="3"/>
  <c r="M450" i="3"/>
  <c r="L450" i="3"/>
  <c r="N449" i="3"/>
  <c r="M449" i="3"/>
  <c r="L449" i="3"/>
  <c r="N448" i="3"/>
  <c r="M448" i="3"/>
  <c r="L448" i="3"/>
  <c r="N447" i="3"/>
  <c r="M447" i="3"/>
  <c r="L447" i="3"/>
  <c r="N446" i="3"/>
  <c r="M446" i="3"/>
  <c r="L446" i="3"/>
  <c r="N445" i="3"/>
  <c r="M445" i="3"/>
  <c r="L445" i="3"/>
  <c r="N444" i="3"/>
  <c r="M444" i="3"/>
  <c r="L444" i="3"/>
  <c r="N443" i="3"/>
  <c r="M443" i="3"/>
  <c r="L443" i="3"/>
  <c r="N442" i="3"/>
  <c r="M442" i="3"/>
  <c r="L442" i="3"/>
  <c r="N441" i="3"/>
  <c r="M441" i="3"/>
  <c r="L441" i="3"/>
  <c r="N440" i="3"/>
  <c r="M440" i="3"/>
  <c r="L440" i="3"/>
  <c r="N439" i="3"/>
  <c r="M439" i="3"/>
  <c r="L439" i="3"/>
  <c r="N438" i="3"/>
  <c r="M438" i="3"/>
  <c r="L438" i="3"/>
  <c r="N437" i="3"/>
  <c r="M437" i="3"/>
  <c r="L437" i="3"/>
  <c r="N436" i="3"/>
  <c r="M436" i="3"/>
  <c r="L436" i="3"/>
  <c r="N435" i="3"/>
  <c r="M435" i="3"/>
  <c r="L435" i="3"/>
  <c r="N434" i="3"/>
  <c r="M434" i="3"/>
  <c r="L434" i="3"/>
  <c r="N433" i="3"/>
  <c r="M433" i="3"/>
  <c r="L433" i="3"/>
  <c r="N432" i="3"/>
  <c r="M432" i="3"/>
  <c r="L432" i="3"/>
  <c r="N431" i="3"/>
  <c r="M431" i="3"/>
  <c r="L431" i="3"/>
  <c r="N430" i="3"/>
  <c r="M430" i="3"/>
  <c r="L430" i="3"/>
  <c r="N429" i="3"/>
  <c r="M429" i="3"/>
  <c r="L429" i="3"/>
  <c r="N428" i="3"/>
  <c r="M428" i="3"/>
  <c r="L428" i="3"/>
  <c r="N427" i="3"/>
  <c r="M427" i="3"/>
  <c r="L427" i="3"/>
  <c r="N426" i="3"/>
  <c r="M426" i="3"/>
  <c r="L426" i="3"/>
  <c r="N425" i="3"/>
  <c r="M425" i="3"/>
  <c r="L425" i="3"/>
  <c r="N424" i="3"/>
  <c r="M424" i="3"/>
  <c r="L424" i="3"/>
  <c r="N423" i="3"/>
  <c r="M423" i="3"/>
  <c r="L423" i="3"/>
  <c r="N422" i="3"/>
  <c r="M422" i="3"/>
  <c r="L422" i="3"/>
  <c r="N421" i="3"/>
  <c r="M421" i="3"/>
  <c r="L421" i="3"/>
  <c r="N420" i="3"/>
  <c r="M420" i="3"/>
  <c r="L420" i="3"/>
  <c r="N419" i="3"/>
  <c r="M419" i="3"/>
  <c r="L419" i="3"/>
  <c r="N418" i="3"/>
  <c r="M418" i="3"/>
  <c r="L418" i="3"/>
  <c r="N417" i="3"/>
  <c r="M417" i="3"/>
  <c r="L417" i="3"/>
  <c r="N416" i="3"/>
  <c r="M416" i="3"/>
  <c r="L416" i="3"/>
  <c r="N415" i="3"/>
  <c r="M415" i="3"/>
  <c r="L415" i="3"/>
  <c r="N414" i="3"/>
  <c r="M414" i="3"/>
  <c r="L414" i="3"/>
  <c r="N413" i="3"/>
  <c r="M413" i="3"/>
  <c r="L413" i="3"/>
  <c r="N412" i="3"/>
  <c r="M412" i="3"/>
  <c r="L412" i="3"/>
  <c r="N411" i="3"/>
  <c r="M411" i="3"/>
  <c r="L411" i="3"/>
  <c r="N410" i="3"/>
  <c r="M410" i="3"/>
  <c r="L410" i="3"/>
  <c r="N409" i="3"/>
  <c r="M409" i="3"/>
  <c r="L409" i="3"/>
  <c r="N408" i="3"/>
  <c r="M408" i="3"/>
  <c r="L408" i="3"/>
  <c r="N407" i="3"/>
  <c r="M407" i="3"/>
  <c r="L407" i="3"/>
  <c r="N406" i="3"/>
  <c r="M406" i="3"/>
  <c r="L406" i="3"/>
  <c r="N405" i="3"/>
  <c r="M405" i="3"/>
  <c r="L405" i="3"/>
  <c r="N404" i="3"/>
  <c r="M404" i="3"/>
  <c r="L404" i="3"/>
  <c r="N403" i="3"/>
  <c r="M403" i="3"/>
  <c r="L403" i="3"/>
  <c r="N402" i="3"/>
  <c r="M402" i="3"/>
  <c r="L402" i="3"/>
  <c r="N401" i="3"/>
  <c r="M401" i="3"/>
  <c r="L401" i="3"/>
  <c r="N400" i="3"/>
  <c r="M400" i="3"/>
  <c r="L400" i="3"/>
  <c r="N399" i="3"/>
  <c r="M399" i="3"/>
  <c r="L399" i="3"/>
  <c r="N398" i="3"/>
  <c r="M398" i="3"/>
  <c r="L398" i="3"/>
  <c r="N397" i="3"/>
  <c r="M397" i="3"/>
  <c r="L397" i="3"/>
  <c r="N396" i="3"/>
  <c r="M396" i="3"/>
  <c r="L396" i="3"/>
  <c r="N395" i="3"/>
  <c r="M395" i="3"/>
  <c r="L395" i="3"/>
  <c r="N394" i="3"/>
  <c r="M394" i="3"/>
  <c r="L394" i="3"/>
  <c r="N393" i="3"/>
  <c r="M393" i="3"/>
  <c r="L393" i="3"/>
  <c r="N392" i="3"/>
  <c r="M392" i="3"/>
  <c r="L392" i="3"/>
  <c r="N391" i="3"/>
  <c r="M391" i="3"/>
  <c r="L391" i="3"/>
  <c r="N390" i="3"/>
  <c r="M390" i="3"/>
  <c r="L390" i="3"/>
  <c r="N389" i="3"/>
  <c r="M389" i="3"/>
  <c r="L389" i="3"/>
  <c r="N388" i="3"/>
  <c r="M388" i="3"/>
  <c r="L388" i="3"/>
  <c r="N387" i="3"/>
  <c r="M387" i="3"/>
  <c r="L387" i="3"/>
  <c r="N386" i="3"/>
  <c r="M386" i="3"/>
  <c r="L386" i="3"/>
  <c r="N385" i="3"/>
  <c r="M385" i="3"/>
  <c r="L385" i="3"/>
  <c r="N384" i="3"/>
  <c r="M384" i="3"/>
  <c r="L384" i="3"/>
  <c r="N383" i="3"/>
  <c r="M383" i="3"/>
  <c r="L383" i="3"/>
  <c r="N382" i="3"/>
  <c r="M382" i="3"/>
  <c r="L382" i="3"/>
  <c r="N381" i="3"/>
  <c r="M381" i="3"/>
  <c r="L381" i="3"/>
  <c r="N380" i="3"/>
  <c r="M380" i="3"/>
  <c r="L380" i="3"/>
  <c r="N379" i="3"/>
  <c r="M379" i="3"/>
  <c r="L379" i="3"/>
  <c r="N378" i="3"/>
  <c r="M378" i="3"/>
  <c r="L378" i="3"/>
  <c r="N377" i="3"/>
  <c r="M377" i="3"/>
  <c r="L377" i="3"/>
  <c r="N376" i="3"/>
  <c r="M376" i="3"/>
  <c r="L376" i="3"/>
  <c r="N375" i="3"/>
  <c r="M375" i="3"/>
  <c r="L375" i="3"/>
  <c r="N374" i="3"/>
  <c r="M374" i="3"/>
  <c r="L374" i="3"/>
  <c r="N373" i="3"/>
  <c r="M373" i="3"/>
  <c r="L373" i="3"/>
  <c r="N372" i="3"/>
  <c r="M372" i="3"/>
  <c r="L372" i="3"/>
  <c r="N371" i="3"/>
  <c r="M371" i="3"/>
  <c r="L371" i="3"/>
  <c r="N370" i="3"/>
  <c r="M370" i="3"/>
  <c r="L370" i="3"/>
  <c r="N369" i="3"/>
  <c r="M369" i="3"/>
  <c r="L369" i="3"/>
  <c r="N368" i="3"/>
  <c r="M368" i="3"/>
  <c r="L368" i="3"/>
  <c r="N367" i="3"/>
  <c r="M367" i="3"/>
  <c r="L367" i="3"/>
  <c r="N366" i="3"/>
  <c r="M366" i="3"/>
  <c r="L366" i="3"/>
  <c r="N365" i="3"/>
  <c r="M365" i="3"/>
  <c r="L365" i="3"/>
  <c r="N364" i="3"/>
  <c r="M364" i="3"/>
  <c r="L364" i="3"/>
  <c r="N363" i="3"/>
  <c r="M363" i="3"/>
  <c r="L363" i="3"/>
  <c r="N362" i="3"/>
  <c r="M362" i="3"/>
  <c r="L362" i="3"/>
  <c r="N361" i="3"/>
  <c r="M361" i="3"/>
  <c r="L361" i="3"/>
  <c r="N360" i="3"/>
  <c r="M360" i="3"/>
  <c r="L360" i="3"/>
  <c r="N359" i="3"/>
  <c r="M359" i="3"/>
  <c r="L359" i="3"/>
  <c r="N358" i="3"/>
  <c r="M358" i="3"/>
  <c r="L358" i="3"/>
  <c r="N357" i="3"/>
  <c r="M357" i="3"/>
  <c r="L357" i="3"/>
  <c r="N356" i="3"/>
  <c r="M356" i="3"/>
  <c r="L356" i="3"/>
  <c r="N355" i="3"/>
  <c r="M355" i="3"/>
  <c r="L355" i="3"/>
  <c r="N354" i="3"/>
  <c r="M354" i="3"/>
  <c r="L354" i="3"/>
  <c r="N353" i="3"/>
  <c r="M353" i="3"/>
  <c r="L353" i="3"/>
  <c r="N352" i="3"/>
  <c r="M352" i="3"/>
  <c r="L352" i="3"/>
  <c r="N351" i="3"/>
  <c r="M351" i="3"/>
  <c r="L351" i="3"/>
  <c r="N350" i="3"/>
  <c r="M350" i="3"/>
  <c r="L350" i="3"/>
  <c r="N349" i="3"/>
  <c r="M349" i="3"/>
  <c r="L349" i="3"/>
  <c r="N348" i="3"/>
  <c r="M348" i="3"/>
  <c r="L348" i="3"/>
  <c r="N347" i="3"/>
  <c r="M347" i="3"/>
  <c r="L347" i="3"/>
  <c r="N346" i="3"/>
  <c r="M346" i="3"/>
  <c r="L346" i="3"/>
  <c r="N345" i="3"/>
  <c r="M345" i="3"/>
  <c r="L345" i="3"/>
  <c r="N344" i="3"/>
  <c r="M344" i="3"/>
  <c r="L344" i="3"/>
  <c r="N343" i="3"/>
  <c r="M343" i="3"/>
  <c r="L343" i="3"/>
  <c r="N342" i="3"/>
  <c r="M342" i="3"/>
  <c r="L342" i="3"/>
  <c r="N341" i="3"/>
  <c r="M341" i="3"/>
  <c r="L341" i="3"/>
  <c r="N340" i="3"/>
  <c r="M340" i="3"/>
  <c r="L340" i="3"/>
  <c r="N339" i="3"/>
  <c r="M339" i="3"/>
  <c r="L339" i="3"/>
  <c r="N338" i="3"/>
  <c r="M338" i="3"/>
  <c r="L338" i="3"/>
  <c r="N337" i="3"/>
  <c r="M337" i="3"/>
  <c r="L337" i="3"/>
  <c r="N336" i="3"/>
  <c r="M336" i="3"/>
  <c r="L336" i="3"/>
  <c r="N335" i="3"/>
  <c r="M335" i="3"/>
  <c r="L335" i="3"/>
  <c r="N334" i="3"/>
  <c r="M334" i="3"/>
  <c r="L334" i="3"/>
  <c r="N333" i="3"/>
  <c r="M333" i="3"/>
  <c r="L333" i="3"/>
  <c r="N332" i="3"/>
  <c r="M332" i="3"/>
  <c r="L332" i="3"/>
  <c r="N331" i="3"/>
  <c r="M331" i="3"/>
  <c r="L331" i="3"/>
  <c r="N330" i="3"/>
  <c r="M330" i="3"/>
  <c r="L330" i="3"/>
  <c r="N329" i="3"/>
  <c r="M329" i="3"/>
  <c r="L329" i="3"/>
  <c r="N328" i="3"/>
  <c r="M328" i="3"/>
  <c r="L328" i="3"/>
  <c r="N327" i="3"/>
  <c r="M327" i="3"/>
  <c r="L327" i="3"/>
  <c r="N326" i="3"/>
  <c r="M326" i="3"/>
  <c r="L326" i="3"/>
  <c r="N325" i="3"/>
  <c r="M325" i="3"/>
  <c r="L325" i="3"/>
  <c r="N324" i="3"/>
  <c r="M324" i="3"/>
  <c r="L324" i="3"/>
  <c r="N323" i="3"/>
  <c r="M323" i="3"/>
  <c r="L323" i="3"/>
  <c r="N322" i="3"/>
  <c r="M322" i="3"/>
  <c r="L322" i="3"/>
  <c r="N321" i="3"/>
  <c r="M321" i="3"/>
  <c r="L321" i="3"/>
  <c r="N320" i="3"/>
  <c r="M320" i="3"/>
  <c r="L320" i="3"/>
  <c r="N319" i="3"/>
  <c r="M319" i="3"/>
  <c r="L319" i="3"/>
  <c r="N318" i="3"/>
  <c r="M318" i="3"/>
  <c r="L318" i="3"/>
  <c r="N317" i="3"/>
  <c r="M317" i="3"/>
  <c r="L317" i="3"/>
  <c r="N316" i="3"/>
  <c r="M316" i="3"/>
  <c r="L316" i="3"/>
  <c r="N315" i="3"/>
  <c r="M315" i="3"/>
  <c r="L315" i="3"/>
  <c r="N314" i="3"/>
  <c r="M314" i="3"/>
  <c r="L314" i="3"/>
  <c r="N313" i="3"/>
  <c r="M313" i="3"/>
  <c r="L313" i="3"/>
  <c r="N312" i="3"/>
  <c r="M312" i="3"/>
  <c r="L312" i="3"/>
  <c r="N311" i="3"/>
  <c r="M311" i="3"/>
  <c r="L311" i="3"/>
  <c r="N310" i="3"/>
  <c r="M310" i="3"/>
  <c r="L310" i="3"/>
  <c r="N309" i="3"/>
  <c r="M309" i="3"/>
  <c r="L309" i="3"/>
  <c r="N308" i="3"/>
  <c r="M308" i="3"/>
  <c r="L308" i="3"/>
  <c r="N307" i="3"/>
  <c r="M307" i="3"/>
  <c r="L307" i="3"/>
  <c r="N306" i="3"/>
  <c r="M306" i="3"/>
  <c r="L306" i="3"/>
  <c r="N305" i="3"/>
  <c r="M305" i="3"/>
  <c r="L305" i="3"/>
  <c r="N304" i="3"/>
  <c r="M304" i="3"/>
  <c r="L304" i="3"/>
  <c r="N303" i="3"/>
  <c r="M303" i="3"/>
  <c r="L303" i="3"/>
  <c r="N302" i="3"/>
  <c r="M302" i="3"/>
  <c r="L302" i="3"/>
  <c r="N301" i="3"/>
  <c r="M301" i="3"/>
  <c r="L301" i="3"/>
  <c r="N300" i="3"/>
  <c r="M300" i="3"/>
  <c r="L300" i="3"/>
  <c r="N299" i="3"/>
  <c r="M299" i="3"/>
  <c r="L299" i="3"/>
  <c r="N298" i="3"/>
  <c r="M298" i="3"/>
  <c r="L298" i="3"/>
  <c r="N297" i="3"/>
  <c r="M297" i="3"/>
  <c r="L297" i="3"/>
  <c r="N296" i="3"/>
  <c r="M296" i="3"/>
  <c r="L296" i="3"/>
  <c r="N295" i="3"/>
  <c r="M295" i="3"/>
  <c r="L295" i="3"/>
  <c r="N294" i="3"/>
  <c r="M294" i="3"/>
  <c r="L294" i="3"/>
  <c r="N293" i="3"/>
  <c r="M293" i="3"/>
  <c r="L293" i="3"/>
  <c r="N292" i="3"/>
  <c r="M292" i="3"/>
  <c r="L292" i="3"/>
  <c r="N291" i="3"/>
  <c r="M291" i="3"/>
  <c r="L291" i="3"/>
  <c r="N290" i="3"/>
  <c r="M290" i="3"/>
  <c r="L290" i="3"/>
  <c r="N289" i="3"/>
  <c r="M289" i="3"/>
  <c r="L289" i="3"/>
  <c r="N288" i="3"/>
  <c r="M288" i="3"/>
  <c r="L288" i="3"/>
  <c r="N287" i="3"/>
  <c r="M287" i="3"/>
  <c r="L287" i="3"/>
  <c r="N286" i="3"/>
  <c r="M286" i="3"/>
  <c r="L286" i="3"/>
  <c r="N285" i="3"/>
  <c r="M285" i="3"/>
  <c r="L285" i="3"/>
  <c r="N284" i="3"/>
  <c r="M284" i="3"/>
  <c r="L284" i="3"/>
  <c r="N283" i="3"/>
  <c r="M283" i="3"/>
  <c r="L283" i="3"/>
  <c r="N282" i="3"/>
  <c r="M282" i="3"/>
  <c r="L282" i="3"/>
  <c r="N281" i="3"/>
  <c r="M281" i="3"/>
  <c r="L281" i="3"/>
  <c r="N280" i="3"/>
  <c r="M280" i="3"/>
  <c r="L280" i="3"/>
  <c r="N279" i="3"/>
  <c r="M279" i="3"/>
  <c r="L279" i="3"/>
  <c r="N278" i="3"/>
  <c r="M278" i="3"/>
  <c r="L278" i="3"/>
  <c r="N277" i="3"/>
  <c r="M277" i="3"/>
  <c r="L277" i="3"/>
  <c r="N276" i="3"/>
  <c r="M276" i="3"/>
  <c r="L276" i="3"/>
  <c r="N275" i="3"/>
  <c r="M275" i="3"/>
  <c r="L275" i="3"/>
  <c r="N274" i="3"/>
  <c r="M274" i="3"/>
  <c r="L274" i="3"/>
  <c r="N273" i="3"/>
  <c r="M273" i="3"/>
  <c r="L273" i="3"/>
  <c r="N272" i="3"/>
  <c r="M272" i="3"/>
  <c r="L272" i="3"/>
  <c r="N271" i="3"/>
  <c r="M271" i="3"/>
  <c r="L271" i="3"/>
  <c r="N270" i="3"/>
  <c r="M270" i="3"/>
  <c r="L270" i="3"/>
  <c r="N269" i="3"/>
  <c r="M269" i="3"/>
  <c r="L269" i="3"/>
  <c r="N268" i="3"/>
  <c r="M268" i="3"/>
  <c r="L268" i="3"/>
  <c r="N267" i="3"/>
  <c r="M267" i="3"/>
  <c r="L267" i="3"/>
  <c r="N266" i="3"/>
  <c r="M266" i="3"/>
  <c r="L266" i="3"/>
  <c r="N265" i="3"/>
  <c r="M265" i="3"/>
  <c r="L265" i="3"/>
  <c r="N264" i="3"/>
  <c r="M264" i="3"/>
  <c r="L264" i="3"/>
  <c r="N263" i="3"/>
  <c r="M263" i="3"/>
  <c r="L263" i="3"/>
  <c r="N262" i="3"/>
  <c r="M262" i="3"/>
  <c r="L262" i="3"/>
  <c r="N261" i="3"/>
  <c r="M261" i="3"/>
  <c r="L261" i="3"/>
  <c r="N260" i="3"/>
  <c r="M260" i="3"/>
  <c r="L260" i="3"/>
  <c r="N259" i="3"/>
  <c r="M259" i="3"/>
  <c r="L259" i="3"/>
  <c r="N258" i="3"/>
  <c r="M258" i="3"/>
  <c r="L258" i="3"/>
  <c r="N257" i="3"/>
  <c r="M257" i="3"/>
  <c r="L257" i="3"/>
  <c r="N256" i="3"/>
  <c r="M256" i="3"/>
  <c r="L256" i="3"/>
  <c r="N255" i="3"/>
  <c r="M255" i="3"/>
  <c r="L255" i="3"/>
  <c r="N254" i="3"/>
  <c r="M254" i="3"/>
  <c r="L254" i="3"/>
  <c r="N253" i="3"/>
  <c r="M253" i="3"/>
  <c r="L253" i="3"/>
  <c r="N252" i="3"/>
  <c r="M252" i="3"/>
  <c r="L252" i="3"/>
  <c r="N251" i="3"/>
  <c r="M251" i="3"/>
  <c r="L251" i="3"/>
  <c r="N250" i="3"/>
  <c r="M250" i="3"/>
  <c r="L250" i="3"/>
  <c r="N249" i="3"/>
  <c r="M249" i="3"/>
  <c r="L249" i="3"/>
  <c r="N248" i="3"/>
  <c r="M248" i="3"/>
  <c r="L248" i="3"/>
  <c r="N247" i="3"/>
  <c r="M247" i="3"/>
  <c r="L247" i="3"/>
  <c r="N246" i="3"/>
  <c r="M246" i="3"/>
  <c r="L246" i="3"/>
  <c r="N245" i="3"/>
  <c r="M245" i="3"/>
  <c r="L245" i="3"/>
  <c r="N244" i="3"/>
  <c r="M244" i="3"/>
  <c r="L244" i="3"/>
  <c r="N243" i="3"/>
  <c r="M243" i="3"/>
  <c r="L243" i="3"/>
  <c r="N242" i="3"/>
  <c r="M242" i="3"/>
  <c r="L242" i="3"/>
  <c r="N241" i="3"/>
  <c r="M241" i="3"/>
  <c r="L241" i="3"/>
  <c r="N240" i="3"/>
  <c r="M240" i="3"/>
  <c r="L240" i="3"/>
  <c r="N239" i="3"/>
  <c r="M239" i="3"/>
  <c r="L239" i="3"/>
  <c r="N238" i="3"/>
  <c r="M238" i="3"/>
  <c r="L238" i="3"/>
  <c r="N237" i="3"/>
  <c r="M237" i="3"/>
  <c r="L237" i="3"/>
  <c r="N236" i="3"/>
  <c r="M236" i="3"/>
  <c r="L236" i="3"/>
  <c r="N235" i="3"/>
  <c r="M235" i="3"/>
  <c r="L235" i="3"/>
  <c r="N234" i="3"/>
  <c r="M234" i="3"/>
  <c r="L234" i="3"/>
  <c r="N233" i="3"/>
  <c r="M233" i="3"/>
  <c r="L233" i="3"/>
  <c r="N232" i="3"/>
  <c r="M232" i="3"/>
  <c r="L232" i="3"/>
  <c r="N231" i="3"/>
  <c r="M231" i="3"/>
  <c r="L231" i="3"/>
  <c r="N230" i="3"/>
  <c r="M230" i="3"/>
  <c r="L230" i="3"/>
  <c r="N229" i="3"/>
  <c r="M229" i="3"/>
  <c r="L229" i="3"/>
  <c r="N228" i="3"/>
  <c r="M228" i="3"/>
  <c r="L228" i="3"/>
  <c r="N227" i="3"/>
  <c r="M227" i="3"/>
  <c r="L227" i="3"/>
  <c r="N226" i="3"/>
  <c r="M226" i="3"/>
  <c r="L226" i="3"/>
  <c r="N225" i="3"/>
  <c r="M225" i="3"/>
  <c r="L225" i="3"/>
  <c r="N224" i="3"/>
  <c r="M224" i="3"/>
  <c r="L224" i="3"/>
  <c r="N223" i="3"/>
  <c r="M223" i="3"/>
  <c r="L223" i="3"/>
  <c r="N222" i="3"/>
  <c r="M222" i="3"/>
  <c r="L222" i="3"/>
  <c r="N221" i="3"/>
  <c r="M221" i="3"/>
  <c r="L221" i="3"/>
  <c r="N220" i="3"/>
  <c r="M220" i="3"/>
  <c r="L220" i="3"/>
  <c r="N219" i="3"/>
  <c r="M219" i="3"/>
  <c r="L219" i="3"/>
  <c r="N218" i="3"/>
  <c r="M218" i="3"/>
  <c r="L218" i="3"/>
  <c r="N217" i="3"/>
  <c r="M217" i="3"/>
  <c r="L217" i="3"/>
  <c r="N216" i="3"/>
  <c r="M216" i="3"/>
  <c r="L216" i="3"/>
  <c r="N215" i="3"/>
  <c r="M215" i="3"/>
  <c r="L215" i="3"/>
  <c r="N214" i="3"/>
  <c r="M214" i="3"/>
  <c r="L214" i="3"/>
  <c r="N213" i="3"/>
  <c r="M213" i="3"/>
  <c r="L213" i="3"/>
  <c r="N212" i="3"/>
  <c r="M212" i="3"/>
  <c r="L212" i="3"/>
  <c r="N211" i="3"/>
  <c r="M211" i="3"/>
  <c r="L211" i="3"/>
  <c r="N210" i="3"/>
  <c r="M210" i="3"/>
  <c r="L210" i="3"/>
  <c r="N209" i="3"/>
  <c r="M209" i="3"/>
  <c r="L209" i="3"/>
  <c r="N208" i="3"/>
  <c r="M208" i="3"/>
  <c r="L208" i="3"/>
  <c r="N207" i="3"/>
  <c r="M207" i="3"/>
  <c r="L207" i="3"/>
  <c r="N206" i="3"/>
  <c r="M206" i="3"/>
  <c r="L206" i="3"/>
  <c r="N205" i="3"/>
  <c r="M205" i="3"/>
  <c r="L205" i="3"/>
  <c r="N204" i="3"/>
  <c r="M204" i="3"/>
  <c r="L204" i="3"/>
  <c r="N203" i="3"/>
  <c r="M203" i="3"/>
  <c r="L203" i="3"/>
  <c r="N202" i="3"/>
  <c r="M202" i="3"/>
  <c r="L202" i="3"/>
  <c r="N201" i="3"/>
  <c r="M201" i="3"/>
  <c r="L201" i="3"/>
  <c r="N200" i="3"/>
  <c r="M200" i="3"/>
  <c r="L200" i="3"/>
  <c r="N199" i="3"/>
  <c r="M199" i="3"/>
  <c r="L199" i="3"/>
  <c r="N198" i="3"/>
  <c r="M198" i="3"/>
  <c r="L198" i="3"/>
  <c r="N197" i="3"/>
  <c r="M197" i="3"/>
  <c r="L197" i="3"/>
  <c r="N196" i="3"/>
  <c r="M196" i="3"/>
  <c r="L196" i="3"/>
  <c r="N195" i="3"/>
  <c r="M195" i="3"/>
  <c r="L195" i="3"/>
  <c r="N194" i="3"/>
  <c r="M194" i="3"/>
  <c r="L194" i="3"/>
  <c r="N193" i="3"/>
  <c r="M193" i="3"/>
  <c r="L193" i="3"/>
  <c r="N192" i="3"/>
  <c r="M192" i="3"/>
  <c r="L192" i="3"/>
  <c r="N191" i="3"/>
  <c r="M191" i="3"/>
  <c r="L191" i="3"/>
  <c r="N190" i="3"/>
  <c r="M190" i="3"/>
  <c r="L190" i="3"/>
  <c r="N189" i="3"/>
  <c r="M189" i="3"/>
  <c r="L189" i="3"/>
  <c r="N188" i="3"/>
  <c r="M188" i="3"/>
  <c r="L188" i="3"/>
  <c r="N187" i="3"/>
  <c r="M187" i="3"/>
  <c r="L187" i="3"/>
  <c r="N186" i="3"/>
  <c r="M186" i="3"/>
  <c r="L186" i="3"/>
  <c r="N185" i="3"/>
  <c r="M185" i="3"/>
  <c r="L185" i="3"/>
  <c r="N184" i="3"/>
  <c r="M184" i="3"/>
  <c r="L184" i="3"/>
  <c r="N183" i="3"/>
  <c r="M183" i="3"/>
  <c r="L183" i="3"/>
  <c r="N182" i="3"/>
  <c r="M182" i="3"/>
  <c r="L182" i="3"/>
  <c r="N181" i="3"/>
  <c r="M181" i="3"/>
  <c r="L181" i="3"/>
  <c r="N180" i="3"/>
  <c r="M180" i="3"/>
  <c r="L180" i="3"/>
  <c r="N179" i="3"/>
  <c r="M179" i="3"/>
  <c r="L179" i="3"/>
  <c r="N178" i="3"/>
  <c r="M178" i="3"/>
  <c r="L178" i="3"/>
  <c r="N177" i="3"/>
  <c r="M177" i="3"/>
  <c r="L177" i="3"/>
  <c r="N176" i="3"/>
  <c r="M176" i="3"/>
  <c r="L176" i="3"/>
  <c r="N175" i="3"/>
  <c r="M175" i="3"/>
  <c r="L175" i="3"/>
  <c r="N174" i="3"/>
  <c r="M174" i="3"/>
  <c r="L174" i="3"/>
  <c r="N173" i="3"/>
  <c r="M173" i="3"/>
  <c r="L173" i="3"/>
  <c r="N172" i="3"/>
  <c r="M172" i="3"/>
  <c r="L172" i="3"/>
  <c r="N171" i="3"/>
  <c r="M171" i="3"/>
  <c r="L171" i="3"/>
  <c r="N170" i="3"/>
  <c r="M170" i="3"/>
  <c r="L170" i="3"/>
  <c r="N169" i="3"/>
  <c r="M169" i="3"/>
  <c r="L169" i="3"/>
  <c r="N168" i="3"/>
  <c r="M168" i="3"/>
  <c r="L168" i="3"/>
  <c r="N167" i="3"/>
  <c r="M167" i="3"/>
  <c r="L167" i="3"/>
  <c r="N166" i="3"/>
  <c r="M166" i="3"/>
  <c r="L166" i="3"/>
  <c r="N165" i="3"/>
  <c r="M165" i="3"/>
  <c r="L165" i="3"/>
  <c r="N164" i="3"/>
  <c r="M164" i="3"/>
  <c r="L164" i="3"/>
  <c r="N163" i="3"/>
  <c r="M163" i="3"/>
  <c r="L163" i="3"/>
  <c r="N162" i="3"/>
  <c r="M162" i="3"/>
  <c r="L162" i="3"/>
  <c r="N161" i="3"/>
  <c r="M161" i="3"/>
  <c r="L161" i="3"/>
  <c r="N160" i="3"/>
  <c r="M160" i="3"/>
  <c r="L160" i="3"/>
  <c r="N159" i="3"/>
  <c r="M159" i="3"/>
  <c r="L159" i="3"/>
  <c r="N158" i="3"/>
  <c r="M158" i="3"/>
  <c r="L158" i="3"/>
  <c r="N157" i="3"/>
  <c r="M157" i="3"/>
  <c r="L157" i="3"/>
  <c r="N156" i="3"/>
  <c r="M156" i="3"/>
  <c r="L156" i="3"/>
  <c r="N155" i="3"/>
  <c r="M155" i="3"/>
  <c r="L155" i="3"/>
  <c r="N154" i="3"/>
  <c r="M154" i="3"/>
  <c r="L154" i="3"/>
  <c r="N153" i="3"/>
  <c r="M153" i="3"/>
  <c r="L153" i="3"/>
  <c r="N152" i="3"/>
  <c r="M152" i="3"/>
  <c r="L152" i="3"/>
  <c r="N151" i="3"/>
  <c r="M151" i="3"/>
  <c r="L151" i="3"/>
  <c r="N150" i="3"/>
  <c r="M150" i="3"/>
  <c r="L150" i="3"/>
  <c r="N149" i="3"/>
  <c r="M149" i="3"/>
  <c r="L149" i="3"/>
  <c r="N148" i="3"/>
  <c r="M148" i="3"/>
  <c r="L148" i="3"/>
  <c r="N147" i="3"/>
  <c r="M147" i="3"/>
  <c r="L147" i="3"/>
  <c r="N146" i="3"/>
  <c r="M146" i="3"/>
  <c r="L146" i="3"/>
  <c r="N145" i="3"/>
  <c r="M145" i="3"/>
  <c r="L145" i="3"/>
  <c r="N144" i="3"/>
  <c r="M144" i="3"/>
  <c r="L144" i="3"/>
  <c r="N143" i="3"/>
  <c r="M143" i="3"/>
  <c r="L143" i="3"/>
  <c r="N142" i="3"/>
  <c r="M142" i="3"/>
  <c r="L142" i="3"/>
  <c r="N141" i="3"/>
  <c r="M141" i="3"/>
  <c r="L141" i="3"/>
  <c r="N140" i="3"/>
  <c r="M140" i="3"/>
  <c r="L140" i="3"/>
  <c r="N139" i="3"/>
  <c r="M139" i="3"/>
  <c r="L139" i="3"/>
  <c r="N138" i="3"/>
  <c r="M138" i="3"/>
  <c r="L138" i="3"/>
  <c r="N137" i="3"/>
  <c r="M137" i="3"/>
  <c r="L137" i="3"/>
  <c r="N136" i="3"/>
  <c r="M136" i="3"/>
  <c r="L136" i="3"/>
  <c r="N135" i="3"/>
  <c r="M135" i="3"/>
  <c r="L135" i="3"/>
  <c r="N134" i="3"/>
  <c r="M134" i="3"/>
  <c r="L134" i="3"/>
  <c r="N133" i="3"/>
  <c r="M133" i="3"/>
  <c r="L133" i="3"/>
  <c r="N132" i="3"/>
  <c r="M132" i="3"/>
  <c r="L132" i="3"/>
  <c r="N131" i="3"/>
  <c r="M131" i="3"/>
  <c r="L131" i="3"/>
  <c r="N130" i="3"/>
  <c r="M130" i="3"/>
  <c r="L130" i="3"/>
  <c r="N129" i="3"/>
  <c r="M129" i="3"/>
  <c r="L129" i="3"/>
  <c r="N128" i="3"/>
  <c r="M128" i="3"/>
  <c r="L128" i="3"/>
  <c r="N127" i="3"/>
  <c r="M127" i="3"/>
  <c r="L127" i="3"/>
  <c r="N126" i="3"/>
  <c r="M126" i="3"/>
  <c r="L126" i="3"/>
  <c r="N125" i="3"/>
  <c r="M125" i="3"/>
  <c r="L125" i="3"/>
  <c r="N124" i="3"/>
  <c r="M124" i="3"/>
  <c r="L124" i="3"/>
  <c r="N123" i="3"/>
  <c r="M123" i="3"/>
  <c r="L123" i="3"/>
  <c r="N122" i="3"/>
  <c r="M122" i="3"/>
  <c r="L122" i="3"/>
  <c r="N121" i="3"/>
  <c r="M121" i="3"/>
  <c r="L121" i="3"/>
  <c r="N120" i="3"/>
  <c r="M120" i="3"/>
  <c r="L120" i="3"/>
  <c r="N119" i="3"/>
  <c r="M119" i="3"/>
  <c r="L119" i="3"/>
  <c r="N118" i="3"/>
  <c r="M118" i="3"/>
  <c r="L118" i="3"/>
  <c r="N117" i="3"/>
  <c r="M117" i="3"/>
  <c r="L117" i="3"/>
  <c r="N116" i="3"/>
  <c r="M116" i="3"/>
  <c r="L116" i="3"/>
  <c r="N115" i="3"/>
  <c r="M115" i="3"/>
  <c r="L115" i="3"/>
  <c r="N114" i="3"/>
  <c r="M114" i="3"/>
  <c r="L114" i="3"/>
  <c r="N113" i="3"/>
  <c r="M113" i="3"/>
  <c r="L113" i="3"/>
  <c r="N112" i="3"/>
  <c r="M112" i="3"/>
  <c r="L112" i="3"/>
  <c r="N111" i="3"/>
  <c r="M111" i="3"/>
  <c r="L111" i="3"/>
  <c r="N110" i="3"/>
  <c r="M110" i="3"/>
  <c r="L110" i="3"/>
  <c r="N109" i="3"/>
  <c r="M109" i="3"/>
  <c r="L109" i="3"/>
  <c r="N108" i="3"/>
  <c r="M108" i="3"/>
  <c r="L108" i="3"/>
  <c r="N107" i="3"/>
  <c r="M107" i="3"/>
  <c r="L107" i="3"/>
  <c r="N106" i="3"/>
  <c r="M106" i="3"/>
  <c r="L106" i="3"/>
  <c r="N105" i="3"/>
  <c r="M105" i="3"/>
  <c r="L105" i="3"/>
  <c r="N104" i="3"/>
  <c r="M104" i="3"/>
  <c r="L104" i="3"/>
  <c r="N103" i="3"/>
  <c r="M103" i="3"/>
  <c r="L103" i="3"/>
  <c r="N102" i="3"/>
  <c r="M102" i="3"/>
  <c r="L102" i="3"/>
  <c r="N101" i="3"/>
  <c r="M101" i="3"/>
  <c r="L101" i="3"/>
  <c r="N100" i="3"/>
  <c r="M100" i="3"/>
  <c r="L100" i="3"/>
  <c r="N99" i="3"/>
  <c r="M99" i="3"/>
  <c r="L99" i="3"/>
  <c r="N98" i="3"/>
  <c r="M98" i="3"/>
  <c r="L98" i="3"/>
  <c r="N97" i="3"/>
  <c r="M97" i="3"/>
  <c r="L97" i="3"/>
  <c r="N96" i="3"/>
  <c r="M96" i="3"/>
  <c r="L96" i="3"/>
  <c r="N95" i="3"/>
  <c r="M95" i="3"/>
  <c r="L95" i="3"/>
  <c r="N94" i="3"/>
  <c r="M94" i="3"/>
  <c r="L94" i="3"/>
  <c r="N93" i="3"/>
  <c r="M93" i="3"/>
  <c r="L93" i="3"/>
  <c r="N92" i="3"/>
  <c r="M92" i="3"/>
  <c r="L92" i="3"/>
  <c r="N91" i="3"/>
  <c r="M91" i="3"/>
  <c r="L91" i="3"/>
  <c r="N90" i="3"/>
  <c r="M90" i="3"/>
  <c r="L90" i="3"/>
  <c r="N89" i="3"/>
  <c r="M89" i="3"/>
  <c r="L89" i="3"/>
  <c r="N88" i="3"/>
  <c r="M88" i="3"/>
  <c r="L88" i="3"/>
  <c r="N87" i="3"/>
  <c r="M87" i="3"/>
  <c r="L87" i="3"/>
  <c r="N86" i="3"/>
  <c r="M86" i="3"/>
  <c r="L86" i="3"/>
  <c r="N85" i="3"/>
  <c r="M85" i="3"/>
  <c r="L85" i="3"/>
  <c r="N84" i="3"/>
  <c r="M84" i="3"/>
  <c r="L84" i="3"/>
  <c r="N83" i="3"/>
  <c r="M83" i="3"/>
  <c r="L83" i="3"/>
  <c r="N82" i="3"/>
  <c r="M82" i="3"/>
  <c r="L82" i="3"/>
  <c r="N81" i="3"/>
  <c r="M81" i="3"/>
  <c r="L81" i="3"/>
  <c r="N80" i="3"/>
  <c r="M80" i="3"/>
  <c r="L80" i="3"/>
  <c r="N79" i="3"/>
  <c r="M79" i="3"/>
  <c r="L79" i="3"/>
  <c r="N78" i="3"/>
  <c r="M78" i="3"/>
  <c r="L78" i="3"/>
  <c r="N77" i="3"/>
  <c r="M77" i="3"/>
  <c r="L77" i="3"/>
  <c r="N76" i="3"/>
  <c r="M76" i="3"/>
  <c r="L76" i="3"/>
  <c r="N75" i="3"/>
  <c r="M75" i="3"/>
  <c r="L75" i="3"/>
  <c r="N74" i="3"/>
  <c r="M74" i="3"/>
  <c r="L74" i="3"/>
  <c r="N73" i="3"/>
  <c r="M73" i="3"/>
  <c r="L73" i="3"/>
  <c r="N72" i="3"/>
  <c r="M72" i="3"/>
  <c r="L72" i="3"/>
  <c r="N71" i="3"/>
  <c r="M71" i="3"/>
  <c r="L71" i="3"/>
  <c r="N70" i="3"/>
  <c r="M70" i="3"/>
  <c r="L70" i="3"/>
  <c r="N69" i="3"/>
  <c r="M69" i="3"/>
  <c r="L69" i="3"/>
  <c r="N68" i="3"/>
  <c r="M68" i="3"/>
  <c r="L68" i="3"/>
  <c r="N67" i="3"/>
  <c r="M67" i="3"/>
  <c r="L67" i="3"/>
  <c r="N66" i="3"/>
  <c r="M66" i="3"/>
  <c r="L66" i="3"/>
  <c r="N65" i="3"/>
  <c r="M65" i="3"/>
  <c r="L65" i="3"/>
  <c r="N64" i="3"/>
  <c r="M64" i="3"/>
  <c r="L64" i="3"/>
  <c r="N63" i="3"/>
  <c r="M63" i="3"/>
  <c r="L63" i="3"/>
  <c r="N62" i="3"/>
  <c r="M62" i="3"/>
  <c r="L62" i="3"/>
  <c r="N61" i="3"/>
  <c r="M61" i="3"/>
  <c r="L61" i="3"/>
  <c r="N60" i="3"/>
  <c r="M60" i="3"/>
  <c r="L60" i="3"/>
  <c r="N59" i="3"/>
  <c r="M59" i="3"/>
  <c r="L59" i="3"/>
  <c r="N58" i="3"/>
  <c r="M58" i="3"/>
  <c r="L58" i="3"/>
  <c r="N57" i="3"/>
  <c r="M57" i="3"/>
  <c r="L57" i="3"/>
  <c r="N56" i="3"/>
  <c r="M56" i="3"/>
  <c r="L56" i="3"/>
  <c r="N55" i="3"/>
  <c r="M55" i="3"/>
  <c r="L55" i="3"/>
  <c r="N54" i="3"/>
  <c r="M54" i="3"/>
  <c r="L54" i="3"/>
  <c r="N53" i="3"/>
  <c r="M53" i="3"/>
  <c r="L53" i="3"/>
  <c r="N52" i="3"/>
  <c r="M52" i="3"/>
  <c r="L52" i="3"/>
  <c r="N51" i="3"/>
  <c r="M51" i="3"/>
  <c r="L51" i="3"/>
  <c r="N50" i="3"/>
  <c r="M50" i="3"/>
  <c r="L50" i="3"/>
  <c r="N49" i="3"/>
  <c r="M49" i="3"/>
  <c r="L49" i="3"/>
  <c r="N48" i="3"/>
  <c r="M48" i="3"/>
  <c r="L48" i="3"/>
  <c r="N47" i="3"/>
  <c r="M47" i="3"/>
  <c r="L47" i="3"/>
  <c r="N46" i="3"/>
  <c r="M46" i="3"/>
  <c r="L46" i="3"/>
  <c r="N45" i="3"/>
  <c r="M45" i="3"/>
  <c r="L45" i="3"/>
  <c r="N44" i="3"/>
  <c r="M44" i="3"/>
  <c r="L44" i="3"/>
  <c r="N43" i="3"/>
  <c r="M43" i="3"/>
  <c r="L43" i="3"/>
  <c r="N42" i="3"/>
  <c r="M42" i="3"/>
  <c r="L42" i="3"/>
  <c r="N41" i="3"/>
  <c r="M41" i="3"/>
  <c r="L41" i="3"/>
  <c r="N40" i="3"/>
  <c r="M40" i="3"/>
  <c r="L40" i="3"/>
  <c r="N39" i="3"/>
  <c r="M39" i="3"/>
  <c r="L39" i="3"/>
  <c r="N38" i="3"/>
  <c r="M38" i="3"/>
  <c r="L38" i="3"/>
  <c r="N37" i="3"/>
  <c r="M37" i="3"/>
  <c r="L37" i="3"/>
  <c r="N36" i="3"/>
  <c r="M36" i="3"/>
  <c r="L36" i="3"/>
  <c r="N35" i="3"/>
  <c r="M35" i="3"/>
  <c r="L35" i="3"/>
  <c r="N34" i="3"/>
  <c r="M34" i="3"/>
  <c r="L34" i="3"/>
  <c r="N33" i="3"/>
  <c r="M33" i="3"/>
  <c r="L33" i="3"/>
  <c r="N32" i="3"/>
  <c r="M32" i="3"/>
  <c r="L32" i="3"/>
  <c r="N31" i="3"/>
  <c r="M31" i="3"/>
  <c r="L31" i="3"/>
  <c r="N30" i="3"/>
  <c r="M30" i="3"/>
  <c r="L30" i="3"/>
  <c r="N29" i="3"/>
  <c r="M29" i="3"/>
  <c r="L29" i="3"/>
  <c r="N28" i="3"/>
  <c r="M28" i="3"/>
  <c r="L28" i="3"/>
  <c r="N27" i="3"/>
  <c r="M27" i="3"/>
  <c r="L27" i="3"/>
  <c r="N26" i="3"/>
  <c r="M26" i="3"/>
  <c r="L26" i="3"/>
  <c r="N25" i="3"/>
  <c r="M25" i="3"/>
  <c r="L25" i="3"/>
  <c r="N24" i="3"/>
  <c r="M24" i="3"/>
  <c r="L24" i="3"/>
  <c r="N23" i="3"/>
  <c r="M23" i="3"/>
  <c r="L23" i="3"/>
  <c r="N22" i="3"/>
  <c r="M22" i="3"/>
  <c r="L22" i="3"/>
  <c r="N21" i="3"/>
  <c r="M21" i="3"/>
  <c r="L21" i="3"/>
  <c r="N20" i="3"/>
  <c r="M20" i="3"/>
  <c r="L20" i="3"/>
  <c r="N19" i="3"/>
  <c r="M19" i="3"/>
  <c r="L19" i="3"/>
  <c r="N18" i="3"/>
  <c r="M18" i="3"/>
  <c r="L18" i="3"/>
  <c r="N17" i="3"/>
  <c r="M17" i="3"/>
  <c r="L17" i="3"/>
  <c r="N16" i="3"/>
  <c r="M16" i="3"/>
  <c r="L16" i="3"/>
  <c r="N15" i="3"/>
  <c r="M15" i="3"/>
  <c r="L15" i="3"/>
  <c r="N14" i="3"/>
  <c r="M14" i="3"/>
  <c r="L14" i="3"/>
  <c r="N13" i="3"/>
  <c r="M13" i="3"/>
  <c r="L13" i="3"/>
  <c r="N12" i="3"/>
  <c r="M12" i="3"/>
  <c r="L12" i="3"/>
  <c r="N11" i="3"/>
  <c r="M11" i="3"/>
  <c r="L11" i="3"/>
  <c r="N10" i="3"/>
  <c r="M10" i="3"/>
  <c r="L10" i="3"/>
  <c r="N9" i="3"/>
  <c r="M9" i="3"/>
  <c r="L9" i="3"/>
  <c r="N8" i="3"/>
  <c r="M8" i="3"/>
  <c r="L8" i="3"/>
  <c r="N7" i="3"/>
  <c r="M7" i="3"/>
  <c r="L7" i="3"/>
  <c r="W6" i="3"/>
  <c r="V6" i="3"/>
  <c r="U6" i="3"/>
  <c r="T6" i="3"/>
  <c r="S6" i="3"/>
  <c r="R6" i="3"/>
  <c r="Q6" i="3"/>
  <c r="P6" i="3"/>
  <c r="O6" i="3"/>
  <c r="N6" i="3"/>
  <c r="M6" i="3"/>
  <c r="L6" i="3"/>
  <c r="N5" i="3"/>
  <c r="R2" i="3" s="1"/>
  <c r="M5" i="3"/>
  <c r="L5" i="3"/>
  <c r="P2" i="3" s="1"/>
  <c r="Q2" i="3"/>
</calcChain>
</file>

<file path=xl/sharedStrings.xml><?xml version="1.0" encoding="utf-8"?>
<sst xmlns="http://schemas.openxmlformats.org/spreadsheetml/2006/main" count="7797" uniqueCount="3425">
  <si>
    <t>壽險公會建議修正草案對照表</t>
    <phoneticPr fontId="5" type="noConversion"/>
  </si>
  <si>
    <r>
      <rPr>
        <b/>
        <sz val="14"/>
        <rFont val="標楷體"/>
        <family val="4"/>
        <charset val="136"/>
      </rPr>
      <t>代碼</t>
    </r>
    <phoneticPr fontId="5" type="noConversion"/>
  </si>
  <si>
    <r>
      <rPr>
        <b/>
        <sz val="14"/>
        <rFont val="標楷體"/>
        <family val="4"/>
        <charset val="136"/>
      </rPr>
      <t>工作性質</t>
    </r>
    <phoneticPr fontId="5" type="noConversion"/>
  </si>
  <si>
    <r>
      <rPr>
        <b/>
        <sz val="14"/>
        <rFont val="標楷體"/>
        <family val="4"/>
        <charset val="136"/>
      </rPr>
      <t>職業等級</t>
    </r>
    <phoneticPr fontId="5" type="noConversion"/>
  </si>
  <si>
    <r>
      <rPr>
        <b/>
        <sz val="14"/>
        <rFont val="標楷體"/>
        <family val="4"/>
        <charset val="136"/>
      </rPr>
      <t>修正理由</t>
    </r>
    <phoneticPr fontId="5" type="noConversion"/>
  </si>
  <si>
    <r>
      <t xml:space="preserve">00
</t>
    </r>
    <r>
      <rPr>
        <sz val="14"/>
        <rFont val="標楷體"/>
        <family val="4"/>
        <charset val="136"/>
      </rPr>
      <t>一般職業</t>
    </r>
    <phoneticPr fontId="3" type="noConversion"/>
  </si>
  <si>
    <r>
      <t xml:space="preserve">0001  </t>
    </r>
    <r>
      <rPr>
        <sz val="14"/>
        <rFont val="標楷體"/>
        <family val="4"/>
        <charset val="136"/>
      </rPr>
      <t xml:space="preserve">機關團體公司行號
</t>
    </r>
    <r>
      <rPr>
        <sz val="14"/>
        <rFont val="Times New Roman"/>
        <family val="1"/>
      </rPr>
      <t xml:space="preserve">          </t>
    </r>
    <phoneticPr fontId="3" type="noConversion"/>
  </si>
  <si>
    <t>00010010</t>
    <phoneticPr fontId="3" type="noConversion"/>
  </si>
  <si>
    <t>新增</t>
    <phoneticPr fontId="5" type="noConversion"/>
  </si>
  <si>
    <t>新增列類似</t>
    <phoneticPr fontId="5" type="noConversion"/>
  </si>
  <si>
    <t>修正用詞(職業稱謂)</t>
    <phoneticPr fontId="5" type="noConversion"/>
  </si>
  <si>
    <t>拆分明確職業項目</t>
    <phoneticPr fontId="5" type="noConversion"/>
  </si>
  <si>
    <t>增加業別之描述性文字</t>
  </si>
  <si>
    <t>內容修正用字</t>
  </si>
  <si>
    <t>調降</t>
  </si>
  <si>
    <t>調升</t>
  </si>
  <si>
    <t>刪除代碼</t>
    <phoneticPr fontId="5" type="noConversion"/>
  </si>
  <si>
    <t>00010020</t>
    <phoneticPr fontId="3" type="noConversion"/>
  </si>
  <si>
    <r>
      <t xml:space="preserve">01 
</t>
    </r>
    <r>
      <rPr>
        <sz val="14"/>
        <rFont val="標楷體"/>
        <family val="4"/>
        <charset val="136"/>
      </rPr>
      <t>農牧業</t>
    </r>
    <phoneticPr fontId="3" type="noConversion"/>
  </si>
  <si>
    <r>
      <t xml:space="preserve">0101  </t>
    </r>
    <r>
      <rPr>
        <sz val="14"/>
        <rFont val="標楷體"/>
        <family val="4"/>
        <charset val="136"/>
      </rPr>
      <t>農業</t>
    </r>
    <phoneticPr fontId="3" type="noConversion"/>
  </si>
  <si>
    <t>01010010</t>
    <phoneticPr fontId="3" type="noConversion"/>
  </si>
  <si>
    <t>01010020</t>
    <phoneticPr fontId="3" type="noConversion"/>
  </si>
  <si>
    <t>01010030</t>
    <phoneticPr fontId="3" type="noConversion"/>
  </si>
  <si>
    <t>01010040</t>
  </si>
  <si>
    <t>01010050</t>
  </si>
  <si>
    <t>01010060</t>
  </si>
  <si>
    <t>01010070</t>
  </si>
  <si>
    <t>01010080</t>
  </si>
  <si>
    <t>01010090</t>
  </si>
  <si>
    <t>01010100</t>
  </si>
  <si>
    <t>01010110</t>
  </si>
  <si>
    <t>01010111</t>
    <phoneticPr fontId="5" type="noConversion"/>
  </si>
  <si>
    <t>01010120</t>
  </si>
  <si>
    <r>
      <rPr>
        <b/>
        <sz val="14"/>
        <rFont val="標楷體"/>
        <family val="4"/>
        <charset val="136"/>
      </rPr>
      <t>茶農</t>
    </r>
    <r>
      <rPr>
        <b/>
        <sz val="14"/>
        <color rgb="FFFF0000"/>
        <rFont val="標楷體"/>
        <family val="4"/>
        <charset val="136"/>
      </rPr>
      <t>、</t>
    </r>
    <r>
      <rPr>
        <b/>
        <u/>
        <sz val="14"/>
        <color rgb="FFFF0000"/>
        <rFont val="標楷體"/>
        <family val="4"/>
        <charset val="136"/>
      </rPr>
      <t>製茶人員</t>
    </r>
    <phoneticPr fontId="3" type="noConversion"/>
  </si>
  <si>
    <t>增列類似之工作性質。</t>
    <phoneticPr fontId="5" type="noConversion"/>
  </si>
  <si>
    <t>新增列類似</t>
  </si>
  <si>
    <t>01010130</t>
  </si>
  <si>
    <t>01010140</t>
  </si>
  <si>
    <t>01010150</t>
  </si>
  <si>
    <t>01010160</t>
  </si>
  <si>
    <t>01010170</t>
    <phoneticPr fontId="5" type="noConversion"/>
  </si>
  <si>
    <t>01010180</t>
    <phoneticPr fontId="3" type="noConversion"/>
  </si>
  <si>
    <t>01010190</t>
    <phoneticPr fontId="3" type="noConversion"/>
  </si>
  <si>
    <r>
      <rPr>
        <b/>
        <u/>
        <sz val="14"/>
        <color rgb="FFFF0000"/>
        <rFont val="標楷體"/>
        <family val="4"/>
        <charset val="136"/>
      </rPr>
      <t>科技農夫</t>
    </r>
    <r>
      <rPr>
        <b/>
        <u/>
        <sz val="14"/>
        <color rgb="FFFF0000"/>
        <rFont val="Times New Roman"/>
        <family val="1"/>
      </rPr>
      <t>(</t>
    </r>
    <r>
      <rPr>
        <b/>
        <u/>
        <sz val="14"/>
        <color rgb="FFFF0000"/>
        <rFont val="標楷體"/>
        <family val="4"/>
        <charset val="136"/>
      </rPr>
      <t>不親自作業</t>
    </r>
    <r>
      <rPr>
        <b/>
        <u/>
        <sz val="14"/>
        <color rgb="FFFF0000"/>
        <rFont val="Times New Roman"/>
        <family val="1"/>
      </rPr>
      <t>)</t>
    </r>
    <r>
      <rPr>
        <b/>
        <u/>
        <sz val="14"/>
        <color rgb="FFFF0000"/>
        <rFont val="標楷體"/>
        <family val="4"/>
        <charset val="136"/>
      </rPr>
      <t>、生物科技工程師、飼料研究員</t>
    </r>
    <phoneticPr fontId="5" type="noConversion"/>
  </si>
  <si>
    <r>
      <rPr>
        <sz val="14"/>
        <color theme="1"/>
        <rFont val="標楷體"/>
        <family val="4"/>
        <charset val="136"/>
      </rPr>
      <t>科技農夫係指研發自動化農耕系統等，生物科技工程師與飼料研究員亦多屬研發工作，職業等級建議比照內勤人員為</t>
    </r>
    <r>
      <rPr>
        <sz val="14"/>
        <color theme="1"/>
        <rFont val="Times New Roman"/>
        <family val="1"/>
      </rPr>
      <t>1</t>
    </r>
    <r>
      <rPr>
        <sz val="14"/>
        <color theme="1"/>
        <rFont val="標楷體"/>
        <family val="4"/>
        <charset val="136"/>
      </rPr>
      <t>級。</t>
    </r>
    <phoneticPr fontId="3" type="noConversion"/>
  </si>
  <si>
    <r>
      <t xml:space="preserve">0102  </t>
    </r>
    <r>
      <rPr>
        <sz val="14"/>
        <rFont val="標楷體"/>
        <family val="4"/>
        <charset val="136"/>
      </rPr>
      <t>牧業</t>
    </r>
    <phoneticPr fontId="3" type="noConversion"/>
  </si>
  <si>
    <t>01020010</t>
    <phoneticPr fontId="3" type="noConversion"/>
  </si>
  <si>
    <t>01020020</t>
    <phoneticPr fontId="3" type="noConversion"/>
  </si>
  <si>
    <t>01020040</t>
    <phoneticPr fontId="3" type="noConversion"/>
  </si>
  <si>
    <t>01020050</t>
    <phoneticPr fontId="3" type="noConversion"/>
  </si>
  <si>
    <t>01020060</t>
    <phoneticPr fontId="3" type="noConversion"/>
  </si>
  <si>
    <t>01020080</t>
    <phoneticPr fontId="3" type="noConversion"/>
  </si>
  <si>
    <r>
      <rPr>
        <b/>
        <sz val="14"/>
        <rFont val="標楷體"/>
        <family val="4"/>
        <charset val="136"/>
      </rPr>
      <t>屠宰場</t>
    </r>
    <r>
      <rPr>
        <b/>
        <u/>
        <sz val="14"/>
        <color rgb="FFFF0000"/>
        <rFont val="標楷體"/>
        <family val="4"/>
        <charset val="136"/>
      </rPr>
      <t>人員</t>
    </r>
    <phoneticPr fontId="5" type="noConversion"/>
  </si>
  <si>
    <t>因應該職業屬性並配合一般大眾對該工作性質之稱謂，擬以較為中性之詞語替換原本所列之工人。</t>
    <phoneticPr fontId="3" type="noConversion"/>
  </si>
  <si>
    <t>修正用詞(職業稱謂)</t>
  </si>
  <si>
    <r>
      <t xml:space="preserve">02
</t>
    </r>
    <r>
      <rPr>
        <sz val="14"/>
        <rFont val="標楷體"/>
        <family val="4"/>
        <charset val="136"/>
      </rPr>
      <t>漁業</t>
    </r>
    <phoneticPr fontId="3" type="noConversion"/>
  </si>
  <si>
    <r>
      <t xml:space="preserve">0201  </t>
    </r>
    <r>
      <rPr>
        <sz val="14"/>
        <rFont val="標楷體"/>
        <family val="4"/>
        <charset val="136"/>
      </rPr>
      <t>內陸漁業</t>
    </r>
    <phoneticPr fontId="3" type="noConversion"/>
  </si>
  <si>
    <t>02010010</t>
    <phoneticPr fontId="3" type="noConversion"/>
  </si>
  <si>
    <t>02010011</t>
    <phoneticPr fontId="3" type="noConversion"/>
  </si>
  <si>
    <t>02010020</t>
    <phoneticPr fontId="3" type="noConversion"/>
  </si>
  <si>
    <r>
      <rPr>
        <b/>
        <sz val="14"/>
        <rFont val="標楷體"/>
        <family val="4"/>
        <charset val="136"/>
      </rPr>
      <t>養殖</t>
    </r>
    <r>
      <rPr>
        <b/>
        <u/>
        <sz val="14"/>
        <color rgb="FFFF0000"/>
        <rFont val="標楷體"/>
        <family val="4"/>
        <charset val="136"/>
      </rPr>
      <t>人員</t>
    </r>
    <r>
      <rPr>
        <b/>
        <sz val="14"/>
        <rFont val="標楷體"/>
        <family val="4"/>
        <charset val="136"/>
      </rPr>
      <t>（內陸）</t>
    </r>
    <phoneticPr fontId="3" type="noConversion"/>
  </si>
  <si>
    <r>
      <rPr>
        <sz val="14"/>
        <color theme="1"/>
        <rFont val="標楷體"/>
        <family val="4"/>
        <charset val="136"/>
      </rPr>
      <t>因應該職業屬性並配合一般大眾對該工作性質之稱謂，擬以較為中性之詞語替換原本所列之工人。</t>
    </r>
    <phoneticPr fontId="3" type="noConversion"/>
  </si>
  <si>
    <t>02010021</t>
    <phoneticPr fontId="3" type="noConversion"/>
  </si>
  <si>
    <r>
      <rPr>
        <b/>
        <sz val="14"/>
        <rFont val="標楷體"/>
        <family val="4"/>
        <charset val="136"/>
      </rPr>
      <t>養殖</t>
    </r>
    <r>
      <rPr>
        <b/>
        <u/>
        <sz val="14"/>
        <color rgb="FFFF0000"/>
        <rFont val="標楷體"/>
        <family val="4"/>
        <charset val="136"/>
      </rPr>
      <t>人員</t>
    </r>
    <r>
      <rPr>
        <b/>
        <sz val="14"/>
        <rFont val="標楷體"/>
        <family val="4"/>
        <charset val="136"/>
      </rPr>
      <t>（沿海）</t>
    </r>
    <phoneticPr fontId="3" type="noConversion"/>
  </si>
  <si>
    <t>02010030</t>
    <phoneticPr fontId="3" type="noConversion"/>
  </si>
  <si>
    <t>02010040</t>
    <phoneticPr fontId="3" type="noConversion"/>
  </si>
  <si>
    <t>02010041</t>
    <phoneticPr fontId="3" type="noConversion"/>
  </si>
  <si>
    <t>02010050</t>
    <phoneticPr fontId="3" type="noConversion"/>
  </si>
  <si>
    <t>02010051</t>
    <phoneticPr fontId="3" type="noConversion"/>
  </si>
  <si>
    <t>02010060</t>
    <phoneticPr fontId="3" type="noConversion"/>
  </si>
  <si>
    <t>02010070</t>
  </si>
  <si>
    <t>02010071</t>
    <phoneticPr fontId="5" type="noConversion"/>
  </si>
  <si>
    <t>02010080</t>
  </si>
  <si>
    <t>02010090</t>
  </si>
  <si>
    <r>
      <rPr>
        <b/>
        <sz val="14"/>
        <rFont val="標楷體"/>
        <family val="4"/>
        <charset val="136"/>
      </rPr>
      <t>漁產加工業領班、</t>
    </r>
    <r>
      <rPr>
        <b/>
        <u/>
        <sz val="14"/>
        <color rgb="FFFF0000"/>
        <rFont val="標楷體"/>
        <family val="4"/>
        <charset val="136"/>
      </rPr>
      <t>工作人員</t>
    </r>
    <phoneticPr fontId="3" type="noConversion"/>
  </si>
  <si>
    <r>
      <t xml:space="preserve">0202  </t>
    </r>
    <r>
      <rPr>
        <sz val="14"/>
        <rFont val="標楷體"/>
        <family val="4"/>
        <charset val="136"/>
      </rPr>
      <t>海上漁業</t>
    </r>
    <phoneticPr fontId="3" type="noConversion"/>
  </si>
  <si>
    <t>02020010</t>
    <phoneticPr fontId="3" type="noConversion"/>
  </si>
  <si>
    <t>02020020</t>
    <phoneticPr fontId="3" type="noConversion"/>
  </si>
  <si>
    <t>02020030</t>
    <phoneticPr fontId="3" type="noConversion"/>
  </si>
  <si>
    <r>
      <t xml:space="preserve">03 
</t>
    </r>
    <r>
      <rPr>
        <sz val="14"/>
        <rFont val="標楷體"/>
        <family val="4"/>
        <charset val="136"/>
      </rPr>
      <t>木材森林業</t>
    </r>
    <phoneticPr fontId="3" type="noConversion"/>
  </si>
  <si>
    <r>
      <t xml:space="preserve">0301  </t>
    </r>
    <r>
      <rPr>
        <sz val="14"/>
        <rFont val="標楷體"/>
        <family val="4"/>
        <charset val="136"/>
      </rPr>
      <t>森林砍伐業</t>
    </r>
    <phoneticPr fontId="3" type="noConversion"/>
  </si>
  <si>
    <t>03010010</t>
    <phoneticPr fontId="3" type="noConversion"/>
  </si>
  <si>
    <t>03010020</t>
    <phoneticPr fontId="3" type="noConversion"/>
  </si>
  <si>
    <t>03010030</t>
    <phoneticPr fontId="3" type="noConversion"/>
  </si>
  <si>
    <t>03010040</t>
    <phoneticPr fontId="3" type="noConversion"/>
  </si>
  <si>
    <t>03010050</t>
    <phoneticPr fontId="3" type="noConversion"/>
  </si>
  <si>
    <t>03010060</t>
    <phoneticPr fontId="3" type="noConversion"/>
  </si>
  <si>
    <t>03010070</t>
    <phoneticPr fontId="3" type="noConversion"/>
  </si>
  <si>
    <r>
      <t xml:space="preserve">0302  </t>
    </r>
    <r>
      <rPr>
        <sz val="14"/>
        <rFont val="標楷體"/>
        <family val="4"/>
        <charset val="136"/>
      </rPr>
      <t>木材加工業</t>
    </r>
    <phoneticPr fontId="3" type="noConversion"/>
  </si>
  <si>
    <t>03020010</t>
    <phoneticPr fontId="3" type="noConversion"/>
  </si>
  <si>
    <t>03020020</t>
    <phoneticPr fontId="3" type="noConversion"/>
  </si>
  <si>
    <t>03020030</t>
    <phoneticPr fontId="3" type="noConversion"/>
  </si>
  <si>
    <t>03020040</t>
  </si>
  <si>
    <t>03020050</t>
  </si>
  <si>
    <t>03020060</t>
  </si>
  <si>
    <t>03020070</t>
  </si>
  <si>
    <t>03020080</t>
  </si>
  <si>
    <t>03020090</t>
  </si>
  <si>
    <t>03020100</t>
  </si>
  <si>
    <t>03020110</t>
  </si>
  <si>
    <t>03020120</t>
  </si>
  <si>
    <t>03020130</t>
  </si>
  <si>
    <t>03020140</t>
    <phoneticPr fontId="3" type="noConversion"/>
  </si>
  <si>
    <r>
      <t xml:space="preserve">0303  </t>
    </r>
    <r>
      <rPr>
        <sz val="14"/>
        <rFont val="標楷體"/>
        <family val="4"/>
        <charset val="136"/>
      </rPr>
      <t>造林業</t>
    </r>
    <phoneticPr fontId="3" type="noConversion"/>
  </si>
  <si>
    <t>03030010</t>
    <phoneticPr fontId="3" type="noConversion"/>
  </si>
  <si>
    <t>03030020</t>
    <phoneticPr fontId="3" type="noConversion"/>
  </si>
  <si>
    <t>03030030</t>
    <phoneticPr fontId="3" type="noConversion"/>
  </si>
  <si>
    <t>03030040</t>
  </si>
  <si>
    <t>03030050</t>
  </si>
  <si>
    <t>03030060</t>
  </si>
  <si>
    <t>03030070</t>
    <phoneticPr fontId="3" type="noConversion"/>
  </si>
  <si>
    <t>03030080</t>
    <phoneticPr fontId="5" type="noConversion"/>
  </si>
  <si>
    <r>
      <rPr>
        <b/>
        <sz val="14"/>
        <rFont val="標楷體"/>
        <family val="4"/>
        <charset val="136"/>
      </rPr>
      <t>導覽解說員</t>
    </r>
    <r>
      <rPr>
        <b/>
        <u/>
        <sz val="14"/>
        <color rgb="FFFF0000"/>
        <rFont val="Times New Roman"/>
        <family val="1"/>
      </rPr>
      <t>(</t>
    </r>
    <r>
      <rPr>
        <b/>
        <u/>
        <sz val="14"/>
        <color rgb="FFFF0000"/>
        <rFont val="標楷體"/>
        <family val="4"/>
        <charset val="136"/>
      </rPr>
      <t>室外</t>
    </r>
    <r>
      <rPr>
        <b/>
        <u/>
        <sz val="14"/>
        <color rgb="FFFF0000"/>
        <rFont val="Times New Roman"/>
        <family val="1"/>
      </rPr>
      <t>)</t>
    </r>
    <phoneticPr fontId="5" type="noConversion"/>
  </si>
  <si>
    <r>
      <rPr>
        <sz val="14"/>
        <color theme="1"/>
        <rFont val="標楷體"/>
        <family val="4"/>
        <charset val="136"/>
      </rPr>
      <t>如為室內導覽解說員，因無須戶外活動者，較無危險性，爰建議拆分室內外之導覽解說員，分別職業等級室內為</t>
    </r>
    <r>
      <rPr>
        <sz val="14"/>
        <color theme="1"/>
        <rFont val="Times New Roman"/>
        <family val="1"/>
      </rPr>
      <t>1</t>
    </r>
    <r>
      <rPr>
        <sz val="14"/>
        <color theme="1"/>
        <rFont val="標楷體"/>
        <family val="4"/>
        <charset val="136"/>
      </rPr>
      <t>級，室外為</t>
    </r>
    <r>
      <rPr>
        <sz val="14"/>
        <color theme="1"/>
        <rFont val="Times New Roman"/>
        <family val="1"/>
      </rPr>
      <t>2</t>
    </r>
    <r>
      <rPr>
        <sz val="14"/>
        <color theme="1"/>
        <rFont val="標楷體"/>
        <family val="4"/>
        <charset val="136"/>
      </rPr>
      <t>級。</t>
    </r>
    <phoneticPr fontId="3" type="noConversion"/>
  </si>
  <si>
    <t>03030081</t>
    <phoneticPr fontId="3" type="noConversion"/>
  </si>
  <si>
    <r>
      <rPr>
        <b/>
        <u/>
        <sz val="14"/>
        <color rgb="FFFF0000"/>
        <rFont val="標楷體"/>
        <family val="4"/>
        <charset val="136"/>
      </rPr>
      <t>導覽解說員</t>
    </r>
    <r>
      <rPr>
        <b/>
        <u/>
        <sz val="14"/>
        <color rgb="FFFF0000"/>
        <rFont val="Times New Roman"/>
        <family val="1"/>
      </rPr>
      <t>(</t>
    </r>
    <r>
      <rPr>
        <b/>
        <u/>
        <sz val="14"/>
        <color rgb="FFFF0000"/>
        <rFont val="標楷體"/>
        <family val="4"/>
        <charset val="136"/>
      </rPr>
      <t>室內</t>
    </r>
    <r>
      <rPr>
        <b/>
        <u/>
        <sz val="14"/>
        <color rgb="FFFF0000"/>
        <rFont val="Times New Roman"/>
        <family val="1"/>
      </rPr>
      <t>)</t>
    </r>
    <phoneticPr fontId="3" type="noConversion"/>
  </si>
  <si>
    <t>拆分明確職業項目</t>
  </si>
  <si>
    <r>
      <t xml:space="preserve">04 
</t>
    </r>
    <r>
      <rPr>
        <sz val="14"/>
        <rFont val="標楷體"/>
        <family val="4"/>
        <charset val="136"/>
      </rPr>
      <t>礦業採石業</t>
    </r>
    <phoneticPr fontId="3" type="noConversion"/>
  </si>
  <si>
    <r>
      <t xml:space="preserve">0401  </t>
    </r>
    <r>
      <rPr>
        <sz val="14"/>
        <rFont val="標楷體"/>
        <family val="4"/>
        <charset val="136"/>
      </rPr>
      <t>坑道內作業</t>
    </r>
    <phoneticPr fontId="3" type="noConversion"/>
  </si>
  <si>
    <t>04010010</t>
  </si>
  <si>
    <r>
      <rPr>
        <sz val="14"/>
        <rFont val="標楷體"/>
        <family val="4"/>
        <charset val="136"/>
      </rPr>
      <t>拒保</t>
    </r>
  </si>
  <si>
    <r>
      <t xml:space="preserve">0402  </t>
    </r>
    <r>
      <rPr>
        <sz val="14"/>
        <rFont val="標楷體"/>
        <family val="4"/>
        <charset val="136"/>
      </rPr>
      <t>坑外作業</t>
    </r>
    <phoneticPr fontId="3" type="noConversion"/>
  </si>
  <si>
    <t>04020010</t>
  </si>
  <si>
    <t>1</t>
  </si>
  <si>
    <t>04020020</t>
  </si>
  <si>
    <t>04020030</t>
  </si>
  <si>
    <t>04020040</t>
  </si>
  <si>
    <t>4</t>
  </si>
  <si>
    <t>04020050</t>
  </si>
  <si>
    <t>5</t>
  </si>
  <si>
    <t>04020060</t>
  </si>
  <si>
    <r>
      <t xml:space="preserve">0403  </t>
    </r>
    <r>
      <rPr>
        <sz val="14"/>
        <rFont val="標楷體"/>
        <family val="4"/>
        <charset val="136"/>
      </rPr>
      <t>海上作業</t>
    </r>
    <phoneticPr fontId="3" type="noConversion"/>
  </si>
  <si>
    <t>04030010</t>
  </si>
  <si>
    <t>6</t>
  </si>
  <si>
    <r>
      <rPr>
        <b/>
        <sz val="14"/>
        <color theme="1"/>
        <rFont val="標楷體"/>
        <family val="4"/>
        <charset val="136"/>
      </rPr>
      <t>所有作業人員</t>
    </r>
    <r>
      <rPr>
        <b/>
        <strike/>
        <sz val="14"/>
        <color rgb="FFFF0000"/>
        <rFont val="Times New Roman"/>
        <family val="1"/>
      </rPr>
      <t>(</t>
    </r>
    <r>
      <rPr>
        <b/>
        <strike/>
        <sz val="14"/>
        <color rgb="FFFF0000"/>
        <rFont val="標楷體"/>
        <family val="4"/>
        <charset val="136"/>
      </rPr>
      <t>潛水人員拒保</t>
    </r>
    <r>
      <rPr>
        <b/>
        <strike/>
        <sz val="14"/>
        <color rgb="FFFF0000"/>
        <rFont val="Times New Roman"/>
        <family val="1"/>
      </rPr>
      <t>)</t>
    </r>
    <phoneticPr fontId="5" type="noConversion"/>
  </si>
  <si>
    <r>
      <rPr>
        <sz val="14"/>
        <color theme="1"/>
        <rFont val="標楷體"/>
        <family val="4"/>
        <charset val="136"/>
      </rPr>
      <t>將原本潛水人員獨立列為一工作性質。</t>
    </r>
    <phoneticPr fontId="3" type="noConversion"/>
  </si>
  <si>
    <t>04030011</t>
    <phoneticPr fontId="3" type="noConversion"/>
  </si>
  <si>
    <r>
      <rPr>
        <b/>
        <u/>
        <sz val="14"/>
        <color rgb="FFFF0000"/>
        <rFont val="標楷體"/>
        <family val="4"/>
        <charset val="136"/>
      </rPr>
      <t>潛水人員</t>
    </r>
    <phoneticPr fontId="5" type="noConversion"/>
  </si>
  <si>
    <r>
      <rPr>
        <b/>
        <u/>
        <sz val="14"/>
        <color rgb="FFFF0000"/>
        <rFont val="標楷體"/>
        <family val="4"/>
        <charset val="136"/>
      </rPr>
      <t>拒保</t>
    </r>
    <phoneticPr fontId="5" type="noConversion"/>
  </si>
  <si>
    <r>
      <t xml:space="preserve">0404  </t>
    </r>
    <r>
      <rPr>
        <sz val="14"/>
        <rFont val="標楷體"/>
        <family val="4"/>
        <charset val="136"/>
      </rPr>
      <t>採砂石業</t>
    </r>
    <phoneticPr fontId="3" type="noConversion"/>
  </si>
  <si>
    <t>04040010</t>
  </si>
  <si>
    <t>04040011</t>
    <phoneticPr fontId="5" type="noConversion"/>
  </si>
  <si>
    <t>04040020</t>
  </si>
  <si>
    <t>04040030</t>
    <phoneticPr fontId="5" type="noConversion"/>
  </si>
  <si>
    <t>04040040</t>
    <phoneticPr fontId="5" type="noConversion"/>
  </si>
  <si>
    <t>04040050</t>
    <phoneticPr fontId="5" type="noConversion"/>
  </si>
  <si>
    <t>04040060</t>
    <phoneticPr fontId="5" type="noConversion"/>
  </si>
  <si>
    <t>04040070</t>
    <phoneticPr fontId="5" type="noConversion"/>
  </si>
  <si>
    <r>
      <t xml:space="preserve">0405  </t>
    </r>
    <r>
      <rPr>
        <sz val="14"/>
        <rFont val="標楷體"/>
        <family val="4"/>
        <charset val="136"/>
      </rPr>
      <t>陸上油礦開採業</t>
    </r>
    <phoneticPr fontId="3" type="noConversion"/>
  </si>
  <si>
    <t>04050010</t>
  </si>
  <si>
    <t>04050020</t>
  </si>
  <si>
    <t>3</t>
  </si>
  <si>
    <t>04050030</t>
  </si>
  <si>
    <t>04050040</t>
  </si>
  <si>
    <t>04050050</t>
  </si>
  <si>
    <t>04050060</t>
  </si>
  <si>
    <t>04050070</t>
  </si>
  <si>
    <r>
      <t xml:space="preserve">0406  </t>
    </r>
    <r>
      <rPr>
        <sz val="14"/>
        <rFont val="標楷體"/>
        <family val="4"/>
        <charset val="136"/>
      </rPr>
      <t>海上油礦開採業</t>
    </r>
    <r>
      <rPr>
        <sz val="14"/>
        <rFont val="Times New Roman"/>
        <family val="1"/>
      </rPr>
      <t xml:space="preserve"> </t>
    </r>
    <phoneticPr fontId="3" type="noConversion"/>
  </si>
  <si>
    <t>04060010</t>
  </si>
  <si>
    <t>04060020</t>
  </si>
  <si>
    <t>04060030</t>
  </si>
  <si>
    <t>04060040</t>
  </si>
  <si>
    <t>04060050</t>
  </si>
  <si>
    <r>
      <t xml:space="preserve">05            </t>
    </r>
    <r>
      <rPr>
        <sz val="14"/>
        <rFont val="標楷體"/>
        <family val="4"/>
        <charset val="136"/>
      </rPr>
      <t>交通運輸業</t>
    </r>
    <phoneticPr fontId="3" type="noConversion"/>
  </si>
  <si>
    <r>
      <t xml:space="preserve">0501  </t>
    </r>
    <r>
      <rPr>
        <sz val="14"/>
        <rFont val="標楷體"/>
        <family val="4"/>
        <charset val="136"/>
      </rPr>
      <t>陸運</t>
    </r>
    <phoneticPr fontId="3" type="noConversion"/>
  </si>
  <si>
    <t>05010010</t>
    <phoneticPr fontId="3" type="noConversion"/>
  </si>
  <si>
    <r>
      <rPr>
        <b/>
        <sz val="14"/>
        <rFont val="標楷體"/>
        <family val="4"/>
        <charset val="136"/>
      </rPr>
      <t>計程車行、貨運行</t>
    </r>
    <r>
      <rPr>
        <b/>
        <sz val="14"/>
        <color rgb="FFFF0000"/>
        <rFont val="標楷體"/>
        <family val="4"/>
        <charset val="136"/>
      </rPr>
      <t>、</t>
    </r>
    <r>
      <rPr>
        <b/>
        <u/>
        <sz val="14"/>
        <color rgb="FFFF0000"/>
        <rFont val="標楷體"/>
        <family val="4"/>
        <charset val="136"/>
      </rPr>
      <t>貨櫃業</t>
    </r>
    <r>
      <rPr>
        <b/>
        <sz val="14"/>
        <rFont val="標楷體"/>
        <family val="4"/>
        <charset val="136"/>
      </rPr>
      <t>之負責人（不參與駕駛者）</t>
    </r>
    <phoneticPr fontId="3" type="noConversion"/>
  </si>
  <si>
    <r>
      <rPr>
        <sz val="14"/>
        <color theme="1"/>
        <rFont val="標楷體"/>
        <family val="4"/>
        <charset val="136"/>
      </rPr>
      <t>貨櫃業亦為陸運之一種，爰建議新增於本項。</t>
    </r>
    <phoneticPr fontId="3" type="noConversion"/>
  </si>
  <si>
    <t>05010020</t>
    <phoneticPr fontId="3" type="noConversion"/>
  </si>
  <si>
    <t>05010030</t>
    <phoneticPr fontId="3" type="noConversion"/>
  </si>
  <si>
    <t>05010040</t>
  </si>
  <si>
    <t>05010050</t>
  </si>
  <si>
    <t>05010060</t>
    <phoneticPr fontId="3" type="noConversion"/>
  </si>
  <si>
    <r>
      <rPr>
        <b/>
        <sz val="14"/>
        <rFont val="標楷體"/>
        <family val="4"/>
        <charset val="136"/>
      </rPr>
      <t>計程車司機</t>
    </r>
    <r>
      <rPr>
        <b/>
        <u/>
        <sz val="14"/>
        <color rgb="FFFF0000"/>
        <rFont val="標楷體"/>
        <family val="4"/>
        <charset val="136"/>
      </rPr>
      <t>、多元計程車司機</t>
    </r>
    <r>
      <rPr>
        <b/>
        <u/>
        <sz val="14"/>
        <color rgb="FFFF0000"/>
        <rFont val="Times New Roman"/>
        <family val="1"/>
      </rPr>
      <t>(</t>
    </r>
    <r>
      <rPr>
        <b/>
        <u/>
        <sz val="14"/>
        <color rgb="FFFF0000"/>
        <rFont val="標楷體"/>
        <family val="4"/>
        <charset val="136"/>
      </rPr>
      <t>含</t>
    </r>
    <r>
      <rPr>
        <b/>
        <u/>
        <sz val="14"/>
        <color rgb="FFFF0000"/>
        <rFont val="Times New Roman"/>
        <family val="1"/>
      </rPr>
      <t>UBER</t>
    </r>
    <r>
      <rPr>
        <b/>
        <u/>
        <sz val="14"/>
        <color rgb="FFFF0000"/>
        <rFont val="標楷體"/>
        <family val="4"/>
        <charset val="136"/>
      </rPr>
      <t>司機</t>
    </r>
    <r>
      <rPr>
        <b/>
        <u/>
        <sz val="14"/>
        <color rgb="FFFF0000"/>
        <rFont val="Times New Roman"/>
        <family val="1"/>
      </rPr>
      <t>)</t>
    </r>
    <phoneticPr fontId="5" type="noConversion"/>
  </si>
  <si>
    <r>
      <rPr>
        <sz val="14"/>
        <color theme="1"/>
        <rFont val="標楷體"/>
        <family val="4"/>
        <charset val="136"/>
      </rPr>
      <t>因應新興職業，惟多元計程車司機工作內容同一般計程車司機，爰建議新增於本項。</t>
    </r>
    <phoneticPr fontId="3" type="noConversion"/>
  </si>
  <si>
    <t>05010070</t>
  </si>
  <si>
    <t>05010080</t>
  </si>
  <si>
    <t>05010090</t>
  </si>
  <si>
    <t>05010100</t>
  </si>
  <si>
    <r>
      <rPr>
        <b/>
        <sz val="14"/>
        <color theme="1"/>
        <rFont val="標楷體"/>
        <family val="4"/>
        <charset val="136"/>
      </rPr>
      <t>自用貨車司機、隨車</t>
    </r>
    <r>
      <rPr>
        <b/>
        <u/>
        <sz val="14"/>
        <color rgb="FFFF0000"/>
        <rFont val="標楷體"/>
        <family val="4"/>
        <charset val="136"/>
      </rPr>
      <t>人員</t>
    </r>
    <r>
      <rPr>
        <b/>
        <sz val="14"/>
        <color theme="1"/>
        <rFont val="標楷體"/>
        <family val="4"/>
        <charset val="136"/>
      </rPr>
      <t>、小型自用貨車司機</t>
    </r>
    <phoneticPr fontId="5" type="noConversion"/>
  </si>
  <si>
    <t>05010110</t>
  </si>
  <si>
    <t>05010120</t>
  </si>
  <si>
    <t>05010130</t>
  </si>
  <si>
    <t>05010140</t>
  </si>
  <si>
    <r>
      <rPr>
        <b/>
        <sz val="14"/>
        <color theme="1"/>
        <rFont val="標楷體"/>
        <family val="4"/>
        <charset val="136"/>
      </rPr>
      <t>櫃</t>
    </r>
    <r>
      <rPr>
        <b/>
        <u/>
        <sz val="14"/>
        <color rgb="FFFF0000"/>
        <rFont val="標楷體"/>
        <family val="4"/>
        <charset val="136"/>
      </rPr>
      <t>檯</t>
    </r>
    <r>
      <rPr>
        <b/>
        <sz val="14"/>
        <color theme="1"/>
        <rFont val="標楷體"/>
        <family val="4"/>
        <charset val="136"/>
      </rPr>
      <t>售票員</t>
    </r>
    <phoneticPr fontId="3" type="noConversion"/>
  </si>
  <si>
    <t>修正用字。</t>
    <phoneticPr fontId="3" type="noConversion"/>
  </si>
  <si>
    <t>05010150</t>
  </si>
  <si>
    <t>05010160</t>
    <phoneticPr fontId="5" type="noConversion"/>
  </si>
  <si>
    <t>05010170</t>
  </si>
  <si>
    <r>
      <rPr>
        <b/>
        <sz val="14"/>
        <color theme="1"/>
        <rFont val="標楷體"/>
        <family val="4"/>
        <charset val="136"/>
      </rPr>
      <t>營業用貨車隨車</t>
    </r>
    <r>
      <rPr>
        <b/>
        <u/>
        <sz val="14"/>
        <color rgb="FFFF0000"/>
        <rFont val="標楷體"/>
        <family val="4"/>
        <charset val="136"/>
      </rPr>
      <t>人員</t>
    </r>
    <phoneticPr fontId="5" type="noConversion"/>
  </si>
  <si>
    <t>05010180</t>
  </si>
  <si>
    <r>
      <rPr>
        <b/>
        <sz val="14"/>
        <color theme="1"/>
        <rFont val="標楷體"/>
        <family val="4"/>
        <charset val="136"/>
      </rPr>
      <t>搬運、搬家工人司機、隨車</t>
    </r>
    <r>
      <rPr>
        <b/>
        <u/>
        <sz val="14"/>
        <color rgb="FFFF0000"/>
        <rFont val="標楷體"/>
        <family val="4"/>
        <charset val="136"/>
      </rPr>
      <t>人員</t>
    </r>
    <phoneticPr fontId="5" type="noConversion"/>
  </si>
  <si>
    <t>05010190</t>
  </si>
  <si>
    <r>
      <rPr>
        <b/>
        <sz val="14"/>
        <color theme="1"/>
        <rFont val="標楷體"/>
        <family val="4"/>
        <charset val="136"/>
      </rPr>
      <t>砂石車司機、隨車</t>
    </r>
    <r>
      <rPr>
        <b/>
        <u/>
        <sz val="14"/>
        <color rgb="FFFF0000"/>
        <rFont val="標楷體"/>
        <family val="4"/>
        <charset val="136"/>
      </rPr>
      <t>人員</t>
    </r>
    <phoneticPr fontId="5" type="noConversion"/>
  </si>
  <si>
    <t>05010200</t>
  </si>
  <si>
    <r>
      <rPr>
        <b/>
        <sz val="14"/>
        <color theme="1"/>
        <rFont val="標楷體"/>
        <family val="4"/>
        <charset val="136"/>
      </rPr>
      <t>工程卡車司機、隨車</t>
    </r>
    <r>
      <rPr>
        <b/>
        <u/>
        <sz val="14"/>
        <color rgb="FFFF0000"/>
        <rFont val="標楷體"/>
        <family val="4"/>
        <charset val="136"/>
      </rPr>
      <t>人員</t>
    </r>
    <phoneticPr fontId="5" type="noConversion"/>
  </si>
  <si>
    <t>05010210</t>
  </si>
  <si>
    <r>
      <rPr>
        <b/>
        <sz val="14"/>
        <color theme="1"/>
        <rFont val="標楷體"/>
        <family val="4"/>
        <charset val="136"/>
      </rPr>
      <t>液化、氣化、油罐車司機、隨車</t>
    </r>
    <r>
      <rPr>
        <b/>
        <u/>
        <sz val="14"/>
        <color rgb="FFFF0000"/>
        <rFont val="標楷體"/>
        <family val="4"/>
        <charset val="136"/>
      </rPr>
      <t>人員</t>
    </r>
    <phoneticPr fontId="5" type="noConversion"/>
  </si>
  <si>
    <t>05010220</t>
  </si>
  <si>
    <r>
      <rPr>
        <b/>
        <sz val="14"/>
        <color theme="1"/>
        <rFont val="標楷體"/>
        <family val="4"/>
        <charset val="136"/>
      </rPr>
      <t>貨櫃車司機、隨車</t>
    </r>
    <r>
      <rPr>
        <b/>
        <u/>
        <sz val="14"/>
        <color rgb="FFFF0000"/>
        <rFont val="標楷體"/>
        <family val="4"/>
        <charset val="136"/>
      </rPr>
      <t>人員</t>
    </r>
    <phoneticPr fontId="5" type="noConversion"/>
  </si>
  <si>
    <t>05010230</t>
  </si>
  <si>
    <t>05010240</t>
    <phoneticPr fontId="5" type="noConversion"/>
  </si>
  <si>
    <t>05010250</t>
    <phoneticPr fontId="5" type="noConversion"/>
  </si>
  <si>
    <r>
      <rPr>
        <b/>
        <sz val="14"/>
        <rFont val="標楷體"/>
        <family val="4"/>
        <charset val="136"/>
      </rPr>
      <t>靈車司機</t>
    </r>
    <r>
      <rPr>
        <b/>
        <u/>
        <sz val="14"/>
        <color rgb="FFFF0000"/>
        <rFont val="標楷體"/>
        <family val="4"/>
        <charset val="136"/>
      </rPr>
      <t>、靈車隨車人員、靈柩搬運人員</t>
    </r>
    <phoneticPr fontId="3" type="noConversion"/>
  </si>
  <si>
    <r>
      <rPr>
        <sz val="14"/>
        <color theme="1"/>
        <rFont val="標楷體"/>
        <family val="4"/>
        <charset val="136"/>
      </rPr>
      <t>建議比照</t>
    </r>
    <r>
      <rPr>
        <sz val="14"/>
        <color theme="1"/>
        <rFont val="Times New Roman"/>
        <family val="1"/>
      </rPr>
      <t>"05010180"</t>
    </r>
    <r>
      <rPr>
        <sz val="14"/>
        <color theme="1"/>
        <rFont val="標楷體"/>
        <family val="4"/>
        <charset val="136"/>
      </rPr>
      <t>，除司機外還有隨車人員等，爰增列工作性質。</t>
    </r>
    <phoneticPr fontId="3" type="noConversion"/>
  </si>
  <si>
    <t>05010260</t>
    <phoneticPr fontId="5" type="noConversion"/>
  </si>
  <si>
    <r>
      <rPr>
        <b/>
        <sz val="14"/>
        <rFont val="標楷體"/>
        <family val="4"/>
        <charset val="136"/>
      </rPr>
      <t>快遞司機</t>
    </r>
    <r>
      <rPr>
        <b/>
        <sz val="14"/>
        <rFont val="Times New Roman"/>
        <family val="1"/>
      </rPr>
      <t xml:space="preserve"> (</t>
    </r>
    <r>
      <rPr>
        <b/>
        <sz val="14"/>
        <rFont val="標楷體"/>
        <family val="4"/>
        <charset val="136"/>
      </rPr>
      <t>貨車）</t>
    </r>
    <r>
      <rPr>
        <b/>
        <u/>
        <sz val="14"/>
        <color rgb="FFFF0000"/>
        <rFont val="標楷體"/>
        <family val="4"/>
        <charset val="136"/>
      </rPr>
      <t>、物流公司司機</t>
    </r>
    <r>
      <rPr>
        <b/>
        <u/>
        <sz val="14"/>
        <color rgb="FFFF0000"/>
        <rFont val="Times New Roman"/>
        <family val="1"/>
      </rPr>
      <t>(</t>
    </r>
    <r>
      <rPr>
        <b/>
        <u/>
        <sz val="14"/>
        <color rgb="FFFF0000"/>
        <rFont val="標楷體"/>
        <family val="4"/>
        <charset val="136"/>
      </rPr>
      <t>貨車</t>
    </r>
    <r>
      <rPr>
        <b/>
        <u/>
        <sz val="14"/>
        <color rgb="FFFF0000"/>
        <rFont val="Times New Roman"/>
        <family val="1"/>
      </rPr>
      <t>)</t>
    </r>
    <phoneticPr fontId="3" type="noConversion"/>
  </si>
  <si>
    <r>
      <rPr>
        <sz val="14"/>
        <color theme="1"/>
        <rFont val="標楷體"/>
        <family val="4"/>
        <charset val="136"/>
      </rPr>
      <t>快遞通常是為個人服務運送少量商品，物流則通常是企業間之大宗貨物運輸，但物流司機通常亦須搬運貨物等，職業等級應同快遞，爰建議新增於本項，並區分為貨車和機車。</t>
    </r>
    <phoneticPr fontId="3" type="noConversion"/>
  </si>
  <si>
    <t>05010261</t>
    <phoneticPr fontId="5" type="noConversion"/>
  </si>
  <si>
    <r>
      <rPr>
        <b/>
        <sz val="14"/>
        <color theme="1"/>
        <rFont val="標楷體"/>
        <family val="4"/>
        <charset val="136"/>
      </rPr>
      <t>快遞</t>
    </r>
    <r>
      <rPr>
        <b/>
        <u/>
        <sz val="14"/>
        <color rgb="FFFF0000"/>
        <rFont val="標楷體"/>
        <family val="4"/>
        <charset val="136"/>
      </rPr>
      <t>司機</t>
    </r>
    <r>
      <rPr>
        <b/>
        <sz val="14"/>
        <color theme="1"/>
        <rFont val="Times New Roman"/>
        <family val="1"/>
      </rPr>
      <t>(</t>
    </r>
    <r>
      <rPr>
        <b/>
        <sz val="14"/>
        <color theme="1"/>
        <rFont val="標楷體"/>
        <family val="4"/>
        <charset val="136"/>
      </rPr>
      <t>機車</t>
    </r>
    <r>
      <rPr>
        <b/>
        <sz val="14"/>
        <color theme="1"/>
        <rFont val="Times New Roman"/>
        <family val="1"/>
      </rPr>
      <t>)</t>
    </r>
    <r>
      <rPr>
        <b/>
        <u/>
        <sz val="14"/>
        <color rgb="FFFF0000"/>
        <rFont val="標楷體"/>
        <family val="4"/>
        <charset val="136"/>
      </rPr>
      <t>、物流公司司機</t>
    </r>
    <r>
      <rPr>
        <b/>
        <u/>
        <sz val="14"/>
        <color rgb="FFFF0000"/>
        <rFont val="Times New Roman"/>
        <family val="1"/>
      </rPr>
      <t>(</t>
    </r>
    <r>
      <rPr>
        <b/>
        <u/>
        <sz val="14"/>
        <color rgb="FFFF0000"/>
        <rFont val="標楷體"/>
        <family val="4"/>
        <charset val="136"/>
      </rPr>
      <t>機車</t>
    </r>
    <r>
      <rPr>
        <b/>
        <u/>
        <sz val="14"/>
        <color rgb="FFFF0000"/>
        <rFont val="Times New Roman"/>
        <family val="1"/>
      </rPr>
      <t>)</t>
    </r>
    <phoneticPr fontId="5" type="noConversion"/>
  </si>
  <si>
    <t>05010270</t>
    <phoneticPr fontId="5" type="noConversion"/>
  </si>
  <si>
    <t>05010271</t>
    <phoneticPr fontId="5" type="noConversion"/>
  </si>
  <si>
    <t>05010280</t>
    <phoneticPr fontId="5" type="noConversion"/>
  </si>
  <si>
    <t>05010290</t>
    <phoneticPr fontId="5" type="noConversion"/>
  </si>
  <si>
    <t>05010300</t>
    <phoneticPr fontId="5" type="noConversion"/>
  </si>
  <si>
    <t>05010310</t>
    <phoneticPr fontId="5" type="noConversion"/>
  </si>
  <si>
    <r>
      <rPr>
        <b/>
        <sz val="14"/>
        <rFont val="標楷體"/>
        <family val="4"/>
        <charset val="136"/>
      </rPr>
      <t>救護車司機</t>
    </r>
    <r>
      <rPr>
        <b/>
        <u/>
        <sz val="14"/>
        <color rgb="FFFF0000"/>
        <rFont val="標楷體"/>
        <family val="4"/>
        <charset val="136"/>
      </rPr>
      <t>、救護車隨車人員</t>
    </r>
    <phoneticPr fontId="3" type="noConversion"/>
  </si>
  <si>
    <r>
      <rPr>
        <sz val="14"/>
        <color theme="1"/>
        <rFont val="標楷體"/>
        <family val="4"/>
        <charset val="136"/>
      </rPr>
      <t>救護車除司機外還有隨車人員，建議比照</t>
    </r>
    <r>
      <rPr>
        <sz val="14"/>
        <color theme="1"/>
        <rFont val="Times New Roman"/>
        <family val="1"/>
      </rPr>
      <t>"05010180"</t>
    </r>
    <r>
      <rPr>
        <sz val="14"/>
        <color theme="1"/>
        <rFont val="標楷體"/>
        <family val="4"/>
        <charset val="136"/>
      </rPr>
      <t>，爰增列工作性質。</t>
    </r>
    <phoneticPr fontId="3" type="noConversion"/>
  </si>
  <si>
    <t>05010320</t>
    <phoneticPr fontId="5" type="noConversion"/>
  </si>
  <si>
    <t>05010330</t>
    <phoneticPr fontId="5" type="noConversion"/>
  </si>
  <si>
    <t>05010340</t>
    <phoneticPr fontId="5" type="noConversion"/>
  </si>
  <si>
    <t>05010350</t>
    <phoneticPr fontId="3" type="noConversion"/>
  </si>
  <si>
    <r>
      <rPr>
        <b/>
        <sz val="14"/>
        <color theme="1"/>
        <rFont val="標楷體"/>
        <family val="4"/>
        <charset val="136"/>
      </rPr>
      <t>混凝土預拌車司機、隨車</t>
    </r>
    <r>
      <rPr>
        <b/>
        <u/>
        <sz val="14"/>
        <color rgb="FFFF0000"/>
        <rFont val="標楷體"/>
        <family val="4"/>
        <charset val="136"/>
      </rPr>
      <t>人員</t>
    </r>
    <phoneticPr fontId="5" type="noConversion"/>
  </si>
  <si>
    <r>
      <rPr>
        <sz val="14"/>
        <color theme="1"/>
        <rFont val="標楷體"/>
        <family val="4"/>
        <charset val="136"/>
      </rPr>
      <t>因應該職業屬性並配合一般大眾對該工作性質之稱謂，擬以較為中性之詞語替換原本所列之工人。</t>
    </r>
  </si>
  <si>
    <t>05010360</t>
    <phoneticPr fontId="5" type="noConversion"/>
  </si>
  <si>
    <t>05010370</t>
    <phoneticPr fontId="5" type="noConversion"/>
  </si>
  <si>
    <r>
      <rPr>
        <b/>
        <sz val="14"/>
        <color theme="1"/>
        <rFont val="標楷體"/>
        <family val="4"/>
        <charset val="136"/>
      </rPr>
      <t>聯結車司機、隨車</t>
    </r>
    <r>
      <rPr>
        <b/>
        <u/>
        <sz val="14"/>
        <color rgb="FFFF0000"/>
        <rFont val="標楷體"/>
        <family val="4"/>
        <charset val="136"/>
      </rPr>
      <t>人員</t>
    </r>
    <phoneticPr fontId="5" type="noConversion"/>
  </si>
  <si>
    <t>05010380</t>
    <phoneticPr fontId="3" type="noConversion"/>
  </si>
  <si>
    <r>
      <rPr>
        <b/>
        <sz val="14"/>
        <color theme="1"/>
        <rFont val="標楷體"/>
        <family val="4"/>
        <charset val="136"/>
      </rPr>
      <t>吊車司機、隨車</t>
    </r>
    <r>
      <rPr>
        <b/>
        <u/>
        <sz val="14"/>
        <color rgb="FFFF0000"/>
        <rFont val="標楷體"/>
        <family val="4"/>
        <charset val="136"/>
      </rPr>
      <t>人員</t>
    </r>
    <phoneticPr fontId="5" type="noConversion"/>
  </si>
  <si>
    <t>05010390</t>
    <phoneticPr fontId="5" type="noConversion"/>
  </si>
  <si>
    <r>
      <rPr>
        <b/>
        <sz val="14"/>
        <color theme="1"/>
        <rFont val="標楷體"/>
        <family val="4"/>
        <charset val="136"/>
      </rPr>
      <t>曳引車司機、隨車</t>
    </r>
    <r>
      <rPr>
        <b/>
        <u/>
        <sz val="14"/>
        <color rgb="FFFF0000"/>
        <rFont val="標楷體"/>
        <family val="4"/>
        <charset val="136"/>
      </rPr>
      <t>人員</t>
    </r>
    <phoneticPr fontId="5" type="noConversion"/>
  </si>
  <si>
    <t>05010400</t>
    <phoneticPr fontId="3" type="noConversion"/>
  </si>
  <si>
    <t>05010410</t>
    <phoneticPr fontId="3" type="noConversion"/>
  </si>
  <si>
    <r>
      <rPr>
        <b/>
        <sz val="14"/>
        <rFont val="標楷體"/>
        <family val="4"/>
        <charset val="136"/>
      </rPr>
      <t>送外賣機車</t>
    </r>
    <r>
      <rPr>
        <b/>
        <u/>
        <sz val="14"/>
        <color rgb="FFFF0000"/>
        <rFont val="標楷體"/>
        <family val="4"/>
        <charset val="136"/>
      </rPr>
      <t>或自行車</t>
    </r>
    <r>
      <rPr>
        <b/>
        <sz val="14"/>
        <rFont val="標楷體"/>
        <family val="4"/>
        <charset val="136"/>
      </rPr>
      <t>駕駛</t>
    </r>
    <r>
      <rPr>
        <b/>
        <u/>
        <sz val="14"/>
        <color rgb="FFFF0000"/>
        <rFont val="標楷體"/>
        <family val="4"/>
        <charset val="136"/>
      </rPr>
      <t>、外送平台外送員</t>
    </r>
    <phoneticPr fontId="3" type="noConversion"/>
  </si>
  <si>
    <t>因應新興職業，新增外送平台外送員，另因現行外送員有以自行車外送者，爰建議修正本項。</t>
    <phoneticPr fontId="3" type="noConversion"/>
  </si>
  <si>
    <t>05010430</t>
    <phoneticPr fontId="3" type="noConversion"/>
  </si>
  <si>
    <t>05010440</t>
    <phoneticPr fontId="3" type="noConversion"/>
  </si>
  <si>
    <t>05010450</t>
    <phoneticPr fontId="3" type="noConversion"/>
  </si>
  <si>
    <t>05010460</t>
  </si>
  <si>
    <t>05010470</t>
    <phoneticPr fontId="3" type="noConversion"/>
  </si>
  <si>
    <r>
      <rPr>
        <b/>
        <u/>
        <sz val="14"/>
        <color rgb="FFFF0000"/>
        <rFont val="標楷體"/>
        <family val="4"/>
        <charset val="136"/>
      </rPr>
      <t>遊覽車車上銷售員</t>
    </r>
    <phoneticPr fontId="5" type="noConversion"/>
  </si>
  <si>
    <r>
      <rPr>
        <sz val="14"/>
        <color theme="1"/>
        <rFont val="標楷體"/>
        <family val="4"/>
        <charset val="136"/>
      </rPr>
      <t>因應現行職業新增，車上銷售員須於遊覽車上走動叫賣，危險程度建議比照一般外勤人員，職業等級為</t>
    </r>
    <r>
      <rPr>
        <sz val="14"/>
        <color theme="1"/>
        <rFont val="Times New Roman"/>
        <family val="1"/>
      </rPr>
      <t>2</t>
    </r>
    <r>
      <rPr>
        <sz val="14"/>
        <color theme="1"/>
        <rFont val="標楷體"/>
        <family val="4"/>
        <charset val="136"/>
      </rPr>
      <t>級。</t>
    </r>
    <phoneticPr fontId="3" type="noConversion"/>
  </si>
  <si>
    <t>新增</t>
  </si>
  <si>
    <t>05010480</t>
    <phoneticPr fontId="3" type="noConversion"/>
  </si>
  <si>
    <r>
      <rPr>
        <b/>
        <u/>
        <sz val="14"/>
        <color rgb="FFFF0000"/>
        <rFont val="標楷體"/>
        <family val="4"/>
        <charset val="136"/>
      </rPr>
      <t>代駕人員</t>
    </r>
    <phoneticPr fontId="5" type="noConversion"/>
  </si>
  <si>
    <r>
      <rPr>
        <sz val="14"/>
        <color theme="1"/>
        <rFont val="標楷體"/>
        <family val="4"/>
        <charset val="136"/>
      </rPr>
      <t>因應新興職業新增，代駕人員工作性質類同計程車司機，故職業等級應比照</t>
    </r>
    <r>
      <rPr>
        <sz val="14"/>
        <color theme="1"/>
        <rFont val="Times New Roman"/>
        <family val="1"/>
      </rPr>
      <t>"05010060"</t>
    </r>
    <r>
      <rPr>
        <sz val="14"/>
        <color theme="1"/>
        <rFont val="標楷體"/>
        <family val="4"/>
        <charset val="136"/>
      </rPr>
      <t>為</t>
    </r>
    <r>
      <rPr>
        <sz val="14"/>
        <color theme="1"/>
        <rFont val="Times New Roman"/>
        <family val="1"/>
      </rPr>
      <t>4</t>
    </r>
    <r>
      <rPr>
        <sz val="14"/>
        <color theme="1"/>
        <rFont val="標楷體"/>
        <family val="4"/>
        <charset val="136"/>
      </rPr>
      <t>級。</t>
    </r>
    <phoneticPr fontId="3" type="noConversion"/>
  </si>
  <si>
    <t>05010490</t>
    <phoneticPr fontId="3" type="noConversion"/>
  </si>
  <si>
    <r>
      <rPr>
        <b/>
        <u/>
        <sz val="14"/>
        <color rgb="FFFF0000"/>
        <rFont val="標楷體"/>
        <family val="4"/>
        <charset val="136"/>
      </rPr>
      <t>復康巴士司機</t>
    </r>
  </si>
  <si>
    <r>
      <rPr>
        <sz val="14"/>
        <color theme="1"/>
        <rFont val="標楷體"/>
        <family val="4"/>
        <charset val="136"/>
      </rPr>
      <t>因應新興職業新增，復康巴士司機多為定點接送病患至醫院，危險程度應較救護車司機低，故職業等級建議比照</t>
    </r>
    <r>
      <rPr>
        <sz val="14"/>
        <color theme="1"/>
        <rFont val="Times New Roman"/>
        <family val="1"/>
      </rPr>
      <t>"05010310"</t>
    </r>
    <r>
      <rPr>
        <sz val="14"/>
        <color theme="1"/>
        <rFont val="標楷體"/>
        <family val="4"/>
        <charset val="136"/>
      </rPr>
      <t>救護車司機低，職業等級為</t>
    </r>
    <r>
      <rPr>
        <sz val="14"/>
        <color theme="1"/>
        <rFont val="Times New Roman"/>
        <family val="1"/>
      </rPr>
      <t>3</t>
    </r>
    <r>
      <rPr>
        <sz val="14"/>
        <color theme="1"/>
        <rFont val="標楷體"/>
        <family val="4"/>
        <charset val="136"/>
      </rPr>
      <t>級。</t>
    </r>
    <phoneticPr fontId="3" type="noConversion"/>
  </si>
  <si>
    <r>
      <t xml:space="preserve">0502  </t>
    </r>
    <r>
      <rPr>
        <sz val="14"/>
        <rFont val="標楷體"/>
        <family val="4"/>
        <charset val="136"/>
      </rPr>
      <t>鐵路、捷運、高鐵</t>
    </r>
    <phoneticPr fontId="3" type="noConversion"/>
  </si>
  <si>
    <t>05020010</t>
    <phoneticPr fontId="3" type="noConversion"/>
  </si>
  <si>
    <t>05020020</t>
    <phoneticPr fontId="3" type="noConversion"/>
  </si>
  <si>
    <t>05020030</t>
    <phoneticPr fontId="3" type="noConversion"/>
  </si>
  <si>
    <t>05020040</t>
  </si>
  <si>
    <t>05020050</t>
  </si>
  <si>
    <t>05020060</t>
  </si>
  <si>
    <r>
      <rPr>
        <b/>
        <sz val="14"/>
        <rFont val="標楷體"/>
        <family val="4"/>
        <charset val="136"/>
      </rPr>
      <t>服務臺人員</t>
    </r>
    <r>
      <rPr>
        <b/>
        <u/>
        <sz val="14"/>
        <color rgb="FFFF0000"/>
        <rFont val="標楷體"/>
        <family val="4"/>
        <charset val="136"/>
      </rPr>
      <t>、站務人員</t>
    </r>
    <phoneticPr fontId="3" type="noConversion"/>
  </si>
  <si>
    <t>增列類似之工作性質。</t>
    <phoneticPr fontId="3" type="noConversion"/>
  </si>
  <si>
    <t>05020070</t>
  </si>
  <si>
    <t>05020080</t>
  </si>
  <si>
    <r>
      <rPr>
        <b/>
        <sz val="14"/>
        <color theme="1"/>
        <rFont val="標楷體"/>
        <family val="4"/>
        <charset val="136"/>
      </rPr>
      <t>行李搬運</t>
    </r>
    <r>
      <rPr>
        <b/>
        <u/>
        <sz val="14"/>
        <color rgb="FFFF0000"/>
        <rFont val="標楷體"/>
        <family val="4"/>
        <charset val="136"/>
      </rPr>
      <t>人員</t>
    </r>
    <phoneticPr fontId="5" type="noConversion"/>
  </si>
  <si>
    <t>05020090</t>
  </si>
  <si>
    <t>05020100</t>
  </si>
  <si>
    <t>05020110</t>
  </si>
  <si>
    <t>05020120</t>
  </si>
  <si>
    <t>05020130</t>
  </si>
  <si>
    <t>05020140</t>
  </si>
  <si>
    <t>05020150</t>
  </si>
  <si>
    <t>05020160</t>
  </si>
  <si>
    <t>05020170</t>
  </si>
  <si>
    <t>05020180</t>
  </si>
  <si>
    <t>05020190</t>
  </si>
  <si>
    <t>05020200</t>
  </si>
  <si>
    <t>05020210</t>
  </si>
  <si>
    <t>05020220</t>
  </si>
  <si>
    <t>05020230</t>
  </si>
  <si>
    <r>
      <rPr>
        <b/>
        <sz val="14"/>
        <color theme="1"/>
        <rFont val="標楷體"/>
        <family val="4"/>
        <charset val="136"/>
      </rPr>
      <t>貨運：搬運</t>
    </r>
    <r>
      <rPr>
        <b/>
        <u/>
        <sz val="14"/>
        <color rgb="FFFF0000"/>
        <rFont val="標楷體"/>
        <family val="4"/>
        <charset val="136"/>
      </rPr>
      <t>人員</t>
    </r>
    <phoneticPr fontId="5" type="noConversion"/>
  </si>
  <si>
    <t>05020240</t>
    <phoneticPr fontId="3" type="noConversion"/>
  </si>
  <si>
    <t>05020250</t>
    <phoneticPr fontId="3" type="noConversion"/>
  </si>
  <si>
    <r>
      <rPr>
        <b/>
        <u/>
        <sz val="14"/>
        <color rgb="FFFF0000"/>
        <rFont val="標楷體"/>
        <family val="4"/>
        <charset val="136"/>
      </rPr>
      <t>外務員</t>
    </r>
    <phoneticPr fontId="5" type="noConversion"/>
  </si>
  <si>
    <r>
      <rPr>
        <sz val="14"/>
        <color theme="1"/>
        <rFont val="標楷體"/>
        <family val="4"/>
        <charset val="136"/>
      </rPr>
      <t>因應現行職業新增，鐵路、捷運、高鐵之外務員工作內容多為跑外勤業務洽訂合約等，建議比照</t>
    </r>
    <r>
      <rPr>
        <sz val="14"/>
        <color theme="1"/>
        <rFont val="Times New Roman"/>
        <family val="1"/>
      </rPr>
      <t>"00010020"</t>
    </r>
    <r>
      <rPr>
        <sz val="14"/>
        <color theme="1"/>
        <rFont val="標楷體"/>
        <family val="4"/>
        <charset val="136"/>
      </rPr>
      <t>一般外勤人員職業等級為</t>
    </r>
    <r>
      <rPr>
        <sz val="14"/>
        <color theme="1"/>
        <rFont val="Times New Roman"/>
        <family val="1"/>
      </rPr>
      <t>2</t>
    </r>
    <r>
      <rPr>
        <sz val="14"/>
        <color theme="1"/>
        <rFont val="標楷體"/>
        <family val="4"/>
        <charset val="136"/>
      </rPr>
      <t>級。</t>
    </r>
    <phoneticPr fontId="3" type="noConversion"/>
  </si>
  <si>
    <t>05020260</t>
    <phoneticPr fontId="3" type="noConversion"/>
  </si>
  <si>
    <r>
      <rPr>
        <b/>
        <u/>
        <sz val="14"/>
        <color rgb="FFFF0000"/>
        <rFont val="標楷體"/>
        <family val="4"/>
        <charset val="136"/>
      </rPr>
      <t>志工</t>
    </r>
    <phoneticPr fontId="5" type="noConversion"/>
  </si>
  <si>
    <r>
      <rPr>
        <sz val="14"/>
        <color theme="1"/>
        <rFont val="標楷體"/>
        <family val="4"/>
        <charset val="136"/>
      </rPr>
      <t>因應現行職業新增，鐵路、捷運、高鐵之志工為外勤業務性質，比照</t>
    </r>
    <r>
      <rPr>
        <sz val="14"/>
        <color theme="1"/>
        <rFont val="Times New Roman"/>
        <family val="1"/>
      </rPr>
      <t>"00010020"</t>
    </r>
    <r>
      <rPr>
        <sz val="14"/>
        <color theme="1"/>
        <rFont val="標楷體"/>
        <family val="4"/>
        <charset val="136"/>
      </rPr>
      <t>一般外勤人員職業等級為</t>
    </r>
    <r>
      <rPr>
        <sz val="14"/>
        <color theme="1"/>
        <rFont val="Times New Roman"/>
        <family val="1"/>
      </rPr>
      <t>2</t>
    </r>
    <r>
      <rPr>
        <sz val="14"/>
        <color theme="1"/>
        <rFont val="標楷體"/>
        <family val="4"/>
        <charset val="136"/>
      </rPr>
      <t>級。</t>
    </r>
    <phoneticPr fontId="3" type="noConversion"/>
  </si>
  <si>
    <r>
      <t xml:space="preserve">0503  </t>
    </r>
    <r>
      <rPr>
        <sz val="14"/>
        <rFont val="標楷體"/>
        <family val="4"/>
        <charset val="136"/>
      </rPr>
      <t>航運</t>
    </r>
    <phoneticPr fontId="3" type="noConversion"/>
  </si>
  <si>
    <t>05030010</t>
    <phoneticPr fontId="3" type="noConversion"/>
  </si>
  <si>
    <t>05030020</t>
    <phoneticPr fontId="3" type="noConversion"/>
  </si>
  <si>
    <t>05030030</t>
    <phoneticPr fontId="3" type="noConversion"/>
  </si>
  <si>
    <t>05030040</t>
    <phoneticPr fontId="3" type="noConversion"/>
  </si>
  <si>
    <t>05030050</t>
    <phoneticPr fontId="3" type="noConversion"/>
  </si>
  <si>
    <t>05030060</t>
    <phoneticPr fontId="3" type="noConversion"/>
  </si>
  <si>
    <t>05030070</t>
  </si>
  <si>
    <t>05030080</t>
  </si>
  <si>
    <t>05030090</t>
  </si>
  <si>
    <t>05030100</t>
  </si>
  <si>
    <t>05030110</t>
  </si>
  <si>
    <t>05030120</t>
    <phoneticPr fontId="3" type="noConversion"/>
  </si>
  <si>
    <t>05030130</t>
    <phoneticPr fontId="3" type="noConversion"/>
  </si>
  <si>
    <t>05030140</t>
    <phoneticPr fontId="3" type="noConversion"/>
  </si>
  <si>
    <t>05030150</t>
    <phoneticPr fontId="3" type="noConversion"/>
  </si>
  <si>
    <t>05030160</t>
  </si>
  <si>
    <t>05030170</t>
  </si>
  <si>
    <t>05030180</t>
  </si>
  <si>
    <t>05030190</t>
  </si>
  <si>
    <t>05030200</t>
  </si>
  <si>
    <t>05030210</t>
    <phoneticPr fontId="3" type="noConversion"/>
  </si>
  <si>
    <t>05030220</t>
    <phoneticPr fontId="3" type="noConversion"/>
  </si>
  <si>
    <t>05030230</t>
    <phoneticPr fontId="3" type="noConversion"/>
  </si>
  <si>
    <t>05030240</t>
    <phoneticPr fontId="3" type="noConversion"/>
  </si>
  <si>
    <t>05030250</t>
    <phoneticPr fontId="3" type="noConversion"/>
  </si>
  <si>
    <t>05030260</t>
    <phoneticPr fontId="3" type="noConversion"/>
  </si>
  <si>
    <t>05030270</t>
    <phoneticPr fontId="3" type="noConversion"/>
  </si>
  <si>
    <t>05030280</t>
    <phoneticPr fontId="3" type="noConversion"/>
  </si>
  <si>
    <t>05030290</t>
    <phoneticPr fontId="3" type="noConversion"/>
  </si>
  <si>
    <t>05030300</t>
    <phoneticPr fontId="3" type="noConversion"/>
  </si>
  <si>
    <t>05030310</t>
    <phoneticPr fontId="3" type="noConversion"/>
  </si>
  <si>
    <t>05030320</t>
    <phoneticPr fontId="3" type="noConversion"/>
  </si>
  <si>
    <t>05030330</t>
    <phoneticPr fontId="3" type="noConversion"/>
  </si>
  <si>
    <t>05030340</t>
    <phoneticPr fontId="3" type="noConversion"/>
  </si>
  <si>
    <t>05030350</t>
    <phoneticPr fontId="3" type="noConversion"/>
  </si>
  <si>
    <t>05030360</t>
    <phoneticPr fontId="3" type="noConversion"/>
  </si>
  <si>
    <t>05030370</t>
    <phoneticPr fontId="3" type="noConversion"/>
  </si>
  <si>
    <r>
      <rPr>
        <b/>
        <u/>
        <sz val="14"/>
        <color rgb="FFFF0000"/>
        <rFont val="標楷體"/>
        <family val="4"/>
        <charset val="136"/>
      </rPr>
      <t>內勤工作人員</t>
    </r>
    <r>
      <rPr>
        <b/>
        <u/>
        <sz val="14"/>
        <color rgb="FFFF0000"/>
        <rFont val="Times New Roman"/>
        <family val="1"/>
      </rPr>
      <t>(</t>
    </r>
    <r>
      <rPr>
        <b/>
        <u/>
        <sz val="14"/>
        <color rgb="FFFF0000"/>
        <rFont val="標楷體"/>
        <family val="4"/>
        <charset val="136"/>
      </rPr>
      <t>陸地</t>
    </r>
    <r>
      <rPr>
        <b/>
        <u/>
        <sz val="14"/>
        <color rgb="FFFF0000"/>
        <rFont val="Times New Roman"/>
        <family val="1"/>
      </rPr>
      <t>)</t>
    </r>
    <phoneticPr fontId="5" type="noConversion"/>
  </si>
  <si>
    <r>
      <rPr>
        <sz val="14"/>
        <color theme="1"/>
        <rFont val="標楷體"/>
        <family val="4"/>
        <charset val="136"/>
      </rPr>
      <t>航運業亦有一般內勤工作人員，爰建議因應現行職業新增且危險等級比照一般內勤人員職業等級為</t>
    </r>
    <r>
      <rPr>
        <sz val="14"/>
        <color theme="1"/>
        <rFont val="Times New Roman"/>
        <family val="1"/>
      </rPr>
      <t>1</t>
    </r>
    <r>
      <rPr>
        <sz val="14"/>
        <color theme="1"/>
        <rFont val="標楷體"/>
        <family val="4"/>
        <charset val="136"/>
      </rPr>
      <t>級。</t>
    </r>
    <phoneticPr fontId="3" type="noConversion"/>
  </si>
  <si>
    <r>
      <t xml:space="preserve">0504  </t>
    </r>
    <r>
      <rPr>
        <sz val="14"/>
        <rFont val="標楷體"/>
        <family val="4"/>
        <charset val="136"/>
      </rPr>
      <t>空運</t>
    </r>
    <phoneticPr fontId="3" type="noConversion"/>
  </si>
  <si>
    <t>05040010</t>
    <phoneticPr fontId="3" type="noConversion"/>
  </si>
  <si>
    <t>05040020</t>
    <phoneticPr fontId="3" type="noConversion"/>
  </si>
  <si>
    <t>05040030</t>
    <phoneticPr fontId="3" type="noConversion"/>
  </si>
  <si>
    <t>05040040</t>
    <phoneticPr fontId="3" type="noConversion"/>
  </si>
  <si>
    <t>05040050</t>
    <phoneticPr fontId="3" type="noConversion"/>
  </si>
  <si>
    <t>05040060</t>
    <phoneticPr fontId="3" type="noConversion"/>
  </si>
  <si>
    <t>05040070</t>
    <phoneticPr fontId="3" type="noConversion"/>
  </si>
  <si>
    <t>05040080</t>
    <phoneticPr fontId="3" type="noConversion"/>
  </si>
  <si>
    <t>05040090</t>
  </si>
  <si>
    <t>05040100</t>
  </si>
  <si>
    <t>05040110</t>
  </si>
  <si>
    <t>05040120</t>
  </si>
  <si>
    <r>
      <rPr>
        <b/>
        <sz val="14"/>
        <color theme="1"/>
        <rFont val="標楷體"/>
        <family val="4"/>
        <charset val="136"/>
      </rPr>
      <t>行李貨運搬運</t>
    </r>
    <r>
      <rPr>
        <b/>
        <u/>
        <sz val="14"/>
        <color rgb="FFFF0000"/>
        <rFont val="標楷體"/>
        <family val="4"/>
        <charset val="136"/>
      </rPr>
      <t>人員</t>
    </r>
    <phoneticPr fontId="5" type="noConversion"/>
  </si>
  <si>
    <t>05040130</t>
  </si>
  <si>
    <t>05040140</t>
  </si>
  <si>
    <t>05040150</t>
  </si>
  <si>
    <r>
      <rPr>
        <b/>
        <sz val="14"/>
        <color theme="1"/>
        <rFont val="標楷體"/>
        <family val="4"/>
        <charset val="136"/>
      </rPr>
      <t>清潔</t>
    </r>
    <r>
      <rPr>
        <b/>
        <u/>
        <sz val="14"/>
        <color rgb="FFFF0000"/>
        <rFont val="標楷體"/>
        <family val="4"/>
        <charset val="136"/>
      </rPr>
      <t>人員</t>
    </r>
    <r>
      <rPr>
        <b/>
        <sz val="14"/>
        <rFont val="標楷體"/>
        <family val="4"/>
        <charset val="136"/>
      </rPr>
      <t>（高牆或天花板）</t>
    </r>
    <phoneticPr fontId="5" type="noConversion"/>
  </si>
  <si>
    <t>05040160</t>
  </si>
  <si>
    <r>
      <rPr>
        <b/>
        <sz val="14"/>
        <color theme="1"/>
        <rFont val="標楷體"/>
        <family val="4"/>
        <charset val="136"/>
      </rPr>
      <t>跑道維護</t>
    </r>
    <r>
      <rPr>
        <b/>
        <u/>
        <sz val="14"/>
        <color rgb="FFFF0000"/>
        <rFont val="標楷體"/>
        <family val="4"/>
        <charset val="136"/>
      </rPr>
      <t>人員</t>
    </r>
    <phoneticPr fontId="5" type="noConversion"/>
  </si>
  <si>
    <t>05040170</t>
  </si>
  <si>
    <t>05040180</t>
  </si>
  <si>
    <t>05040181</t>
    <phoneticPr fontId="3" type="noConversion"/>
  </si>
  <si>
    <t>05040190</t>
    <phoneticPr fontId="3" type="noConversion"/>
  </si>
  <si>
    <t>05040200</t>
    <phoneticPr fontId="3" type="noConversion"/>
  </si>
  <si>
    <t>05040210</t>
    <phoneticPr fontId="3" type="noConversion"/>
  </si>
  <si>
    <r>
      <rPr>
        <b/>
        <sz val="14"/>
        <color theme="1"/>
        <rFont val="標楷體"/>
        <family val="4"/>
        <charset val="136"/>
      </rPr>
      <t>機場櫃</t>
    </r>
    <r>
      <rPr>
        <b/>
        <u/>
        <sz val="14"/>
        <color rgb="FFFF0000"/>
        <rFont val="標楷體"/>
        <family val="4"/>
        <charset val="136"/>
      </rPr>
      <t>檯</t>
    </r>
    <r>
      <rPr>
        <b/>
        <sz val="14"/>
        <color theme="1"/>
        <rFont val="標楷體"/>
        <family val="4"/>
        <charset val="136"/>
      </rPr>
      <t>人員</t>
    </r>
    <phoneticPr fontId="3" type="noConversion"/>
  </si>
  <si>
    <r>
      <rPr>
        <sz val="14"/>
        <color theme="1"/>
        <rFont val="標楷體"/>
        <family val="4"/>
        <charset val="136"/>
      </rPr>
      <t>修正用字。</t>
    </r>
    <phoneticPr fontId="3" type="noConversion"/>
  </si>
  <si>
    <t>05040220</t>
    <phoneticPr fontId="3" type="noConversion"/>
  </si>
  <si>
    <t>05040221</t>
    <phoneticPr fontId="3" type="noConversion"/>
  </si>
  <si>
    <t>05040230</t>
    <phoneticPr fontId="3" type="noConversion"/>
  </si>
  <si>
    <t>05040240</t>
    <phoneticPr fontId="3" type="noConversion"/>
  </si>
  <si>
    <t>05040250</t>
    <phoneticPr fontId="3" type="noConversion"/>
  </si>
  <si>
    <t>05040260</t>
    <phoneticPr fontId="3" type="noConversion"/>
  </si>
  <si>
    <t>05040270</t>
    <phoneticPr fontId="3" type="noConversion"/>
  </si>
  <si>
    <t>05040280</t>
    <phoneticPr fontId="3" type="noConversion"/>
  </si>
  <si>
    <t>05040290</t>
    <phoneticPr fontId="3" type="noConversion"/>
  </si>
  <si>
    <t>05040291</t>
    <phoneticPr fontId="3" type="noConversion"/>
  </si>
  <si>
    <t>05040292</t>
    <phoneticPr fontId="3" type="noConversion"/>
  </si>
  <si>
    <t>05040293</t>
    <phoneticPr fontId="3" type="noConversion"/>
  </si>
  <si>
    <t>05040300</t>
    <phoneticPr fontId="3" type="noConversion"/>
  </si>
  <si>
    <r>
      <rPr>
        <b/>
        <u/>
        <sz val="14"/>
        <color rgb="FFFF0000"/>
        <rFont val="標楷體"/>
        <family val="4"/>
        <charset val="136"/>
      </rPr>
      <t>無人機工程師</t>
    </r>
    <phoneticPr fontId="5" type="noConversion"/>
  </si>
  <si>
    <r>
      <rPr>
        <sz val="14"/>
        <color theme="1"/>
        <rFont val="標楷體"/>
        <family val="4"/>
        <charset val="136"/>
      </rPr>
      <t>因應新興職業新增，其工作內容多為研發及戶外測試作業，爰建議職業等級建議為</t>
    </r>
    <r>
      <rPr>
        <sz val="14"/>
        <color theme="1"/>
        <rFont val="Times New Roman"/>
        <family val="1"/>
      </rPr>
      <t>2</t>
    </r>
    <r>
      <rPr>
        <sz val="14"/>
        <color theme="1"/>
        <rFont val="標楷體"/>
        <family val="4"/>
        <charset val="136"/>
      </rPr>
      <t>級。</t>
    </r>
    <phoneticPr fontId="3" type="noConversion"/>
  </si>
  <si>
    <r>
      <t xml:space="preserve">06      
</t>
    </r>
    <r>
      <rPr>
        <sz val="14"/>
        <rFont val="標楷體"/>
        <family val="4"/>
        <charset val="136"/>
      </rPr>
      <t>餐旅業</t>
    </r>
    <phoneticPr fontId="3" type="noConversion"/>
  </si>
  <si>
    <r>
      <t xml:space="preserve">0601  </t>
    </r>
    <r>
      <rPr>
        <sz val="14"/>
        <rFont val="標楷體"/>
        <family val="4"/>
        <charset val="136"/>
      </rPr>
      <t>旅遊業</t>
    </r>
    <phoneticPr fontId="3" type="noConversion"/>
  </si>
  <si>
    <t>06010010</t>
    <phoneticPr fontId="3" type="noConversion"/>
  </si>
  <si>
    <t>06010020</t>
    <phoneticPr fontId="3" type="noConversion"/>
  </si>
  <si>
    <t>06010030</t>
    <phoneticPr fontId="3" type="noConversion"/>
  </si>
  <si>
    <t>06010040</t>
    <phoneticPr fontId="3" type="noConversion"/>
  </si>
  <si>
    <t>06010050</t>
    <phoneticPr fontId="3" type="noConversion"/>
  </si>
  <si>
    <t>06010060</t>
    <phoneticPr fontId="3" type="noConversion"/>
  </si>
  <si>
    <t>06010070</t>
    <phoneticPr fontId="3" type="noConversion"/>
  </si>
  <si>
    <t>06010080</t>
    <phoneticPr fontId="5" type="noConversion"/>
  </si>
  <si>
    <t>06010090</t>
    <phoneticPr fontId="3" type="noConversion"/>
  </si>
  <si>
    <r>
      <rPr>
        <b/>
        <u/>
        <sz val="14"/>
        <color rgb="FFFF0000"/>
        <rFont val="標楷體"/>
        <family val="4"/>
        <charset val="136"/>
      </rPr>
      <t>旅行社負責人</t>
    </r>
    <phoneticPr fontId="5" type="noConversion"/>
  </si>
  <si>
    <r>
      <rPr>
        <sz val="14"/>
        <color theme="1"/>
        <rFont val="標楷體"/>
        <family val="4"/>
        <charset val="136"/>
      </rPr>
      <t>旅行社亦應有負責人，建議比照</t>
    </r>
    <r>
      <rPr>
        <sz val="14"/>
        <color theme="1"/>
        <rFont val="Times New Roman"/>
        <family val="1"/>
      </rPr>
      <t>"06020010"</t>
    </r>
    <r>
      <rPr>
        <sz val="14"/>
        <color theme="1"/>
        <rFont val="標楷體"/>
        <family val="4"/>
        <charset val="136"/>
      </rPr>
      <t>旅館業負責人增列，且比照職業等級為</t>
    </r>
    <r>
      <rPr>
        <sz val="14"/>
        <color theme="1"/>
        <rFont val="Times New Roman"/>
        <family val="1"/>
      </rPr>
      <t>1</t>
    </r>
    <r>
      <rPr>
        <sz val="14"/>
        <color theme="1"/>
        <rFont val="標楷體"/>
        <family val="4"/>
        <charset val="136"/>
      </rPr>
      <t>級。</t>
    </r>
    <phoneticPr fontId="3" type="noConversion"/>
  </si>
  <si>
    <r>
      <t xml:space="preserve">0602  </t>
    </r>
    <r>
      <rPr>
        <sz val="14"/>
        <rFont val="標楷體"/>
        <family val="4"/>
        <charset val="136"/>
      </rPr>
      <t>旅館業</t>
    </r>
    <phoneticPr fontId="3" type="noConversion"/>
  </si>
  <si>
    <t>06020010</t>
    <phoneticPr fontId="3" type="noConversion"/>
  </si>
  <si>
    <r>
      <rPr>
        <b/>
        <u/>
        <sz val="14"/>
        <color rgb="FFFF0000"/>
        <rFont val="標楷體"/>
        <family val="4"/>
        <charset val="136"/>
      </rPr>
      <t>旅館業</t>
    </r>
    <r>
      <rPr>
        <b/>
        <sz val="14"/>
        <rFont val="標楷體"/>
        <family val="4"/>
        <charset val="136"/>
      </rPr>
      <t>負責人</t>
    </r>
    <phoneticPr fontId="5" type="noConversion"/>
  </si>
  <si>
    <r>
      <rPr>
        <sz val="14"/>
        <color theme="1"/>
        <rFont val="標楷體"/>
        <family val="4"/>
        <charset val="136"/>
      </rPr>
      <t>為使保險業業務員及核保人員得正確選擇職業中分類下之工作性質，爰建議於本項工作性質前增加業別之描述性文字。</t>
    </r>
    <phoneticPr fontId="3" type="noConversion"/>
  </si>
  <si>
    <t>06020020</t>
    <phoneticPr fontId="3" type="noConversion"/>
  </si>
  <si>
    <t>06020030</t>
    <phoneticPr fontId="3" type="noConversion"/>
  </si>
  <si>
    <t>06020040</t>
    <phoneticPr fontId="3" type="noConversion"/>
  </si>
  <si>
    <t>06020050</t>
    <phoneticPr fontId="3" type="noConversion"/>
  </si>
  <si>
    <t>06020060</t>
    <phoneticPr fontId="3" type="noConversion"/>
  </si>
  <si>
    <t>06020070</t>
    <phoneticPr fontId="3" type="noConversion"/>
  </si>
  <si>
    <t>06020080</t>
    <phoneticPr fontId="3" type="noConversion"/>
  </si>
  <si>
    <r>
      <rPr>
        <b/>
        <sz val="14"/>
        <color theme="1"/>
        <rFont val="標楷體"/>
        <family val="4"/>
        <charset val="136"/>
      </rPr>
      <t>清潔</t>
    </r>
    <r>
      <rPr>
        <b/>
        <u/>
        <sz val="14"/>
        <color rgb="FFFF0000"/>
        <rFont val="標楷體"/>
        <family val="4"/>
        <charset val="136"/>
      </rPr>
      <t>人員</t>
    </r>
    <phoneticPr fontId="5" type="noConversion"/>
  </si>
  <si>
    <t>06020090</t>
    <phoneticPr fontId="3" type="noConversion"/>
  </si>
  <si>
    <t>06020100</t>
    <phoneticPr fontId="3" type="noConversion"/>
  </si>
  <si>
    <t>06020110</t>
    <phoneticPr fontId="3" type="noConversion"/>
  </si>
  <si>
    <t>06020120</t>
    <phoneticPr fontId="3" type="noConversion"/>
  </si>
  <si>
    <r>
      <t xml:space="preserve">0603  </t>
    </r>
    <r>
      <rPr>
        <sz val="14"/>
        <rFont val="標楷體"/>
        <family val="4"/>
        <charset val="136"/>
      </rPr>
      <t>餐飲業</t>
    </r>
    <phoneticPr fontId="3" type="noConversion"/>
  </si>
  <si>
    <t>06030010</t>
    <phoneticPr fontId="3" type="noConversion"/>
  </si>
  <si>
    <r>
      <rPr>
        <b/>
        <u/>
        <sz val="14"/>
        <color rgb="FFFF0000"/>
        <rFont val="標楷體"/>
        <family val="4"/>
        <charset val="136"/>
      </rPr>
      <t>負責人、</t>
    </r>
    <r>
      <rPr>
        <b/>
        <sz val="14"/>
        <rFont val="標楷體"/>
        <family val="4"/>
        <charset val="136"/>
      </rPr>
      <t>經理人員、</t>
    </r>
    <r>
      <rPr>
        <b/>
        <u/>
        <sz val="14"/>
        <color rgb="FFFF0000"/>
        <rFont val="標楷體"/>
        <family val="4"/>
        <charset val="136"/>
      </rPr>
      <t>店長</t>
    </r>
    <phoneticPr fontId="3" type="noConversion"/>
  </si>
  <si>
    <r>
      <rPr>
        <sz val="14"/>
        <color theme="1"/>
        <rFont val="標楷體"/>
        <family val="4"/>
        <charset val="136"/>
      </rPr>
      <t>建議比照</t>
    </r>
    <r>
      <rPr>
        <sz val="14"/>
        <color theme="1"/>
        <rFont val="Times New Roman"/>
        <family val="1"/>
      </rPr>
      <t>"06020010"</t>
    </r>
    <r>
      <rPr>
        <sz val="14"/>
        <color theme="1"/>
        <rFont val="標楷體"/>
        <family val="4"/>
        <charset val="136"/>
      </rPr>
      <t>，旅館業增列經營階層之負責人、經理人及店長，職業等級為</t>
    </r>
    <r>
      <rPr>
        <sz val="14"/>
        <color theme="1"/>
        <rFont val="Times New Roman"/>
        <family val="1"/>
      </rPr>
      <t>1</t>
    </r>
    <r>
      <rPr>
        <sz val="14"/>
        <color theme="1"/>
        <rFont val="標楷體"/>
        <family val="4"/>
        <charset val="136"/>
      </rPr>
      <t>。</t>
    </r>
    <phoneticPr fontId="3" type="noConversion"/>
  </si>
  <si>
    <t>06030020</t>
    <phoneticPr fontId="3" type="noConversion"/>
  </si>
  <si>
    <t>06030030</t>
    <phoneticPr fontId="3" type="noConversion"/>
  </si>
  <si>
    <r>
      <rPr>
        <b/>
        <sz val="14"/>
        <color theme="1"/>
        <rFont val="標楷體"/>
        <family val="4"/>
        <charset val="136"/>
      </rPr>
      <t>櫃</t>
    </r>
    <r>
      <rPr>
        <b/>
        <u/>
        <sz val="14"/>
        <color rgb="FFFF0000"/>
        <rFont val="標楷體"/>
        <family val="4"/>
        <charset val="136"/>
      </rPr>
      <t>檯</t>
    </r>
    <r>
      <rPr>
        <b/>
        <sz val="14"/>
        <color theme="1"/>
        <rFont val="標楷體"/>
        <family val="4"/>
        <charset val="136"/>
      </rPr>
      <t>人員</t>
    </r>
    <phoneticPr fontId="3" type="noConversion"/>
  </si>
  <si>
    <t>06030040</t>
    <phoneticPr fontId="3" type="noConversion"/>
  </si>
  <si>
    <t>06030050</t>
    <phoneticPr fontId="3" type="noConversion"/>
  </si>
  <si>
    <t>06030060</t>
    <phoneticPr fontId="3" type="noConversion"/>
  </si>
  <si>
    <t>06030070</t>
    <phoneticPr fontId="3" type="noConversion"/>
  </si>
  <si>
    <t>06030080</t>
    <phoneticPr fontId="3" type="noConversion"/>
  </si>
  <si>
    <r>
      <rPr>
        <b/>
        <sz val="14"/>
        <color theme="1"/>
        <rFont val="標楷體"/>
        <family val="4"/>
        <charset val="136"/>
      </rPr>
      <t>洗碗</t>
    </r>
    <r>
      <rPr>
        <b/>
        <u/>
        <sz val="14"/>
        <color rgb="FFFF0000"/>
        <rFont val="標楷體"/>
        <family val="4"/>
        <charset val="136"/>
      </rPr>
      <t>人員</t>
    </r>
    <phoneticPr fontId="5" type="noConversion"/>
  </si>
  <si>
    <t>06030090</t>
    <phoneticPr fontId="3" type="noConversion"/>
  </si>
  <si>
    <t>06030100</t>
    <phoneticPr fontId="3" type="noConversion"/>
  </si>
  <si>
    <r>
      <rPr>
        <b/>
        <sz val="14"/>
        <rFont val="標楷體"/>
        <family val="4"/>
        <charset val="136"/>
      </rPr>
      <t>調酒師</t>
    </r>
    <r>
      <rPr>
        <b/>
        <u/>
        <sz val="14"/>
        <color rgb="FFFF0000"/>
        <rFont val="標楷體"/>
        <family val="4"/>
        <charset val="136"/>
      </rPr>
      <t>、品酒師</t>
    </r>
    <phoneticPr fontId="3" type="noConversion"/>
  </si>
  <si>
    <r>
      <rPr>
        <sz val="14"/>
        <color theme="1"/>
        <rFont val="標楷體"/>
        <family val="4"/>
        <charset val="136"/>
      </rPr>
      <t>因應新興職業新增品酒師，其工作內容為酒水品鑑，爰建議增列工作性質。</t>
    </r>
    <phoneticPr fontId="3" type="noConversion"/>
  </si>
  <si>
    <t>06030110</t>
    <phoneticPr fontId="3" type="noConversion"/>
  </si>
  <si>
    <t>06030120</t>
    <phoneticPr fontId="3" type="noConversion"/>
  </si>
  <si>
    <t>06030130</t>
    <phoneticPr fontId="3" type="noConversion"/>
  </si>
  <si>
    <t>06030140</t>
    <phoneticPr fontId="3" type="noConversion"/>
  </si>
  <si>
    <t>06030150</t>
    <phoneticPr fontId="3" type="noConversion"/>
  </si>
  <si>
    <t>06030160</t>
    <phoneticPr fontId="3" type="noConversion"/>
  </si>
  <si>
    <t>06030170</t>
    <phoneticPr fontId="3" type="noConversion"/>
  </si>
  <si>
    <t>06030180</t>
    <phoneticPr fontId="3" type="noConversion"/>
  </si>
  <si>
    <t>06030190</t>
    <phoneticPr fontId="3" type="noConversion"/>
  </si>
  <si>
    <t>06030200</t>
    <phoneticPr fontId="3" type="noConversion"/>
  </si>
  <si>
    <t>06030210</t>
    <phoneticPr fontId="5" type="noConversion"/>
  </si>
  <si>
    <t>06030220</t>
    <phoneticPr fontId="3" type="noConversion"/>
  </si>
  <si>
    <r>
      <rPr>
        <b/>
        <u/>
        <sz val="14"/>
        <color rgb="FFFF0000"/>
        <rFont val="標楷體"/>
        <family val="4"/>
        <charset val="136"/>
      </rPr>
      <t>美食評論家</t>
    </r>
    <phoneticPr fontId="5" type="noConversion"/>
  </si>
  <si>
    <r>
      <rPr>
        <sz val="14"/>
        <color theme="1"/>
        <rFont val="標楷體"/>
        <family val="4"/>
        <charset val="136"/>
      </rPr>
      <t>因應新興職業新增美食評論家，其工作內容品嚐美食後使用文字表達相關評論，工作環境應於室內無危險性，爰建議職業等級為</t>
    </r>
    <r>
      <rPr>
        <sz val="14"/>
        <color theme="1"/>
        <rFont val="Times New Roman"/>
        <family val="1"/>
      </rPr>
      <t>1</t>
    </r>
    <r>
      <rPr>
        <sz val="14"/>
        <color theme="1"/>
        <rFont val="標楷體"/>
        <family val="4"/>
        <charset val="136"/>
      </rPr>
      <t>級。</t>
    </r>
    <phoneticPr fontId="3" type="noConversion"/>
  </si>
  <si>
    <t>06030230</t>
    <phoneticPr fontId="3" type="noConversion"/>
  </si>
  <si>
    <r>
      <rPr>
        <b/>
        <u/>
        <sz val="14"/>
        <color rgb="FFFF0000"/>
        <rFont val="標楷體"/>
        <family val="4"/>
        <charset val="136"/>
      </rPr>
      <t>冰雕人員</t>
    </r>
    <phoneticPr fontId="3" type="noConversion"/>
  </si>
  <si>
    <r>
      <rPr>
        <sz val="14"/>
        <color theme="1"/>
        <rFont val="標楷體"/>
        <family val="4"/>
        <charset val="136"/>
      </rPr>
      <t>因應新興職業新增冰雕人員，其工作內容為使用刀具進行相關冰塊雕刻作業，應較一般廚師危險性稍高，爰建議職業等級為</t>
    </r>
    <r>
      <rPr>
        <sz val="14"/>
        <color theme="1"/>
        <rFont val="Times New Roman"/>
        <family val="1"/>
      </rPr>
      <t>3</t>
    </r>
    <r>
      <rPr>
        <sz val="14"/>
        <color theme="1"/>
        <rFont val="標楷體"/>
        <family val="4"/>
        <charset val="136"/>
      </rPr>
      <t>級。</t>
    </r>
    <phoneticPr fontId="3" type="noConversion"/>
  </si>
  <si>
    <r>
      <t xml:space="preserve">07      
</t>
    </r>
    <r>
      <rPr>
        <sz val="14"/>
        <rFont val="標楷體"/>
        <family val="4"/>
        <charset val="136"/>
      </rPr>
      <t>建築工程業</t>
    </r>
    <phoneticPr fontId="3" type="noConversion"/>
  </si>
  <si>
    <r>
      <t xml:space="preserve">0701  </t>
    </r>
    <r>
      <rPr>
        <sz val="14"/>
        <rFont val="標楷體"/>
        <family val="4"/>
        <charset val="136"/>
      </rPr>
      <t xml:space="preserve">建築公司
</t>
    </r>
    <r>
      <rPr>
        <sz val="14"/>
        <rFont val="Times New Roman"/>
        <family val="1"/>
      </rPr>
      <t xml:space="preserve">          </t>
    </r>
    <r>
      <rPr>
        <sz val="14"/>
        <rFont val="標楷體"/>
        <family val="4"/>
        <charset val="136"/>
      </rPr>
      <t>土木工程</t>
    </r>
    <phoneticPr fontId="3" type="noConversion"/>
  </si>
  <si>
    <t>07010010</t>
    <phoneticPr fontId="3" type="noConversion"/>
  </si>
  <si>
    <t>07010020</t>
    <phoneticPr fontId="3" type="noConversion"/>
  </si>
  <si>
    <t>07010030</t>
    <phoneticPr fontId="3" type="noConversion"/>
  </si>
  <si>
    <r>
      <rPr>
        <b/>
        <sz val="14"/>
        <rFont val="標楷體"/>
        <family val="4"/>
        <charset val="136"/>
      </rPr>
      <t>內勤工作人員</t>
    </r>
    <r>
      <rPr>
        <b/>
        <u/>
        <sz val="14"/>
        <color rgb="FFFF0000"/>
        <rFont val="標楷體"/>
        <family val="4"/>
        <charset val="136"/>
      </rPr>
      <t>、工地售屋人員</t>
    </r>
    <r>
      <rPr>
        <b/>
        <u/>
        <sz val="14"/>
        <color rgb="FFFF0000"/>
        <rFont val="Times New Roman"/>
        <family val="1"/>
      </rPr>
      <t>(</t>
    </r>
    <r>
      <rPr>
        <b/>
        <u/>
        <sz val="14"/>
        <color rgb="FFFF0000"/>
        <rFont val="標楷體"/>
        <family val="4"/>
        <charset val="136"/>
      </rPr>
      <t>不包含引導參觀工地</t>
    </r>
    <r>
      <rPr>
        <b/>
        <u/>
        <sz val="14"/>
        <color rgb="FFFF0000"/>
        <rFont val="Times New Roman"/>
        <family val="1"/>
      </rPr>
      <t>)</t>
    </r>
    <phoneticPr fontId="3" type="noConversion"/>
  </si>
  <si>
    <r>
      <rPr>
        <sz val="14"/>
        <color theme="1"/>
        <rFont val="標楷體"/>
        <family val="4"/>
        <charset val="136"/>
      </rPr>
      <t>因應現行建築工程業之實務，爰增列相關工作性質。</t>
    </r>
    <phoneticPr fontId="3" type="noConversion"/>
  </si>
  <si>
    <t>07010040</t>
    <phoneticPr fontId="3" type="noConversion"/>
  </si>
  <si>
    <t>07010050</t>
    <phoneticPr fontId="3" type="noConversion"/>
  </si>
  <si>
    <t>07010060</t>
    <phoneticPr fontId="3" type="noConversion"/>
  </si>
  <si>
    <t>07010070</t>
    <phoneticPr fontId="3" type="noConversion"/>
  </si>
  <si>
    <t>07010080</t>
    <phoneticPr fontId="3" type="noConversion"/>
  </si>
  <si>
    <t>07010090</t>
    <phoneticPr fontId="3" type="noConversion"/>
  </si>
  <si>
    <t>07010100</t>
    <phoneticPr fontId="3" type="noConversion"/>
  </si>
  <si>
    <t>07010110</t>
    <phoneticPr fontId="3" type="noConversion"/>
  </si>
  <si>
    <t>07010120</t>
    <phoneticPr fontId="3" type="noConversion"/>
  </si>
  <si>
    <r>
      <rPr>
        <b/>
        <sz val="14"/>
        <rFont val="標楷體"/>
        <family val="4"/>
        <charset val="136"/>
      </rPr>
      <t>泥水匠</t>
    </r>
    <r>
      <rPr>
        <b/>
        <u/>
        <sz val="14"/>
        <color rgb="FFFF0000"/>
        <rFont val="標楷體"/>
        <family val="4"/>
        <charset val="136"/>
      </rPr>
      <t>、混凝土混合機操作員</t>
    </r>
    <phoneticPr fontId="3" type="noConversion"/>
  </si>
  <si>
    <t>因應現行實務新增，操作員係指水泥廠大型攪拌機的操作人員，其危險程度較高，爰建議同泥水匠於本項增列。</t>
    <phoneticPr fontId="3" type="noConversion"/>
  </si>
  <si>
    <t>07010140</t>
  </si>
  <si>
    <t>07010150</t>
  </si>
  <si>
    <t>07010170</t>
    <phoneticPr fontId="3" type="noConversion"/>
  </si>
  <si>
    <t>07010180</t>
    <phoneticPr fontId="3" type="noConversion"/>
  </si>
  <si>
    <t>07010190</t>
  </si>
  <si>
    <t>07010200</t>
    <phoneticPr fontId="5" type="noConversion"/>
  </si>
  <si>
    <t>07010210</t>
    <phoneticPr fontId="5" type="noConversion"/>
  </si>
  <si>
    <t>07010220</t>
  </si>
  <si>
    <t>07010230</t>
  </si>
  <si>
    <t>07010240</t>
  </si>
  <si>
    <t>07010250</t>
    <phoneticPr fontId="3" type="noConversion"/>
  </si>
  <si>
    <t>07010260</t>
    <phoneticPr fontId="3" type="noConversion"/>
  </si>
  <si>
    <r>
      <rPr>
        <b/>
        <sz val="14"/>
        <rFont val="標楷體"/>
        <family val="4"/>
        <charset val="136"/>
      </rPr>
      <t>鋁門窗裝修人員</t>
    </r>
    <r>
      <rPr>
        <b/>
        <u/>
        <sz val="14"/>
        <color rgb="FFFF0000"/>
        <rFont val="標楷體"/>
        <family val="4"/>
        <charset val="136"/>
      </rPr>
      <t>、鐵門窗裝修人員</t>
    </r>
    <phoneticPr fontId="3" type="noConversion"/>
  </si>
  <si>
    <r>
      <rPr>
        <sz val="14"/>
        <color theme="1"/>
        <rFont val="標楷體"/>
        <family val="4"/>
        <charset val="136"/>
      </rPr>
      <t>因應該行業實務作業，建議增列相類似工作性質。</t>
    </r>
    <phoneticPr fontId="3" type="noConversion"/>
  </si>
  <si>
    <t>07010270</t>
    <phoneticPr fontId="3" type="noConversion"/>
  </si>
  <si>
    <t>07010280</t>
    <phoneticPr fontId="3" type="noConversion"/>
  </si>
  <si>
    <t>07010290</t>
  </si>
  <si>
    <t>07010300</t>
    <phoneticPr fontId="5" type="noConversion"/>
  </si>
  <si>
    <t>07010310</t>
    <phoneticPr fontId="5" type="noConversion"/>
  </si>
  <si>
    <t>07010320</t>
    <phoneticPr fontId="5" type="noConversion"/>
  </si>
  <si>
    <t>07010321</t>
    <phoneticPr fontId="5" type="noConversion"/>
  </si>
  <si>
    <t>07010330</t>
    <phoneticPr fontId="5" type="noConversion"/>
  </si>
  <si>
    <t>07010340</t>
    <phoneticPr fontId="5" type="noConversion"/>
  </si>
  <si>
    <t>07010350</t>
    <phoneticPr fontId="5" type="noConversion"/>
  </si>
  <si>
    <r>
      <rPr>
        <b/>
        <sz val="14"/>
        <rFont val="標楷體"/>
        <family val="4"/>
        <charset val="136"/>
      </rPr>
      <t>拆屋、遷屋</t>
    </r>
    <r>
      <rPr>
        <b/>
        <u/>
        <sz val="14"/>
        <color rgb="FFFF0000"/>
        <rFont val="標楷體"/>
        <family val="4"/>
        <charset val="136"/>
      </rPr>
      <t>人員、違建拆除大隊</t>
    </r>
    <phoneticPr fontId="3" type="noConversion"/>
  </si>
  <si>
    <t>07010360</t>
    <phoneticPr fontId="5" type="noConversion"/>
  </si>
  <si>
    <t>07010370</t>
    <phoneticPr fontId="5" type="noConversion"/>
  </si>
  <si>
    <t>07010380</t>
    <phoneticPr fontId="5" type="noConversion"/>
  </si>
  <si>
    <t>07010390</t>
    <phoneticPr fontId="5" type="noConversion"/>
  </si>
  <si>
    <r>
      <rPr>
        <b/>
        <sz val="14"/>
        <rFont val="標楷體"/>
        <family val="4"/>
        <charset val="136"/>
      </rPr>
      <t>寺廟</t>
    </r>
    <r>
      <rPr>
        <b/>
        <u/>
        <sz val="14"/>
        <color rgb="FFFF0000"/>
        <rFont val="標楷體"/>
        <family val="4"/>
        <charset val="136"/>
      </rPr>
      <t>或教堂</t>
    </r>
    <r>
      <rPr>
        <b/>
        <sz val="14"/>
        <rFont val="標楷體"/>
        <family val="4"/>
        <charset val="136"/>
      </rPr>
      <t>彩繪人員</t>
    </r>
    <phoneticPr fontId="3" type="noConversion"/>
  </si>
  <si>
    <t>07010400</t>
    <phoneticPr fontId="5" type="noConversion"/>
  </si>
  <si>
    <r>
      <rPr>
        <b/>
        <sz val="14"/>
        <rFont val="標楷體"/>
        <family val="4"/>
        <charset val="136"/>
      </rPr>
      <t>大樓玻璃帷幕安裝</t>
    </r>
    <r>
      <rPr>
        <b/>
        <u/>
        <sz val="14"/>
        <color rgb="FFFF0000"/>
        <rFont val="標楷體"/>
        <family val="4"/>
        <charset val="136"/>
      </rPr>
      <t>、空中吊車操作人員</t>
    </r>
    <phoneticPr fontId="3" type="noConversion"/>
  </si>
  <si>
    <r>
      <rPr>
        <sz val="14"/>
        <color theme="1"/>
        <rFont val="標楷體"/>
        <family val="4"/>
        <charset val="136"/>
      </rPr>
      <t>蓋高樓頂層須空中吊車吊掛建材，空中吊車操作員與大樓玻璃帷幕安裝人員工作都在幾百公尺高的空中進行相關作業，爰建議同大樓玻璃帷幕安裝同職業等級並增列於本項。</t>
    </r>
    <phoneticPr fontId="3" type="noConversion"/>
  </si>
  <si>
    <t>07010410</t>
    <phoneticPr fontId="5" type="noConversion"/>
  </si>
  <si>
    <t>07010420</t>
    <phoneticPr fontId="3" type="noConversion"/>
  </si>
  <si>
    <t>07010430</t>
    <phoneticPr fontId="3" type="noConversion"/>
  </si>
  <si>
    <t>07010440</t>
    <phoneticPr fontId="3" type="noConversion"/>
  </si>
  <si>
    <r>
      <rPr>
        <b/>
        <sz val="14"/>
        <color theme="1"/>
        <rFont val="標楷體"/>
        <family val="4"/>
        <charset val="136"/>
      </rPr>
      <t>工地清潔</t>
    </r>
    <r>
      <rPr>
        <b/>
        <u/>
        <sz val="14"/>
        <color rgb="FFFF0000"/>
        <rFont val="標楷體"/>
        <family val="4"/>
        <charset val="136"/>
      </rPr>
      <t>人員</t>
    </r>
    <phoneticPr fontId="5" type="noConversion"/>
  </si>
  <si>
    <t>07010450</t>
    <phoneticPr fontId="3" type="noConversion"/>
  </si>
  <si>
    <t>07010460</t>
    <phoneticPr fontId="3" type="noConversion"/>
  </si>
  <si>
    <t>07010470</t>
    <phoneticPr fontId="3" type="noConversion"/>
  </si>
  <si>
    <t>07010480</t>
    <phoneticPr fontId="3" type="noConversion"/>
  </si>
  <si>
    <t>07010490</t>
  </si>
  <si>
    <t>07010500</t>
    <phoneticPr fontId="3" type="noConversion"/>
  </si>
  <si>
    <r>
      <rPr>
        <b/>
        <u/>
        <sz val="14"/>
        <color rgb="FFFF0000"/>
        <rFont val="標楷體"/>
        <family val="4"/>
        <charset val="136"/>
      </rPr>
      <t>工地福利社負責人及銷售人員</t>
    </r>
    <phoneticPr fontId="5" type="noConversion"/>
  </si>
  <si>
    <r>
      <rPr>
        <sz val="14"/>
        <color theme="1"/>
        <rFont val="標楷體"/>
        <family val="4"/>
        <charset val="136"/>
      </rPr>
      <t>因應現行實務新增，工地福利社通常搭建於建築中之空地，危險性稍高，爰建議比照一般外勤人員職業等級為</t>
    </r>
    <r>
      <rPr>
        <sz val="14"/>
        <color theme="1"/>
        <rFont val="Times New Roman"/>
        <family val="1"/>
      </rPr>
      <t>2</t>
    </r>
    <r>
      <rPr>
        <sz val="14"/>
        <color theme="1"/>
        <rFont val="標楷體"/>
        <family val="4"/>
        <charset val="136"/>
      </rPr>
      <t>級。</t>
    </r>
    <phoneticPr fontId="3" type="noConversion"/>
  </si>
  <si>
    <t>07010510</t>
    <phoneticPr fontId="3" type="noConversion"/>
  </si>
  <si>
    <r>
      <rPr>
        <b/>
        <u/>
        <sz val="14"/>
        <color rgb="FFFF0000"/>
        <rFont val="標楷體"/>
        <family val="4"/>
        <charset val="136"/>
      </rPr>
      <t>邊坡工人</t>
    </r>
    <phoneticPr fontId="5" type="noConversion"/>
  </si>
  <si>
    <r>
      <rPr>
        <sz val="14"/>
        <color theme="1"/>
        <rFont val="標楷體"/>
        <family val="4"/>
        <charset val="136"/>
      </rPr>
      <t>因應現行實務新增，該工作須靠著繩索垂懸在深不見底的陡峭山壁上，工作內容是穩定道路上下邊坡、灌漿、復育植被，避免邊坡落石或坍方，危險程度相當高，爰建議職業等級為</t>
    </r>
    <r>
      <rPr>
        <sz val="14"/>
        <color theme="1"/>
        <rFont val="Times New Roman"/>
        <family val="1"/>
      </rPr>
      <t>6</t>
    </r>
    <r>
      <rPr>
        <sz val="14"/>
        <color theme="1"/>
        <rFont val="標楷體"/>
        <family val="4"/>
        <charset val="136"/>
      </rPr>
      <t>級。</t>
    </r>
    <phoneticPr fontId="3" type="noConversion"/>
  </si>
  <si>
    <t>07010520</t>
    <phoneticPr fontId="3" type="noConversion"/>
  </si>
  <si>
    <r>
      <rPr>
        <b/>
        <u/>
        <sz val="14"/>
        <color rgb="FFFF0000"/>
        <rFont val="標楷體"/>
        <family val="4"/>
        <charset val="136"/>
      </rPr>
      <t>燈塔技工</t>
    </r>
    <phoneticPr fontId="5" type="noConversion"/>
  </si>
  <si>
    <r>
      <rPr>
        <sz val="14"/>
        <color theme="1"/>
        <rFont val="標楷體"/>
        <family val="4"/>
        <charset val="136"/>
      </rPr>
      <t>因應現行實務新增，技工工作內容包括燈器設備維護保養、一般事務性工作、燈塔各項維護工作</t>
    </r>
    <r>
      <rPr>
        <sz val="14"/>
        <color theme="1"/>
        <rFont val="Times New Roman"/>
        <family val="1"/>
      </rPr>
      <t>(</t>
    </r>
    <r>
      <rPr>
        <sz val="14"/>
        <color theme="1"/>
        <rFont val="標楷體"/>
        <family val="4"/>
        <charset val="136"/>
      </rPr>
      <t>含塔身及房舍油漆粉刷、園區環境清潔</t>
    </r>
    <r>
      <rPr>
        <sz val="14"/>
        <color theme="1"/>
        <rFont val="Times New Roman"/>
        <family val="1"/>
      </rPr>
      <t>)</t>
    </r>
    <r>
      <rPr>
        <sz val="14"/>
        <color theme="1"/>
        <rFont val="標楷體"/>
        <family val="4"/>
        <charset val="136"/>
      </rPr>
      <t>，爰建議職業等級為</t>
    </r>
    <r>
      <rPr>
        <sz val="14"/>
        <color theme="1"/>
        <rFont val="Times New Roman"/>
        <family val="1"/>
      </rPr>
      <t>3</t>
    </r>
    <r>
      <rPr>
        <sz val="14"/>
        <color theme="1"/>
        <rFont val="標楷體"/>
        <family val="4"/>
        <charset val="136"/>
      </rPr>
      <t>級。</t>
    </r>
    <phoneticPr fontId="3" type="noConversion"/>
  </si>
  <si>
    <t>07010530</t>
    <phoneticPr fontId="3" type="noConversion"/>
  </si>
  <si>
    <r>
      <rPr>
        <b/>
        <u/>
        <sz val="14"/>
        <color rgb="FFFF0000"/>
        <rFont val="標楷體"/>
        <family val="4"/>
        <charset val="136"/>
      </rPr>
      <t>太陽能板安裝人員</t>
    </r>
  </si>
  <si>
    <r>
      <rPr>
        <sz val="14"/>
        <color theme="1"/>
        <rFont val="標楷體"/>
        <family val="4"/>
        <charset val="136"/>
      </rPr>
      <t>因應新興職業新增，太陽能板通常須安裝於屋頂處，高空作業之危險程度較高，爰建議比照</t>
    </r>
    <r>
      <rPr>
        <sz val="14"/>
        <color theme="1"/>
        <rFont val="Times New Roman"/>
        <family val="1"/>
      </rPr>
      <t>"07010250"</t>
    </r>
    <r>
      <rPr>
        <sz val="14"/>
        <color theme="1"/>
        <rFont val="標楷體"/>
        <family val="4"/>
        <charset val="136"/>
      </rPr>
      <t>職業等級為</t>
    </r>
    <r>
      <rPr>
        <sz val="14"/>
        <color theme="1"/>
        <rFont val="Times New Roman"/>
        <family val="1"/>
      </rPr>
      <t>4</t>
    </r>
    <r>
      <rPr>
        <sz val="14"/>
        <color theme="1"/>
        <rFont val="標楷體"/>
        <family val="4"/>
        <charset val="136"/>
      </rPr>
      <t>級。</t>
    </r>
    <phoneticPr fontId="3" type="noConversion"/>
  </si>
  <si>
    <t>07010540</t>
    <phoneticPr fontId="3" type="noConversion"/>
  </si>
  <si>
    <r>
      <rPr>
        <b/>
        <u/>
        <sz val="14"/>
        <color rgb="FFFF0000"/>
        <rFont val="標楷體"/>
        <family val="4"/>
        <charset val="136"/>
      </rPr>
      <t>天車操作人員</t>
    </r>
    <r>
      <rPr>
        <b/>
        <u/>
        <sz val="14"/>
        <color rgb="FFFF0000"/>
        <rFont val="Times New Roman"/>
        <family val="1"/>
      </rPr>
      <t>(</t>
    </r>
    <r>
      <rPr>
        <b/>
        <u/>
        <sz val="14"/>
        <color rgb="FFFF0000"/>
        <rFont val="標楷體"/>
        <family val="4"/>
        <charset val="136"/>
      </rPr>
      <t>機房</t>
    </r>
    <r>
      <rPr>
        <b/>
        <u/>
        <sz val="14"/>
        <color rgb="FFFF0000"/>
        <rFont val="Times New Roman"/>
        <family val="1"/>
      </rPr>
      <t>)</t>
    </r>
    <phoneticPr fontId="3" type="noConversion"/>
  </si>
  <si>
    <r>
      <rPr>
        <sz val="14"/>
        <color theme="1"/>
        <rFont val="標楷體"/>
        <family val="4"/>
        <charset val="136"/>
      </rPr>
      <t>因應現行實務新增，天車為橋式起重機的別稱，橫架於車間、倉庫和料場上空進行物料吊運的起重設備，現場操作人員工作的地方在大約四層樓高，爰建議比照</t>
    </r>
    <r>
      <rPr>
        <sz val="14"/>
        <color theme="1"/>
        <rFont val="Times New Roman"/>
        <family val="1"/>
      </rPr>
      <t>"07010400"</t>
    </r>
    <r>
      <rPr>
        <sz val="14"/>
        <color theme="1"/>
        <rFont val="標楷體"/>
        <family val="4"/>
        <charset val="136"/>
      </rPr>
      <t>，職業等級為</t>
    </r>
    <r>
      <rPr>
        <sz val="14"/>
        <color theme="1"/>
        <rFont val="Times New Roman"/>
        <family val="1"/>
      </rPr>
      <t>5</t>
    </r>
    <r>
      <rPr>
        <sz val="14"/>
        <color theme="1"/>
        <rFont val="標楷體"/>
        <family val="4"/>
        <charset val="136"/>
      </rPr>
      <t>級，但如非再現場操作者，危險程度稍低，職業等級為</t>
    </r>
    <r>
      <rPr>
        <sz val="14"/>
        <color theme="1"/>
        <rFont val="Times New Roman"/>
        <family val="1"/>
      </rPr>
      <t>4</t>
    </r>
    <r>
      <rPr>
        <sz val="14"/>
        <color theme="1"/>
        <rFont val="標楷體"/>
        <family val="4"/>
        <charset val="136"/>
      </rPr>
      <t>級。</t>
    </r>
    <phoneticPr fontId="3" type="noConversion"/>
  </si>
  <si>
    <t>07010541</t>
    <phoneticPr fontId="3" type="noConversion"/>
  </si>
  <si>
    <r>
      <rPr>
        <b/>
        <u/>
        <sz val="14"/>
        <color rgb="FFFF0000"/>
        <rFont val="標楷體"/>
        <family val="4"/>
        <charset val="136"/>
      </rPr>
      <t>天車操作人員</t>
    </r>
    <r>
      <rPr>
        <b/>
        <u/>
        <sz val="14"/>
        <color rgb="FFFF0000"/>
        <rFont val="Times New Roman"/>
        <family val="1"/>
      </rPr>
      <t>(</t>
    </r>
    <r>
      <rPr>
        <b/>
        <u/>
        <sz val="14"/>
        <color rgb="FFFF0000"/>
        <rFont val="標楷體"/>
        <family val="4"/>
        <charset val="136"/>
      </rPr>
      <t>現場</t>
    </r>
    <r>
      <rPr>
        <b/>
        <u/>
        <sz val="14"/>
        <color rgb="FFFF0000"/>
        <rFont val="Times New Roman"/>
        <family val="1"/>
      </rPr>
      <t>)</t>
    </r>
  </si>
  <si>
    <r>
      <t xml:space="preserve">0702  </t>
    </r>
    <r>
      <rPr>
        <sz val="14"/>
        <rFont val="標楷體"/>
        <family val="4"/>
        <charset val="136"/>
      </rPr>
      <t>道路鋪設</t>
    </r>
    <phoneticPr fontId="3" type="noConversion"/>
  </si>
  <si>
    <t>07020010</t>
    <phoneticPr fontId="3" type="noConversion"/>
  </si>
  <si>
    <t>07020020</t>
    <phoneticPr fontId="3" type="noConversion"/>
  </si>
  <si>
    <t>07020030</t>
    <phoneticPr fontId="3" type="noConversion"/>
  </si>
  <si>
    <t>07020031</t>
    <phoneticPr fontId="3" type="noConversion"/>
  </si>
  <si>
    <t>07020040</t>
    <phoneticPr fontId="3" type="noConversion"/>
  </si>
  <si>
    <r>
      <rPr>
        <b/>
        <sz val="14"/>
        <rFont val="標楷體"/>
        <family val="4"/>
        <charset val="136"/>
      </rPr>
      <t>維護工人</t>
    </r>
    <r>
      <rPr>
        <b/>
        <u/>
        <sz val="14"/>
        <color rgb="FFFF0000"/>
        <rFont val="標楷體"/>
        <family val="4"/>
        <charset val="136"/>
      </rPr>
      <t>、修路工人、舖柏油工人、馬路景觀工作人員</t>
    </r>
    <phoneticPr fontId="3" type="noConversion"/>
  </si>
  <si>
    <r>
      <rPr>
        <sz val="14"/>
        <color theme="1"/>
        <rFont val="標楷體"/>
        <family val="4"/>
        <charset val="136"/>
      </rPr>
      <t>因應該行業實務作業，建議增列相關工作性質。</t>
    </r>
    <phoneticPr fontId="3" type="noConversion"/>
  </si>
  <si>
    <t>07020050</t>
    <phoneticPr fontId="3" type="noConversion"/>
  </si>
  <si>
    <t>07020060</t>
    <phoneticPr fontId="3" type="noConversion"/>
  </si>
  <si>
    <t>07020070</t>
    <phoneticPr fontId="5" type="noConversion"/>
  </si>
  <si>
    <t>07020080</t>
    <phoneticPr fontId="5" type="noConversion"/>
  </si>
  <si>
    <t>07020090</t>
    <phoneticPr fontId="5" type="noConversion"/>
  </si>
  <si>
    <t>07020100</t>
    <phoneticPr fontId="5" type="noConversion"/>
  </si>
  <si>
    <r>
      <t xml:space="preserve">0703  </t>
    </r>
    <r>
      <rPr>
        <sz val="14"/>
        <rFont val="標楷體"/>
        <family val="4"/>
        <charset val="136"/>
      </rPr>
      <t>造修船業</t>
    </r>
    <phoneticPr fontId="3" type="noConversion"/>
  </si>
  <si>
    <t>07030010</t>
    <phoneticPr fontId="3" type="noConversion"/>
  </si>
  <si>
    <t>07030020</t>
    <phoneticPr fontId="3" type="noConversion"/>
  </si>
  <si>
    <t>07030030</t>
    <phoneticPr fontId="3" type="noConversion"/>
  </si>
  <si>
    <t>07030040</t>
    <phoneticPr fontId="3" type="noConversion"/>
  </si>
  <si>
    <t>07030050</t>
    <phoneticPr fontId="3" type="noConversion"/>
  </si>
  <si>
    <t>07030060</t>
    <phoneticPr fontId="3" type="noConversion"/>
  </si>
  <si>
    <t>07030070</t>
    <phoneticPr fontId="3" type="noConversion"/>
  </si>
  <si>
    <t xml:space="preserve"> 07030080</t>
    <phoneticPr fontId="3" type="noConversion"/>
  </si>
  <si>
    <t>07030090</t>
    <phoneticPr fontId="3" type="noConversion"/>
  </si>
  <si>
    <r>
      <rPr>
        <b/>
        <u/>
        <sz val="14"/>
        <color rgb="FFFF0000"/>
        <rFont val="標楷體"/>
        <family val="4"/>
        <charset val="136"/>
      </rPr>
      <t>一般行政人員</t>
    </r>
    <r>
      <rPr>
        <b/>
        <u/>
        <sz val="14"/>
        <color rgb="FFFF0000"/>
        <rFont val="Times New Roman"/>
        <family val="1"/>
      </rPr>
      <t>(</t>
    </r>
    <r>
      <rPr>
        <b/>
        <u/>
        <sz val="14"/>
        <color rgb="FFFF0000"/>
        <rFont val="標楷體"/>
        <family val="4"/>
        <charset val="136"/>
      </rPr>
      <t>文書</t>
    </r>
    <r>
      <rPr>
        <b/>
        <u/>
        <sz val="14"/>
        <color rgb="FFFF0000"/>
        <rFont val="Times New Roman"/>
        <family val="1"/>
      </rPr>
      <t>/</t>
    </r>
    <r>
      <rPr>
        <b/>
        <u/>
        <sz val="14"/>
        <color rgb="FFFF0000"/>
        <rFont val="標楷體"/>
        <family val="4"/>
        <charset val="136"/>
      </rPr>
      <t>採購</t>
    </r>
    <r>
      <rPr>
        <b/>
        <u/>
        <sz val="14"/>
        <color rgb="FFFF0000"/>
        <rFont val="Times New Roman"/>
        <family val="1"/>
      </rPr>
      <t>)</t>
    </r>
    <phoneticPr fontId="3" type="noConversion"/>
  </si>
  <si>
    <r>
      <rPr>
        <sz val="14"/>
        <color theme="1"/>
        <rFont val="標楷體"/>
        <family val="4"/>
        <charset val="136"/>
      </rPr>
      <t>造修船業亦有一般行政人員之工作，建議新增並比照一般內勤人員，職業等級為</t>
    </r>
    <r>
      <rPr>
        <sz val="14"/>
        <color theme="1"/>
        <rFont val="Times New Roman"/>
        <family val="1"/>
      </rPr>
      <t>1</t>
    </r>
    <r>
      <rPr>
        <sz val="14"/>
        <color theme="1"/>
        <rFont val="標楷體"/>
        <family val="4"/>
        <charset val="136"/>
      </rPr>
      <t>級。</t>
    </r>
    <phoneticPr fontId="3" type="noConversion"/>
  </si>
  <si>
    <r>
      <t xml:space="preserve">0704  </t>
    </r>
    <r>
      <rPr>
        <sz val="14"/>
        <rFont val="標楷體"/>
        <family val="4"/>
        <charset val="136"/>
      </rPr>
      <t>電梯昇降梯</t>
    </r>
    <phoneticPr fontId="3" type="noConversion"/>
  </si>
  <si>
    <t>07040010</t>
    <phoneticPr fontId="3" type="noConversion"/>
  </si>
  <si>
    <r>
      <rPr>
        <b/>
        <u/>
        <sz val="14"/>
        <color rgb="FFFF0000"/>
        <rFont val="標楷體"/>
        <family val="4"/>
        <charset val="136"/>
      </rPr>
      <t>安</t>
    </r>
    <r>
      <rPr>
        <b/>
        <sz val="14"/>
        <rFont val="標楷體"/>
        <family val="4"/>
        <charset val="136"/>
      </rPr>
      <t>裝工人</t>
    </r>
    <phoneticPr fontId="3" type="noConversion"/>
  </si>
  <si>
    <r>
      <rPr>
        <sz val="14"/>
        <color theme="1"/>
        <rFont val="標楷體"/>
        <family val="4"/>
        <charset val="136"/>
      </rPr>
      <t>更正錯字。</t>
    </r>
    <phoneticPr fontId="3" type="noConversion"/>
  </si>
  <si>
    <t>07040020</t>
    <phoneticPr fontId="3" type="noConversion"/>
  </si>
  <si>
    <t>07040030</t>
    <phoneticPr fontId="3" type="noConversion"/>
  </si>
  <si>
    <t>07050010</t>
    <phoneticPr fontId="3" type="noConversion"/>
  </si>
  <si>
    <t>07050020</t>
    <phoneticPr fontId="3" type="noConversion"/>
  </si>
  <si>
    <t>07050030</t>
    <phoneticPr fontId="3" type="noConversion"/>
  </si>
  <si>
    <r>
      <rPr>
        <b/>
        <sz val="14"/>
        <color theme="1"/>
        <rFont val="標楷體"/>
        <family val="4"/>
        <charset val="136"/>
      </rPr>
      <t>室內裝</t>
    </r>
    <r>
      <rPr>
        <b/>
        <u/>
        <sz val="14"/>
        <color rgb="FFFF0000"/>
        <rFont val="標楷體"/>
        <family val="4"/>
        <charset val="136"/>
      </rPr>
      <t>潢</t>
    </r>
    <r>
      <rPr>
        <b/>
        <sz val="14"/>
        <color theme="1"/>
        <rFont val="標楷體"/>
        <family val="4"/>
        <charset val="136"/>
      </rPr>
      <t>人員</t>
    </r>
    <phoneticPr fontId="3" type="noConversion"/>
  </si>
  <si>
    <t>07050040</t>
    <phoneticPr fontId="3" type="noConversion"/>
  </si>
  <si>
    <r>
      <rPr>
        <b/>
        <sz val="14"/>
        <color theme="1"/>
        <rFont val="標楷體"/>
        <family val="4"/>
        <charset val="136"/>
      </rPr>
      <t>室外裝</t>
    </r>
    <r>
      <rPr>
        <b/>
        <u/>
        <sz val="14"/>
        <color rgb="FFFF0000"/>
        <rFont val="標楷體"/>
        <family val="4"/>
        <charset val="136"/>
      </rPr>
      <t>潢</t>
    </r>
    <r>
      <rPr>
        <b/>
        <sz val="14"/>
        <color theme="1"/>
        <rFont val="標楷體"/>
        <family val="4"/>
        <charset val="136"/>
      </rPr>
      <t>人員</t>
    </r>
    <phoneticPr fontId="3" type="noConversion"/>
  </si>
  <si>
    <t>07050050</t>
    <phoneticPr fontId="3" type="noConversion"/>
  </si>
  <si>
    <r>
      <t xml:space="preserve">0706  </t>
    </r>
    <r>
      <rPr>
        <sz val="14"/>
        <rFont val="標楷體"/>
        <family val="4"/>
        <charset val="136"/>
      </rPr>
      <t>其他工程業</t>
    </r>
    <phoneticPr fontId="3" type="noConversion"/>
  </si>
  <si>
    <t>07060010</t>
    <phoneticPr fontId="3" type="noConversion"/>
  </si>
  <si>
    <t>07060011</t>
    <phoneticPr fontId="3" type="noConversion"/>
  </si>
  <si>
    <t>07060020</t>
    <phoneticPr fontId="3" type="noConversion"/>
  </si>
  <si>
    <t>07060030</t>
    <phoneticPr fontId="3" type="noConversion"/>
  </si>
  <si>
    <t>07060040</t>
    <phoneticPr fontId="3" type="noConversion"/>
  </si>
  <si>
    <t>07060050</t>
    <phoneticPr fontId="3" type="noConversion"/>
  </si>
  <si>
    <t>07060060</t>
    <phoneticPr fontId="3" type="noConversion"/>
  </si>
  <si>
    <t>07060070</t>
    <phoneticPr fontId="3" type="noConversion"/>
  </si>
  <si>
    <t>07060080</t>
    <phoneticPr fontId="3" type="noConversion"/>
  </si>
  <si>
    <t>07060090</t>
    <phoneticPr fontId="3" type="noConversion"/>
  </si>
  <si>
    <r>
      <t xml:space="preserve">08     
</t>
    </r>
    <r>
      <rPr>
        <sz val="14"/>
        <rFont val="標楷體"/>
        <family val="4"/>
        <charset val="136"/>
      </rPr>
      <t>製造業</t>
    </r>
    <phoneticPr fontId="3" type="noConversion"/>
  </si>
  <si>
    <r>
      <t xml:space="preserve">0801  </t>
    </r>
    <r>
      <rPr>
        <sz val="14"/>
        <rFont val="標楷體"/>
        <family val="4"/>
        <charset val="136"/>
      </rPr>
      <t>鋼鐵場</t>
    </r>
    <phoneticPr fontId="3" type="noConversion"/>
  </si>
  <si>
    <t>08010010</t>
    <phoneticPr fontId="3" type="noConversion"/>
  </si>
  <si>
    <r>
      <rPr>
        <b/>
        <u/>
        <sz val="14"/>
        <color rgb="FFFF0000"/>
        <rFont val="標楷體"/>
        <family val="4"/>
        <charset val="136"/>
      </rPr>
      <t>鋼鐵場</t>
    </r>
    <r>
      <rPr>
        <b/>
        <sz val="14"/>
        <rFont val="標楷體"/>
        <family val="4"/>
        <charset val="136"/>
      </rPr>
      <t>技師</t>
    </r>
    <phoneticPr fontId="3" type="noConversion"/>
  </si>
  <si>
    <t>為使保險業業務員及其相關人員得正確選擇職業中分類下之工作性質，爰建議於本項工作性質前增加業別之描述性文字。</t>
    <phoneticPr fontId="3" type="noConversion"/>
  </si>
  <si>
    <t>08010020</t>
    <phoneticPr fontId="3" type="noConversion"/>
  </si>
  <si>
    <r>
      <rPr>
        <b/>
        <u/>
        <sz val="14"/>
        <color rgb="FFFF0000"/>
        <rFont val="標楷體"/>
        <family val="4"/>
        <charset val="136"/>
      </rPr>
      <t>鋼鐵場</t>
    </r>
    <r>
      <rPr>
        <b/>
        <sz val="14"/>
        <rFont val="標楷體"/>
        <family val="4"/>
        <charset val="136"/>
      </rPr>
      <t>工程師</t>
    </r>
    <phoneticPr fontId="3" type="noConversion"/>
  </si>
  <si>
    <t>08010030</t>
    <phoneticPr fontId="3" type="noConversion"/>
  </si>
  <si>
    <t>08010040</t>
    <phoneticPr fontId="3" type="noConversion"/>
  </si>
  <si>
    <t>08010050</t>
    <phoneticPr fontId="3" type="noConversion"/>
  </si>
  <si>
    <r>
      <rPr>
        <b/>
        <u/>
        <sz val="14"/>
        <color rgb="FFFF0000"/>
        <rFont val="標楷體"/>
        <family val="4"/>
        <charset val="136"/>
      </rPr>
      <t>鋼鐵場</t>
    </r>
    <r>
      <rPr>
        <b/>
        <sz val="14"/>
        <rFont val="標楷體"/>
        <family val="4"/>
        <charset val="136"/>
      </rPr>
      <t>負責人</t>
    </r>
    <r>
      <rPr>
        <b/>
        <sz val="14"/>
        <rFont val="Times New Roman"/>
        <family val="1"/>
      </rPr>
      <t>(</t>
    </r>
    <r>
      <rPr>
        <b/>
        <sz val="14"/>
        <rFont val="標楷體"/>
        <family val="4"/>
        <charset val="136"/>
      </rPr>
      <t>不需到現場</t>
    </r>
    <r>
      <rPr>
        <b/>
        <sz val="14"/>
        <rFont val="Times New Roman"/>
        <family val="1"/>
      </rPr>
      <t>)</t>
    </r>
    <phoneticPr fontId="5" type="noConversion"/>
  </si>
  <si>
    <t>08010060</t>
    <phoneticPr fontId="3" type="noConversion"/>
  </si>
  <si>
    <r>
      <rPr>
        <b/>
        <u/>
        <sz val="14"/>
        <color rgb="FFFF0000"/>
        <rFont val="標楷體"/>
        <family val="4"/>
        <charset val="136"/>
      </rPr>
      <t>鋼鐵場</t>
    </r>
    <r>
      <rPr>
        <b/>
        <sz val="14"/>
        <rFont val="標楷體"/>
        <family val="4"/>
        <charset val="136"/>
      </rPr>
      <t>負責人</t>
    </r>
    <r>
      <rPr>
        <b/>
        <sz val="14"/>
        <rFont val="Times New Roman"/>
        <family val="1"/>
      </rPr>
      <t>(</t>
    </r>
    <r>
      <rPr>
        <b/>
        <sz val="14"/>
        <rFont val="標楷體"/>
        <family val="4"/>
        <charset val="136"/>
      </rPr>
      <t>需現場指導或實際參與工作</t>
    </r>
    <r>
      <rPr>
        <b/>
        <sz val="14"/>
        <rFont val="Times New Roman"/>
        <family val="1"/>
      </rPr>
      <t>)</t>
    </r>
    <r>
      <rPr>
        <b/>
        <sz val="14"/>
        <rFont val="標楷體"/>
        <family val="4"/>
        <charset val="136"/>
      </rPr>
      <t>、廠長</t>
    </r>
    <phoneticPr fontId="3" type="noConversion"/>
  </si>
  <si>
    <t>08010070</t>
    <phoneticPr fontId="3" type="noConversion"/>
  </si>
  <si>
    <r>
      <rPr>
        <b/>
        <u/>
        <sz val="14"/>
        <color rgb="FFFF0000"/>
        <rFont val="標楷體"/>
        <family val="4"/>
        <charset val="136"/>
      </rPr>
      <t>鋼鐵場</t>
    </r>
    <r>
      <rPr>
        <b/>
        <sz val="14"/>
        <rFont val="標楷體"/>
        <family val="4"/>
        <charset val="136"/>
      </rPr>
      <t>品管人員</t>
    </r>
    <phoneticPr fontId="3" type="noConversion"/>
  </si>
  <si>
    <t>08010080</t>
    <phoneticPr fontId="3" type="noConversion"/>
  </si>
  <si>
    <t>08010090</t>
    <phoneticPr fontId="3" type="noConversion"/>
  </si>
  <si>
    <r>
      <rPr>
        <b/>
        <u/>
        <sz val="14"/>
        <color rgb="FFFF0000"/>
        <rFont val="標楷體"/>
        <family val="4"/>
        <charset val="136"/>
      </rPr>
      <t>鋼鐵場製模工</t>
    </r>
    <phoneticPr fontId="5" type="noConversion"/>
  </si>
  <si>
    <r>
      <rPr>
        <sz val="14"/>
        <color theme="1"/>
        <rFont val="標楷體"/>
        <family val="4"/>
        <charset val="136"/>
      </rPr>
      <t>因應現行實務新增，鋼鐵場製模工工作內容包括熱處理加工等等，建議比照"</t>
    </r>
    <r>
      <rPr>
        <sz val="14"/>
        <color theme="1"/>
        <rFont val="Times New Roman"/>
        <family val="1"/>
      </rPr>
      <t>08020300"</t>
    </r>
    <r>
      <rPr>
        <sz val="14"/>
        <color theme="1"/>
        <rFont val="標楷體"/>
        <family val="4"/>
        <charset val="136"/>
      </rPr>
      <t>新增製模人員，職業等級</t>
    </r>
    <r>
      <rPr>
        <sz val="14"/>
        <color theme="1"/>
        <rFont val="Times New Roman"/>
        <family val="1"/>
      </rPr>
      <t>4</t>
    </r>
    <r>
      <rPr>
        <sz val="14"/>
        <color theme="1"/>
        <rFont val="標楷體"/>
        <family val="4"/>
        <charset val="136"/>
      </rPr>
      <t>級。</t>
    </r>
    <phoneticPr fontId="3" type="noConversion"/>
  </si>
  <si>
    <t>08010100</t>
    <phoneticPr fontId="3" type="noConversion"/>
  </si>
  <si>
    <r>
      <rPr>
        <b/>
        <u/>
        <sz val="14"/>
        <color rgb="FFFF0000"/>
        <rFont val="標楷體"/>
        <family val="4"/>
        <charset val="136"/>
      </rPr>
      <t>鋼鐵場起重機操作人員</t>
    </r>
    <phoneticPr fontId="5" type="noConversion"/>
  </si>
  <si>
    <r>
      <rPr>
        <sz val="14"/>
        <color theme="1"/>
        <rFont val="標楷體"/>
        <family val="4"/>
        <charset val="136"/>
      </rPr>
      <t>因應現行實務新增，鋼鐵場通常配有起重機操作人員以利吊掛大型鋼鐵之作業，建議新增並比照"</t>
    </r>
    <r>
      <rPr>
        <sz val="14"/>
        <color theme="1"/>
        <rFont val="Times New Roman"/>
        <family val="1"/>
      </rPr>
      <t>07010541"</t>
    </r>
    <r>
      <rPr>
        <sz val="14"/>
        <color theme="1"/>
        <rFont val="標楷體"/>
        <family val="4"/>
        <charset val="136"/>
      </rPr>
      <t>現場天車操作人員，職業等級為</t>
    </r>
    <r>
      <rPr>
        <sz val="14"/>
        <color theme="1"/>
        <rFont val="Times New Roman"/>
        <family val="1"/>
      </rPr>
      <t>5</t>
    </r>
    <r>
      <rPr>
        <sz val="14"/>
        <color theme="1"/>
        <rFont val="標楷體"/>
        <family val="4"/>
        <charset val="136"/>
      </rPr>
      <t>級。</t>
    </r>
    <phoneticPr fontId="3" type="noConversion"/>
  </si>
  <si>
    <t>08010110</t>
    <phoneticPr fontId="3" type="noConversion"/>
  </si>
  <si>
    <r>
      <rPr>
        <sz val="14"/>
        <color theme="1"/>
        <rFont val="標楷體"/>
        <family val="4"/>
        <charset val="136"/>
      </rPr>
      <t>因應現行實務新增，鋼鐵場亦有一般行政人員之工作，建議新增並比照一般內勤人員，職業等級為</t>
    </r>
    <r>
      <rPr>
        <sz val="14"/>
        <color theme="1"/>
        <rFont val="Times New Roman"/>
        <family val="1"/>
      </rPr>
      <t>1</t>
    </r>
    <r>
      <rPr>
        <sz val="14"/>
        <color theme="1"/>
        <rFont val="標楷體"/>
        <family val="4"/>
        <charset val="136"/>
      </rPr>
      <t>級。</t>
    </r>
    <phoneticPr fontId="3" type="noConversion"/>
  </si>
  <si>
    <t>08010120</t>
    <phoneticPr fontId="3" type="noConversion"/>
  </si>
  <si>
    <r>
      <rPr>
        <b/>
        <u/>
        <sz val="14"/>
        <color rgb="FFFF0000"/>
        <rFont val="標楷體"/>
        <family val="4"/>
        <charset val="136"/>
      </rPr>
      <t>一般外勤人員</t>
    </r>
    <r>
      <rPr>
        <b/>
        <u/>
        <sz val="14"/>
        <color rgb="FFFF0000"/>
        <rFont val="Times New Roman"/>
        <family val="1"/>
      </rPr>
      <t>(</t>
    </r>
    <r>
      <rPr>
        <b/>
        <u/>
        <sz val="14"/>
        <color rgb="FFFF0000"/>
        <rFont val="標楷體"/>
        <family val="4"/>
        <charset val="136"/>
      </rPr>
      <t>業務</t>
    </r>
    <r>
      <rPr>
        <b/>
        <u/>
        <sz val="14"/>
        <color rgb="FFFF0000"/>
        <rFont val="Times New Roman"/>
        <family val="1"/>
      </rPr>
      <t>/</t>
    </r>
    <r>
      <rPr>
        <b/>
        <u/>
        <sz val="14"/>
        <color rgb="FFFF0000"/>
        <rFont val="標楷體"/>
        <family val="4"/>
        <charset val="136"/>
      </rPr>
      <t>採購</t>
    </r>
    <r>
      <rPr>
        <b/>
        <u/>
        <sz val="14"/>
        <color rgb="FFFF0000"/>
        <rFont val="Times New Roman"/>
        <family val="1"/>
      </rPr>
      <t>)</t>
    </r>
    <phoneticPr fontId="3" type="noConversion"/>
  </si>
  <si>
    <r>
      <rPr>
        <sz val="14"/>
        <color theme="1"/>
        <rFont val="標楷體"/>
        <family val="4"/>
        <charset val="136"/>
      </rPr>
      <t>因應現行實務新增，鋼鐵場亦有一般外勤洽談業務之工作，建議新增並比照一般外勤人員，職業等級為</t>
    </r>
    <r>
      <rPr>
        <sz val="14"/>
        <color theme="1"/>
        <rFont val="Times New Roman"/>
        <family val="1"/>
      </rPr>
      <t>2</t>
    </r>
    <r>
      <rPr>
        <sz val="14"/>
        <color theme="1"/>
        <rFont val="標楷體"/>
        <family val="4"/>
        <charset val="136"/>
      </rPr>
      <t>級。</t>
    </r>
    <phoneticPr fontId="3" type="noConversion"/>
  </si>
  <si>
    <r>
      <t xml:space="preserve">0802  </t>
    </r>
    <r>
      <rPr>
        <sz val="14"/>
        <rFont val="標楷體"/>
        <family val="4"/>
        <charset val="136"/>
      </rPr>
      <t xml:space="preserve">鐵工廠
</t>
    </r>
    <r>
      <rPr>
        <sz val="14"/>
        <rFont val="Times New Roman"/>
        <family val="1"/>
      </rPr>
      <t xml:space="preserve">          </t>
    </r>
    <r>
      <rPr>
        <sz val="14"/>
        <rFont val="標楷體"/>
        <family val="4"/>
        <charset val="136"/>
      </rPr>
      <t>機械廠</t>
    </r>
    <phoneticPr fontId="3" type="noConversion"/>
  </si>
  <si>
    <t>08020010</t>
    <phoneticPr fontId="3" type="noConversion"/>
  </si>
  <si>
    <t>08020020</t>
    <phoneticPr fontId="3" type="noConversion"/>
  </si>
  <si>
    <t>08020030</t>
    <phoneticPr fontId="3" type="noConversion"/>
  </si>
  <si>
    <t>08020040</t>
    <phoneticPr fontId="3" type="noConversion"/>
  </si>
  <si>
    <t>08020050</t>
    <phoneticPr fontId="3" type="noConversion"/>
  </si>
  <si>
    <t>08020051</t>
    <phoneticPr fontId="3" type="noConversion"/>
  </si>
  <si>
    <t>08020060</t>
    <phoneticPr fontId="3" type="noConversion"/>
  </si>
  <si>
    <t>08020070</t>
    <phoneticPr fontId="3" type="noConversion"/>
  </si>
  <si>
    <t>08020080</t>
    <phoneticPr fontId="5" type="noConversion"/>
  </si>
  <si>
    <t>08020090</t>
    <phoneticPr fontId="5" type="noConversion"/>
  </si>
  <si>
    <t>08020100</t>
    <phoneticPr fontId="5" type="noConversion"/>
  </si>
  <si>
    <t>08020110</t>
    <phoneticPr fontId="5" type="noConversion"/>
  </si>
  <si>
    <t>08020120</t>
    <phoneticPr fontId="5" type="noConversion"/>
  </si>
  <si>
    <t>08020121</t>
    <phoneticPr fontId="5" type="noConversion"/>
  </si>
  <si>
    <r>
      <rPr>
        <b/>
        <u/>
        <sz val="14"/>
        <color rgb="FFFF0000"/>
        <rFont val="標楷體"/>
        <family val="4"/>
        <charset val="136"/>
      </rPr>
      <t>銑床工</t>
    </r>
    <r>
      <rPr>
        <b/>
        <u/>
        <sz val="14"/>
        <color rgb="FFFF0000"/>
        <rFont val="Times New Roman"/>
        <family val="1"/>
      </rPr>
      <t>(</t>
    </r>
    <r>
      <rPr>
        <b/>
        <u/>
        <sz val="14"/>
        <color rgb="FFFF0000"/>
        <rFont val="標楷體"/>
        <family val="4"/>
        <charset val="136"/>
      </rPr>
      <t>全自動</t>
    </r>
    <r>
      <rPr>
        <b/>
        <u/>
        <sz val="14"/>
        <color rgb="FFFF0000"/>
        <rFont val="Times New Roman"/>
        <family val="1"/>
      </rPr>
      <t>)</t>
    </r>
    <phoneticPr fontId="3" type="noConversion"/>
  </si>
  <si>
    <r>
      <rPr>
        <sz val="14"/>
        <rFont val="標楷體"/>
        <family val="4"/>
        <charset val="136"/>
      </rPr>
      <t>因應現行實務新增，銑床工</t>
    </r>
    <r>
      <rPr>
        <sz val="14"/>
        <rFont val="Times New Roman"/>
        <family val="1"/>
      </rPr>
      <t>(</t>
    </r>
    <r>
      <rPr>
        <sz val="14"/>
        <rFont val="標楷體"/>
        <family val="4"/>
        <charset val="136"/>
      </rPr>
      <t>全自動</t>
    </r>
    <r>
      <rPr>
        <sz val="14"/>
        <rFont val="Times New Roman"/>
        <family val="1"/>
      </rPr>
      <t>)</t>
    </r>
    <r>
      <rPr>
        <sz val="14"/>
        <rFont val="標楷體"/>
        <family val="4"/>
        <charset val="136"/>
      </rPr>
      <t>危險程度相較一般</t>
    </r>
    <r>
      <rPr>
        <sz val="14"/>
        <rFont val="Times New Roman"/>
        <family val="1"/>
      </rPr>
      <t>"08020120"</t>
    </r>
    <r>
      <rPr>
        <sz val="14"/>
        <rFont val="標楷體"/>
        <family val="4"/>
        <charset val="136"/>
      </rPr>
      <t>銑床工低，爰建議職業等為</t>
    </r>
    <r>
      <rPr>
        <sz val="14"/>
        <rFont val="Times New Roman"/>
        <family val="1"/>
      </rPr>
      <t>4</t>
    </r>
    <r>
      <rPr>
        <sz val="14"/>
        <rFont val="標楷體"/>
        <family val="4"/>
        <charset val="136"/>
      </rPr>
      <t>級。</t>
    </r>
    <phoneticPr fontId="3" type="noConversion"/>
  </si>
  <si>
    <t>08020130</t>
    <phoneticPr fontId="5" type="noConversion"/>
  </si>
  <si>
    <t>08020140</t>
    <phoneticPr fontId="5" type="noConversion"/>
  </si>
  <si>
    <t>08020150</t>
    <phoneticPr fontId="5" type="noConversion"/>
  </si>
  <si>
    <t>08020160</t>
    <phoneticPr fontId="5" type="noConversion"/>
  </si>
  <si>
    <t>08020170</t>
    <phoneticPr fontId="5" type="noConversion"/>
  </si>
  <si>
    <r>
      <rPr>
        <b/>
        <u/>
        <sz val="14"/>
        <color rgb="FFFF0000"/>
        <rFont val="標楷體"/>
        <family val="4"/>
        <charset val="136"/>
      </rPr>
      <t>鐵工廠、機械廠</t>
    </r>
    <r>
      <rPr>
        <b/>
        <sz val="14"/>
        <rFont val="標楷體"/>
        <family val="4"/>
        <charset val="136"/>
      </rPr>
      <t>品管人員或工安人員</t>
    </r>
    <phoneticPr fontId="3" type="noConversion"/>
  </si>
  <si>
    <r>
      <rPr>
        <sz val="14"/>
        <color theme="1"/>
        <rFont val="標楷體"/>
        <family val="4"/>
        <charset val="136"/>
      </rPr>
      <t>為使保險業業務員及其相關人員得正確選擇職業中分類下之工作性質，爰建議於本項工作性質前增加業別之描述性文字。</t>
    </r>
    <phoneticPr fontId="3" type="noConversion"/>
  </si>
  <si>
    <t>08020180</t>
    <phoneticPr fontId="5" type="noConversion"/>
  </si>
  <si>
    <t>08020190</t>
    <phoneticPr fontId="5" type="noConversion"/>
  </si>
  <si>
    <t>08020200</t>
    <phoneticPr fontId="5" type="noConversion"/>
  </si>
  <si>
    <t>08020210</t>
    <phoneticPr fontId="5" type="noConversion"/>
  </si>
  <si>
    <t>08020220</t>
    <phoneticPr fontId="5" type="noConversion"/>
  </si>
  <si>
    <t>08020230</t>
    <phoneticPr fontId="5" type="noConversion"/>
  </si>
  <si>
    <t>08020240</t>
    <phoneticPr fontId="5" type="noConversion"/>
  </si>
  <si>
    <t>08020250</t>
    <phoneticPr fontId="5" type="noConversion"/>
  </si>
  <si>
    <t>08020260</t>
    <phoneticPr fontId="5" type="noConversion"/>
  </si>
  <si>
    <t>08020270</t>
    <phoneticPr fontId="5" type="noConversion"/>
  </si>
  <si>
    <t>08020280</t>
    <phoneticPr fontId="5" type="noConversion"/>
  </si>
  <si>
    <t>08020290</t>
    <phoneticPr fontId="5" type="noConversion"/>
  </si>
  <si>
    <t>08020300</t>
    <phoneticPr fontId="3" type="noConversion"/>
  </si>
  <si>
    <t>08020310</t>
    <phoneticPr fontId="5" type="noConversion"/>
  </si>
  <si>
    <t>08020320</t>
    <phoneticPr fontId="5" type="noConversion"/>
  </si>
  <si>
    <t>08020330</t>
    <phoneticPr fontId="3" type="noConversion"/>
  </si>
  <si>
    <t>08020340</t>
    <phoneticPr fontId="5" type="noConversion"/>
  </si>
  <si>
    <t>08020350</t>
    <phoneticPr fontId="3" type="noConversion"/>
  </si>
  <si>
    <t>08020360</t>
    <phoneticPr fontId="3" type="noConversion"/>
  </si>
  <si>
    <t>08020370</t>
    <phoneticPr fontId="3" type="noConversion"/>
  </si>
  <si>
    <t>08020380</t>
    <phoneticPr fontId="3" type="noConversion"/>
  </si>
  <si>
    <t>08020390</t>
    <phoneticPr fontId="3" type="noConversion"/>
  </si>
  <si>
    <t>08020400</t>
    <phoneticPr fontId="3" type="noConversion"/>
  </si>
  <si>
    <t>08020410</t>
    <phoneticPr fontId="3" type="noConversion"/>
  </si>
  <si>
    <t>08020420</t>
    <phoneticPr fontId="3" type="noConversion"/>
  </si>
  <si>
    <t>08020430</t>
    <phoneticPr fontId="3" type="noConversion"/>
  </si>
  <si>
    <r>
      <rPr>
        <b/>
        <u/>
        <sz val="14"/>
        <color rgb="FFFF0000"/>
        <rFont val="標楷體"/>
        <family val="4"/>
        <charset val="136"/>
      </rPr>
      <t>鐵工廠、機械場負責人（不需到現場）</t>
    </r>
    <phoneticPr fontId="3" type="noConversion"/>
  </si>
  <si>
    <r>
      <rPr>
        <sz val="14"/>
        <color theme="1"/>
        <rFont val="標楷體"/>
        <family val="4"/>
        <charset val="136"/>
      </rPr>
      <t>鐵工廠、機械場亦有負責人，建議比照鋼鐵場之</t>
    </r>
    <r>
      <rPr>
        <sz val="14"/>
        <color theme="1"/>
        <rFont val="Times New Roman"/>
        <family val="1"/>
      </rPr>
      <t>"08010050"</t>
    </r>
    <r>
      <rPr>
        <sz val="14"/>
        <color theme="1"/>
        <rFont val="標楷體"/>
        <family val="4"/>
        <charset val="136"/>
      </rPr>
      <t>、</t>
    </r>
    <r>
      <rPr>
        <sz val="14"/>
        <color theme="1"/>
        <rFont val="Times New Roman"/>
        <family val="1"/>
      </rPr>
      <t>"08010060"</t>
    </r>
    <r>
      <rPr>
        <sz val="14"/>
        <color theme="1"/>
        <rFont val="標楷體"/>
        <family val="4"/>
        <charset val="136"/>
      </rPr>
      <t>區分並新增。</t>
    </r>
    <phoneticPr fontId="3" type="noConversion"/>
  </si>
  <si>
    <t>08020431</t>
  </si>
  <si>
    <r>
      <rPr>
        <b/>
        <u/>
        <sz val="14"/>
        <color rgb="FFFF0000"/>
        <rFont val="標楷體"/>
        <family val="4"/>
        <charset val="136"/>
      </rPr>
      <t>鐵工廠、機械場負責人（需現場指導或實際參與工作）、廠長</t>
    </r>
    <phoneticPr fontId="3" type="noConversion"/>
  </si>
  <si>
    <t>08020440</t>
    <phoneticPr fontId="3" type="noConversion"/>
  </si>
  <si>
    <r>
      <rPr>
        <sz val="14"/>
        <color theme="1"/>
        <rFont val="標楷體"/>
        <family val="4"/>
        <charset val="136"/>
      </rPr>
      <t>鐵工廠、機械場亦有一般行政人員之工作，建議新增並比照一般內勤人員，職業等級為</t>
    </r>
    <r>
      <rPr>
        <sz val="14"/>
        <color theme="1"/>
        <rFont val="Times New Roman"/>
        <family val="1"/>
      </rPr>
      <t>1</t>
    </r>
    <r>
      <rPr>
        <sz val="14"/>
        <color theme="1"/>
        <rFont val="標楷體"/>
        <family val="4"/>
        <charset val="136"/>
      </rPr>
      <t>級。</t>
    </r>
    <phoneticPr fontId="3" type="noConversion"/>
  </si>
  <si>
    <t>08020450</t>
    <phoneticPr fontId="3" type="noConversion"/>
  </si>
  <si>
    <r>
      <rPr>
        <sz val="14"/>
        <color theme="1"/>
        <rFont val="標楷體"/>
        <family val="4"/>
        <charset val="136"/>
      </rPr>
      <t>鐵工廠、機械場亦有一般外勤洽談業務之工作，建議新增並比照一般外勤人員，職業等級為</t>
    </r>
    <r>
      <rPr>
        <sz val="14"/>
        <color theme="1"/>
        <rFont val="Times New Roman"/>
        <family val="1"/>
      </rPr>
      <t>2</t>
    </r>
    <r>
      <rPr>
        <sz val="14"/>
        <color theme="1"/>
        <rFont val="標楷體"/>
        <family val="4"/>
        <charset val="136"/>
      </rPr>
      <t>級。</t>
    </r>
    <phoneticPr fontId="3" type="noConversion"/>
  </si>
  <si>
    <r>
      <t xml:space="preserve">0803  </t>
    </r>
    <r>
      <rPr>
        <sz val="14"/>
        <rFont val="標楷體"/>
        <family val="4"/>
        <charset val="136"/>
      </rPr>
      <t>電子業</t>
    </r>
    <phoneticPr fontId="3" type="noConversion"/>
  </si>
  <si>
    <t>08030010</t>
    <phoneticPr fontId="3" type="noConversion"/>
  </si>
  <si>
    <r>
      <rPr>
        <b/>
        <u/>
        <sz val="14"/>
        <color rgb="FFFF0000"/>
        <rFont val="標楷體"/>
        <family val="4"/>
        <charset val="136"/>
      </rPr>
      <t>電子業</t>
    </r>
    <r>
      <rPr>
        <b/>
        <sz val="14"/>
        <rFont val="標楷體"/>
        <family val="4"/>
        <charset val="136"/>
      </rPr>
      <t>工程師</t>
    </r>
    <phoneticPr fontId="3" type="noConversion"/>
  </si>
  <si>
    <t>08030020</t>
    <phoneticPr fontId="3" type="noConversion"/>
  </si>
  <si>
    <r>
      <rPr>
        <b/>
        <u/>
        <sz val="14"/>
        <color rgb="FFFF0000"/>
        <rFont val="標楷體"/>
        <family val="4"/>
        <charset val="136"/>
      </rPr>
      <t>電子業</t>
    </r>
    <r>
      <rPr>
        <b/>
        <sz val="14"/>
        <rFont val="標楷體"/>
        <family val="4"/>
        <charset val="136"/>
      </rPr>
      <t>技師</t>
    </r>
    <phoneticPr fontId="3" type="noConversion"/>
  </si>
  <si>
    <t>08030030</t>
    <phoneticPr fontId="3" type="noConversion"/>
  </si>
  <si>
    <t>08030040</t>
    <phoneticPr fontId="3" type="noConversion"/>
  </si>
  <si>
    <r>
      <rPr>
        <b/>
        <sz val="14"/>
        <rFont val="標楷體"/>
        <family val="4"/>
        <charset val="136"/>
      </rPr>
      <t>裝配</t>
    </r>
    <r>
      <rPr>
        <b/>
        <u/>
        <sz val="14"/>
        <color rgb="FFFF0000"/>
        <rFont val="標楷體"/>
        <family val="4"/>
        <charset val="136"/>
      </rPr>
      <t>人員</t>
    </r>
    <phoneticPr fontId="5" type="noConversion"/>
  </si>
  <si>
    <t>08030050</t>
    <phoneticPr fontId="3" type="noConversion"/>
  </si>
  <si>
    <t>08030060</t>
    <phoneticPr fontId="3" type="noConversion"/>
  </si>
  <si>
    <r>
      <rPr>
        <b/>
        <sz val="14"/>
        <color theme="1"/>
        <rFont val="標楷體"/>
        <family val="4"/>
        <charset val="136"/>
      </rPr>
      <t>包裝</t>
    </r>
    <r>
      <rPr>
        <b/>
        <u/>
        <sz val="14"/>
        <color rgb="FFFF0000"/>
        <rFont val="標楷體"/>
        <family val="4"/>
        <charset val="136"/>
      </rPr>
      <t>人員</t>
    </r>
    <phoneticPr fontId="5" type="noConversion"/>
  </si>
  <si>
    <t>08030070</t>
  </si>
  <si>
    <t>08030080</t>
  </si>
  <si>
    <r>
      <rPr>
        <b/>
        <u/>
        <sz val="14"/>
        <color rgb="FFFF0000"/>
        <rFont val="標楷體"/>
        <family val="4"/>
        <charset val="136"/>
      </rPr>
      <t>電子業</t>
    </r>
    <r>
      <rPr>
        <b/>
        <sz val="14"/>
        <rFont val="標楷體"/>
        <family val="4"/>
        <charset val="136"/>
      </rPr>
      <t>品管人員</t>
    </r>
    <phoneticPr fontId="3" type="noConversion"/>
  </si>
  <si>
    <t>08030090</t>
  </si>
  <si>
    <t>08030100</t>
  </si>
  <si>
    <r>
      <rPr>
        <b/>
        <sz val="14"/>
        <color theme="1"/>
        <rFont val="標楷體"/>
        <family val="4"/>
        <charset val="136"/>
      </rPr>
      <t>操作自動ＩＣ</t>
    </r>
    <r>
      <rPr>
        <b/>
        <u/>
        <sz val="14"/>
        <color rgb="FFFF0000"/>
        <rFont val="標楷體"/>
        <family val="4"/>
        <charset val="136"/>
      </rPr>
      <t>人員</t>
    </r>
    <phoneticPr fontId="5" type="noConversion"/>
  </si>
  <si>
    <t>08030110</t>
  </si>
  <si>
    <t>08030120</t>
  </si>
  <si>
    <t>08030130</t>
  </si>
  <si>
    <r>
      <rPr>
        <b/>
        <u/>
        <sz val="14"/>
        <color rgb="FFFF0000"/>
        <rFont val="標楷體"/>
        <family val="4"/>
        <charset val="136"/>
      </rPr>
      <t>電子業</t>
    </r>
    <r>
      <rPr>
        <b/>
        <sz val="14"/>
        <rFont val="標楷體"/>
        <family val="4"/>
        <charset val="136"/>
      </rPr>
      <t>負責人（不需到現場）</t>
    </r>
    <phoneticPr fontId="3" type="noConversion"/>
  </si>
  <si>
    <t>08030140</t>
  </si>
  <si>
    <r>
      <rPr>
        <b/>
        <u/>
        <sz val="14"/>
        <color rgb="FFFF0000"/>
        <rFont val="標楷體"/>
        <family val="4"/>
        <charset val="136"/>
      </rPr>
      <t>電子業</t>
    </r>
    <r>
      <rPr>
        <b/>
        <sz val="14"/>
        <rFont val="標楷體"/>
        <family val="4"/>
        <charset val="136"/>
      </rPr>
      <t>負責人（需現場指導或實際參與工作）</t>
    </r>
    <phoneticPr fontId="3" type="noConversion"/>
  </si>
  <si>
    <t>08030150</t>
  </si>
  <si>
    <t>08030160</t>
    <phoneticPr fontId="3" type="noConversion"/>
  </si>
  <si>
    <t>08030170</t>
    <phoneticPr fontId="3" type="noConversion"/>
  </si>
  <si>
    <t>08030180</t>
    <phoneticPr fontId="3" type="noConversion"/>
  </si>
  <si>
    <t>08030190</t>
    <phoneticPr fontId="3" type="noConversion"/>
  </si>
  <si>
    <r>
      <rPr>
        <b/>
        <u/>
        <sz val="14"/>
        <color rgb="FFFF0000"/>
        <rFont val="標楷體"/>
        <family val="4"/>
        <charset val="136"/>
      </rPr>
      <t>機器人工程師</t>
    </r>
    <phoneticPr fontId="5" type="noConversion"/>
  </si>
  <si>
    <r>
      <rPr>
        <sz val="14"/>
        <color theme="1"/>
        <rFont val="標楷體"/>
        <family val="4"/>
        <charset val="136"/>
      </rPr>
      <t>因應新興職業新增，工作內容為機器人研發、測試之工作內容，建議增列且比照</t>
    </r>
    <r>
      <rPr>
        <sz val="14"/>
        <color theme="1"/>
        <rFont val="Times New Roman"/>
        <family val="1"/>
      </rPr>
      <t>"08030010"</t>
    </r>
    <r>
      <rPr>
        <sz val="14"/>
        <color theme="1"/>
        <rFont val="標楷體"/>
        <family val="4"/>
        <charset val="136"/>
      </rPr>
      <t>職業等級</t>
    </r>
    <r>
      <rPr>
        <sz val="14"/>
        <color theme="1"/>
        <rFont val="Times New Roman"/>
        <family val="1"/>
      </rPr>
      <t>2</t>
    </r>
    <r>
      <rPr>
        <sz val="14"/>
        <color theme="1"/>
        <rFont val="標楷體"/>
        <family val="4"/>
        <charset val="136"/>
      </rPr>
      <t>級。</t>
    </r>
    <phoneticPr fontId="3" type="noConversion"/>
  </si>
  <si>
    <t>08030200</t>
    <phoneticPr fontId="3" type="noConversion"/>
  </si>
  <si>
    <r>
      <rPr>
        <b/>
        <u/>
        <sz val="14"/>
        <color rgb="FFFF0000"/>
        <rFont val="標楷體"/>
        <family val="4"/>
        <charset val="136"/>
      </rPr>
      <t>半導體製品機械設備操作人員</t>
    </r>
    <phoneticPr fontId="5" type="noConversion"/>
  </si>
  <si>
    <r>
      <rPr>
        <sz val="14"/>
        <color theme="1"/>
        <rFont val="標楷體"/>
        <family val="4"/>
        <charset val="136"/>
      </rPr>
      <t>因應現行實務新增，半導體廠設備操作人員，主要工作內容是操作電子設備排除</t>
    </r>
    <r>
      <rPr>
        <sz val="14"/>
        <color theme="1"/>
        <rFont val="Times New Roman"/>
        <family val="1"/>
      </rPr>
      <t>bug</t>
    </r>
    <r>
      <rPr>
        <sz val="14"/>
        <color theme="1"/>
        <rFont val="標楷體"/>
        <family val="4"/>
        <charset val="136"/>
      </rPr>
      <t>，建議增列且比照</t>
    </r>
    <r>
      <rPr>
        <sz val="14"/>
        <color theme="1"/>
        <rFont val="Times New Roman"/>
        <family val="1"/>
      </rPr>
      <t>"08030010"</t>
    </r>
    <r>
      <rPr>
        <sz val="14"/>
        <color theme="1"/>
        <rFont val="標楷體"/>
        <family val="4"/>
        <charset val="136"/>
      </rPr>
      <t>職業等級</t>
    </r>
    <r>
      <rPr>
        <sz val="14"/>
        <color theme="1"/>
        <rFont val="Times New Roman"/>
        <family val="1"/>
      </rPr>
      <t>2</t>
    </r>
    <r>
      <rPr>
        <sz val="14"/>
        <color theme="1"/>
        <rFont val="標楷體"/>
        <family val="4"/>
        <charset val="136"/>
      </rPr>
      <t>級。</t>
    </r>
    <phoneticPr fontId="3" type="noConversion"/>
  </si>
  <si>
    <t>08030210</t>
    <phoneticPr fontId="3" type="noConversion"/>
  </si>
  <si>
    <r>
      <rPr>
        <sz val="14"/>
        <color theme="1"/>
        <rFont val="標楷體"/>
        <family val="4"/>
        <charset val="136"/>
      </rPr>
      <t>電子業亦有一般行政人員之工作，建議新增並比照一般內勤人員，職業等級為</t>
    </r>
    <r>
      <rPr>
        <sz val="14"/>
        <color theme="1"/>
        <rFont val="Times New Roman"/>
        <family val="1"/>
      </rPr>
      <t>1</t>
    </r>
    <r>
      <rPr>
        <sz val="14"/>
        <color theme="1"/>
        <rFont val="標楷體"/>
        <family val="4"/>
        <charset val="136"/>
      </rPr>
      <t>級。</t>
    </r>
    <phoneticPr fontId="3" type="noConversion"/>
  </si>
  <si>
    <t>08030220</t>
    <phoneticPr fontId="3" type="noConversion"/>
  </si>
  <si>
    <r>
      <rPr>
        <sz val="14"/>
        <color theme="1"/>
        <rFont val="標楷體"/>
        <family val="4"/>
        <charset val="136"/>
      </rPr>
      <t>電子業亦有一般外勤洽談業務之工作，建議新增並比照一般外勤人員，職業等級為</t>
    </r>
    <r>
      <rPr>
        <sz val="14"/>
        <color theme="1"/>
        <rFont val="Times New Roman"/>
        <family val="1"/>
      </rPr>
      <t>2</t>
    </r>
    <r>
      <rPr>
        <sz val="14"/>
        <color theme="1"/>
        <rFont val="標楷體"/>
        <family val="4"/>
        <charset val="136"/>
      </rPr>
      <t>級。</t>
    </r>
    <phoneticPr fontId="3" type="noConversion"/>
  </si>
  <si>
    <t>08030230</t>
    <phoneticPr fontId="3" type="noConversion"/>
  </si>
  <si>
    <r>
      <rPr>
        <b/>
        <u/>
        <sz val="14"/>
        <color rgb="FFFF0000"/>
        <rFont val="標楷體"/>
        <family val="4"/>
        <charset val="136"/>
      </rPr>
      <t>電子業軟體工程師</t>
    </r>
    <phoneticPr fontId="5" type="noConversion"/>
  </si>
  <si>
    <r>
      <rPr>
        <sz val="14"/>
        <color theme="1"/>
        <rFont val="標楷體"/>
        <family val="4"/>
        <charset val="136"/>
      </rPr>
      <t>因應現行實務新增，電子業軟體工程師主要工作內容為電腦軟體的設計、測試、安裝、修改與維護，多為內勤作業，建議新增並比照一般內勤人員，職業等級為</t>
    </r>
    <r>
      <rPr>
        <sz val="14"/>
        <color theme="1"/>
        <rFont val="Times New Roman"/>
        <family val="1"/>
      </rPr>
      <t>1</t>
    </r>
    <r>
      <rPr>
        <sz val="14"/>
        <color theme="1"/>
        <rFont val="標楷體"/>
        <family val="4"/>
        <charset val="136"/>
      </rPr>
      <t>級。</t>
    </r>
    <phoneticPr fontId="3" type="noConversion"/>
  </si>
  <si>
    <r>
      <t xml:space="preserve">0804  </t>
    </r>
    <r>
      <rPr>
        <sz val="14"/>
        <rFont val="標楷體"/>
        <family val="4"/>
        <charset val="136"/>
      </rPr>
      <t>電機業</t>
    </r>
    <phoneticPr fontId="3" type="noConversion"/>
  </si>
  <si>
    <t>08040010</t>
    <phoneticPr fontId="3" type="noConversion"/>
  </si>
  <si>
    <r>
      <rPr>
        <b/>
        <u/>
        <sz val="14"/>
        <color rgb="FFFF0000"/>
        <rFont val="標楷體"/>
        <family val="4"/>
        <charset val="136"/>
      </rPr>
      <t>電機業</t>
    </r>
    <r>
      <rPr>
        <b/>
        <sz val="14"/>
        <rFont val="標楷體"/>
        <family val="4"/>
        <charset val="136"/>
      </rPr>
      <t>工程師</t>
    </r>
    <phoneticPr fontId="5" type="noConversion"/>
  </si>
  <si>
    <t>08040020</t>
    <phoneticPr fontId="3" type="noConversion"/>
  </si>
  <si>
    <r>
      <rPr>
        <b/>
        <u/>
        <sz val="14"/>
        <color rgb="FFFF0000"/>
        <rFont val="標楷體"/>
        <family val="4"/>
        <charset val="136"/>
      </rPr>
      <t>電機業</t>
    </r>
    <r>
      <rPr>
        <b/>
        <sz val="14"/>
        <rFont val="標楷體"/>
        <family val="4"/>
        <charset val="136"/>
      </rPr>
      <t>技師</t>
    </r>
    <phoneticPr fontId="3" type="noConversion"/>
  </si>
  <si>
    <t>08040030</t>
    <phoneticPr fontId="3" type="noConversion"/>
  </si>
  <si>
    <t>08040040</t>
    <phoneticPr fontId="3" type="noConversion"/>
  </si>
  <si>
    <t>08040050</t>
    <phoneticPr fontId="3" type="noConversion"/>
  </si>
  <si>
    <t>08040060</t>
    <phoneticPr fontId="3" type="noConversion"/>
  </si>
  <si>
    <t>08040070</t>
  </si>
  <si>
    <r>
      <rPr>
        <b/>
        <u/>
        <sz val="14"/>
        <color rgb="FFFF0000"/>
        <rFont val="標楷體"/>
        <family val="4"/>
        <charset val="136"/>
      </rPr>
      <t>電機業</t>
    </r>
    <r>
      <rPr>
        <b/>
        <sz val="14"/>
        <rFont val="標楷體"/>
        <family val="4"/>
        <charset val="136"/>
      </rPr>
      <t>負責人（不需到現場）</t>
    </r>
    <phoneticPr fontId="3" type="noConversion"/>
  </si>
  <si>
    <t>08040080</t>
  </si>
  <si>
    <r>
      <rPr>
        <b/>
        <u/>
        <sz val="14"/>
        <color rgb="FFFF0000"/>
        <rFont val="標楷體"/>
        <family val="4"/>
        <charset val="136"/>
      </rPr>
      <t>電機業</t>
    </r>
    <r>
      <rPr>
        <b/>
        <sz val="14"/>
        <rFont val="標楷體"/>
        <family val="4"/>
        <charset val="136"/>
      </rPr>
      <t>負責人（需現場指導或實際參與工作）</t>
    </r>
    <phoneticPr fontId="3" type="noConversion"/>
  </si>
  <si>
    <t>08040090</t>
  </si>
  <si>
    <r>
      <rPr>
        <b/>
        <u/>
        <sz val="14"/>
        <color rgb="FFFF0000"/>
        <rFont val="標楷體"/>
        <family val="4"/>
        <charset val="136"/>
      </rPr>
      <t>電機業</t>
    </r>
    <r>
      <rPr>
        <b/>
        <sz val="14"/>
        <rFont val="標楷體"/>
        <family val="4"/>
        <charset val="136"/>
      </rPr>
      <t>品管人員</t>
    </r>
    <phoneticPr fontId="3" type="noConversion"/>
  </si>
  <si>
    <t>08040100</t>
  </si>
  <si>
    <t>08040110</t>
  </si>
  <si>
    <t>08040120</t>
    <phoneticPr fontId="5" type="noConversion"/>
  </si>
  <si>
    <t>08040130</t>
    <phoneticPr fontId="5" type="noConversion"/>
  </si>
  <si>
    <r>
      <rPr>
        <b/>
        <sz val="14"/>
        <rFont val="標楷體"/>
        <family val="4"/>
        <charset val="136"/>
      </rPr>
      <t>室內消防器材檢測</t>
    </r>
    <r>
      <rPr>
        <b/>
        <sz val="14"/>
        <rFont val="Times New Roman"/>
        <family val="1"/>
      </rPr>
      <t>(</t>
    </r>
    <r>
      <rPr>
        <b/>
        <sz val="14"/>
        <rFont val="標楷體"/>
        <family val="4"/>
        <charset val="136"/>
      </rPr>
      <t>不含安裝</t>
    </r>
    <r>
      <rPr>
        <b/>
        <sz val="14"/>
        <rFont val="Times New Roman"/>
        <family val="1"/>
      </rPr>
      <t>)</t>
    </r>
    <phoneticPr fontId="5" type="noConversion"/>
  </si>
  <si>
    <r>
      <rPr>
        <sz val="14"/>
        <color theme="1"/>
        <rFont val="標楷體"/>
        <family val="4"/>
        <charset val="136"/>
      </rPr>
      <t>經各保險公司與會代表討論，該工作僅為到府檢測作業，建議比照一般外勤人員，將職業等級降為</t>
    </r>
    <r>
      <rPr>
        <sz val="14"/>
        <color theme="1"/>
        <rFont val="Times New Roman"/>
        <family val="1"/>
      </rPr>
      <t>2</t>
    </r>
    <r>
      <rPr>
        <sz val="14"/>
        <color theme="1"/>
        <rFont val="標楷體"/>
        <family val="4"/>
        <charset val="136"/>
      </rPr>
      <t>。</t>
    </r>
    <phoneticPr fontId="3" type="noConversion"/>
  </si>
  <si>
    <t>08040140</t>
    <phoneticPr fontId="5" type="noConversion"/>
  </si>
  <si>
    <t>08040150</t>
    <phoneticPr fontId="5" type="noConversion"/>
  </si>
  <si>
    <t>08040160</t>
    <phoneticPr fontId="3" type="noConversion"/>
  </si>
  <si>
    <r>
      <rPr>
        <sz val="14"/>
        <color theme="1"/>
        <rFont val="標楷體"/>
        <family val="4"/>
        <charset val="136"/>
      </rPr>
      <t>電機業亦有一般行政人員之工作，建議新增並比照一般內勤人員，職業等級為</t>
    </r>
    <r>
      <rPr>
        <sz val="14"/>
        <color theme="1"/>
        <rFont val="Times New Roman"/>
        <family val="1"/>
      </rPr>
      <t>1</t>
    </r>
    <r>
      <rPr>
        <sz val="14"/>
        <color theme="1"/>
        <rFont val="標楷體"/>
        <family val="4"/>
        <charset val="136"/>
      </rPr>
      <t>級。</t>
    </r>
    <phoneticPr fontId="3" type="noConversion"/>
  </si>
  <si>
    <t>08040170</t>
    <phoneticPr fontId="3" type="noConversion"/>
  </si>
  <si>
    <r>
      <rPr>
        <sz val="14"/>
        <color theme="1"/>
        <rFont val="標楷體"/>
        <family val="4"/>
        <charset val="136"/>
      </rPr>
      <t>電機業亦有一般外勤洽談業務之工作，建議新增並比照一般外勤人員，職業等級為</t>
    </r>
    <r>
      <rPr>
        <sz val="14"/>
        <color theme="1"/>
        <rFont val="Times New Roman"/>
        <family val="1"/>
      </rPr>
      <t>2</t>
    </r>
    <r>
      <rPr>
        <sz val="14"/>
        <color theme="1"/>
        <rFont val="標楷體"/>
        <family val="4"/>
        <charset val="136"/>
      </rPr>
      <t>級。</t>
    </r>
    <phoneticPr fontId="3" type="noConversion"/>
  </si>
  <si>
    <t>08040180</t>
    <phoneticPr fontId="3" type="noConversion"/>
  </si>
  <si>
    <r>
      <rPr>
        <b/>
        <u/>
        <sz val="14"/>
        <color rgb="FFFF0000"/>
        <rFont val="標楷體"/>
        <family val="4"/>
        <charset val="136"/>
      </rPr>
      <t>電機業軟體工程師</t>
    </r>
    <phoneticPr fontId="5" type="noConversion"/>
  </si>
  <si>
    <r>
      <rPr>
        <sz val="14"/>
        <color theme="1"/>
        <rFont val="標楷體"/>
        <family val="4"/>
        <charset val="136"/>
      </rPr>
      <t>因應現行實務新增，電機業軟體工程師主要工作內容為設備軟體修改、測試及軟體設計開發，多為內勤作業，建議新增並比照一般內勤人員，職業等級為</t>
    </r>
    <r>
      <rPr>
        <sz val="14"/>
        <color theme="1"/>
        <rFont val="Times New Roman"/>
        <family val="1"/>
      </rPr>
      <t>1</t>
    </r>
    <r>
      <rPr>
        <sz val="14"/>
        <color theme="1"/>
        <rFont val="標楷體"/>
        <family val="4"/>
        <charset val="136"/>
      </rPr>
      <t>。</t>
    </r>
    <phoneticPr fontId="3" type="noConversion"/>
  </si>
  <si>
    <r>
      <t xml:space="preserve">0805  </t>
    </r>
    <r>
      <rPr>
        <sz val="14"/>
        <rFont val="標楷體"/>
        <family val="4"/>
        <charset val="136"/>
      </rPr>
      <t xml:space="preserve">塑膠
</t>
    </r>
    <r>
      <rPr>
        <sz val="14"/>
        <rFont val="Times New Roman"/>
        <family val="1"/>
      </rPr>
      <t xml:space="preserve">          </t>
    </r>
    <r>
      <rPr>
        <sz val="14"/>
        <rFont val="標楷體"/>
        <family val="4"/>
        <charset val="136"/>
      </rPr>
      <t>橡膠業</t>
    </r>
    <phoneticPr fontId="3" type="noConversion"/>
  </si>
  <si>
    <t>08050010</t>
    <phoneticPr fontId="3" type="noConversion"/>
  </si>
  <si>
    <r>
      <rPr>
        <b/>
        <u/>
        <sz val="14"/>
        <color rgb="FFFF0000"/>
        <rFont val="標楷體"/>
        <family val="4"/>
        <charset val="136"/>
      </rPr>
      <t>塑膠、橡膠業</t>
    </r>
    <r>
      <rPr>
        <b/>
        <sz val="14"/>
        <rFont val="標楷體"/>
        <family val="4"/>
        <charset val="136"/>
      </rPr>
      <t>工程師</t>
    </r>
    <phoneticPr fontId="3" type="noConversion"/>
  </si>
  <si>
    <t>08050020</t>
    <phoneticPr fontId="3" type="noConversion"/>
  </si>
  <si>
    <r>
      <rPr>
        <b/>
        <u/>
        <sz val="14"/>
        <color rgb="FFFF0000"/>
        <rFont val="標楷體"/>
        <family val="4"/>
        <charset val="136"/>
      </rPr>
      <t>塑膠、橡膠業</t>
    </r>
    <r>
      <rPr>
        <b/>
        <sz val="14"/>
        <rFont val="標楷體"/>
        <family val="4"/>
        <charset val="136"/>
      </rPr>
      <t>技師</t>
    </r>
    <phoneticPr fontId="5" type="noConversion"/>
  </si>
  <si>
    <t>08050030</t>
    <phoneticPr fontId="3" type="noConversion"/>
  </si>
  <si>
    <t>08050040</t>
    <phoneticPr fontId="3" type="noConversion"/>
  </si>
  <si>
    <t>08050050</t>
    <phoneticPr fontId="3" type="noConversion"/>
  </si>
  <si>
    <t>08050060</t>
    <phoneticPr fontId="3" type="noConversion"/>
  </si>
  <si>
    <t>08050070</t>
    <phoneticPr fontId="3" type="noConversion"/>
  </si>
  <si>
    <r>
      <rPr>
        <b/>
        <u/>
        <sz val="14"/>
        <color rgb="FFFF0000"/>
        <rFont val="標楷體"/>
        <family val="4"/>
        <charset val="136"/>
      </rPr>
      <t>塑膠、橡膠業</t>
    </r>
    <r>
      <rPr>
        <b/>
        <sz val="14"/>
        <rFont val="標楷體"/>
        <family val="4"/>
        <charset val="136"/>
      </rPr>
      <t>負責人（不需到現場）</t>
    </r>
    <phoneticPr fontId="3" type="noConversion"/>
  </si>
  <si>
    <t>08050080</t>
    <phoneticPr fontId="3" type="noConversion"/>
  </si>
  <si>
    <r>
      <rPr>
        <b/>
        <u/>
        <sz val="14"/>
        <color rgb="FFFF0000"/>
        <rFont val="標楷體"/>
        <family val="4"/>
        <charset val="136"/>
      </rPr>
      <t>塑膠、橡膠業</t>
    </r>
    <r>
      <rPr>
        <b/>
        <sz val="14"/>
        <rFont val="標楷體"/>
        <family val="4"/>
        <charset val="136"/>
      </rPr>
      <t>負責人（需現場指導或實際參與工作）</t>
    </r>
    <phoneticPr fontId="3" type="noConversion"/>
  </si>
  <si>
    <t>08050090</t>
    <phoneticPr fontId="3" type="noConversion"/>
  </si>
  <si>
    <r>
      <rPr>
        <b/>
        <u/>
        <sz val="14"/>
        <color rgb="FFFF0000"/>
        <rFont val="標楷體"/>
        <family val="4"/>
        <charset val="136"/>
      </rPr>
      <t>塑膠、橡膠業</t>
    </r>
    <r>
      <rPr>
        <b/>
        <sz val="14"/>
        <rFont val="標楷體"/>
        <family val="4"/>
        <charset val="136"/>
      </rPr>
      <t>品管人員</t>
    </r>
    <phoneticPr fontId="3" type="noConversion"/>
  </si>
  <si>
    <t>08050100</t>
  </si>
  <si>
    <t>08050110</t>
  </si>
  <si>
    <t>08050120</t>
  </si>
  <si>
    <t>08050130</t>
  </si>
  <si>
    <t>08050140</t>
  </si>
  <si>
    <t>08050150</t>
    <phoneticPr fontId="3" type="noConversion"/>
  </si>
  <si>
    <r>
      <rPr>
        <sz val="14"/>
        <color theme="1"/>
        <rFont val="標楷體"/>
        <family val="4"/>
        <charset val="136"/>
      </rPr>
      <t>塑膠橡膠業亦有一般行政人員之工作，建議新增並比照一般內勤人員，職業等級為</t>
    </r>
    <r>
      <rPr>
        <sz val="14"/>
        <color theme="1"/>
        <rFont val="Times New Roman"/>
        <family val="1"/>
      </rPr>
      <t>1</t>
    </r>
    <r>
      <rPr>
        <sz val="14"/>
        <color theme="1"/>
        <rFont val="標楷體"/>
        <family val="4"/>
        <charset val="136"/>
      </rPr>
      <t>級。</t>
    </r>
    <phoneticPr fontId="3" type="noConversion"/>
  </si>
  <si>
    <t>08050160</t>
    <phoneticPr fontId="3" type="noConversion"/>
  </si>
  <si>
    <r>
      <rPr>
        <sz val="14"/>
        <color theme="1"/>
        <rFont val="標楷體"/>
        <family val="4"/>
        <charset val="136"/>
      </rPr>
      <t>塑膠橡膠業亦有一般外勤洽談業務之工作，建議新增並比照一般外勤人員，職業等級為</t>
    </r>
    <r>
      <rPr>
        <sz val="14"/>
        <color theme="1"/>
        <rFont val="Times New Roman"/>
        <family val="1"/>
      </rPr>
      <t>2</t>
    </r>
    <r>
      <rPr>
        <sz val="14"/>
        <color theme="1"/>
        <rFont val="標楷體"/>
        <family val="4"/>
        <charset val="136"/>
      </rPr>
      <t>級。</t>
    </r>
    <phoneticPr fontId="3" type="noConversion"/>
  </si>
  <si>
    <r>
      <t xml:space="preserve">0806  </t>
    </r>
    <r>
      <rPr>
        <sz val="14"/>
        <rFont val="標楷體"/>
        <family val="4"/>
        <charset val="136"/>
      </rPr>
      <t>水泥業
（包括水泥、石膏、石灰）</t>
    </r>
    <phoneticPr fontId="3" type="noConversion"/>
  </si>
  <si>
    <t>08060010</t>
    <phoneticPr fontId="3" type="noConversion"/>
  </si>
  <si>
    <r>
      <rPr>
        <b/>
        <u/>
        <sz val="14"/>
        <color rgb="FFFF0000"/>
        <rFont val="標楷體"/>
        <family val="4"/>
        <charset val="136"/>
      </rPr>
      <t>水泥業</t>
    </r>
    <r>
      <rPr>
        <b/>
        <sz val="14"/>
        <rFont val="標楷體"/>
        <family val="4"/>
        <charset val="136"/>
      </rPr>
      <t>工程師</t>
    </r>
    <phoneticPr fontId="3" type="noConversion"/>
  </si>
  <si>
    <t>08060020</t>
    <phoneticPr fontId="3" type="noConversion"/>
  </si>
  <si>
    <r>
      <rPr>
        <b/>
        <u/>
        <sz val="14"/>
        <color rgb="FFFF0000"/>
        <rFont val="標楷體"/>
        <family val="4"/>
        <charset val="136"/>
      </rPr>
      <t>水泥業</t>
    </r>
    <r>
      <rPr>
        <b/>
        <sz val="14"/>
        <rFont val="標楷體"/>
        <family val="4"/>
        <charset val="136"/>
      </rPr>
      <t>技師</t>
    </r>
    <phoneticPr fontId="3" type="noConversion"/>
  </si>
  <si>
    <t>08060030</t>
    <phoneticPr fontId="3" type="noConversion"/>
  </si>
  <si>
    <t>08060040</t>
    <phoneticPr fontId="3" type="noConversion"/>
  </si>
  <si>
    <t>08060050</t>
    <phoneticPr fontId="3" type="noConversion"/>
  </si>
  <si>
    <t>08060060</t>
    <phoneticPr fontId="3" type="noConversion"/>
  </si>
  <si>
    <r>
      <rPr>
        <sz val="14"/>
        <rFont val="標楷體"/>
        <family val="4"/>
        <charset val="136"/>
      </rPr>
      <t>拒保</t>
    </r>
    <phoneticPr fontId="3" type="noConversion"/>
  </si>
  <si>
    <t>08060070</t>
    <phoneticPr fontId="3" type="noConversion"/>
  </si>
  <si>
    <t>08060080</t>
    <phoneticPr fontId="3" type="noConversion"/>
  </si>
  <si>
    <r>
      <rPr>
        <b/>
        <sz val="14"/>
        <color rgb="FFFF0000"/>
        <rFont val="標楷體"/>
        <family val="4"/>
        <charset val="136"/>
      </rPr>
      <t>水泥業負責人（不需到現場）</t>
    </r>
    <phoneticPr fontId="5" type="noConversion"/>
  </si>
  <si>
    <r>
      <rPr>
        <sz val="14"/>
        <color theme="1"/>
        <rFont val="標楷體"/>
        <family val="4"/>
        <charset val="136"/>
      </rPr>
      <t>水泥業亦有負責人，不需到現場水泥業負責人比照</t>
    </r>
    <r>
      <rPr>
        <sz val="14"/>
        <color theme="1"/>
        <rFont val="Times New Roman"/>
        <family val="1"/>
      </rPr>
      <t>"08010050"</t>
    </r>
    <r>
      <rPr>
        <sz val="14"/>
        <color theme="1"/>
        <rFont val="標楷體"/>
        <family val="4"/>
        <charset val="136"/>
      </rPr>
      <t>鋼鐵場負責人新增；需現場指導或實際參與工作負責人、廠長建議比照水泥業之</t>
    </r>
    <r>
      <rPr>
        <sz val="14"/>
        <color theme="1"/>
        <rFont val="Times New Roman"/>
        <family val="1"/>
      </rPr>
      <t>"08060010"</t>
    </r>
    <r>
      <rPr>
        <sz val="14"/>
        <color theme="1"/>
        <rFont val="標楷體"/>
        <family val="4"/>
        <charset val="136"/>
      </rPr>
      <t>新增。</t>
    </r>
    <phoneticPr fontId="3" type="noConversion"/>
  </si>
  <si>
    <t>08060081</t>
    <phoneticPr fontId="3" type="noConversion"/>
  </si>
  <si>
    <r>
      <rPr>
        <b/>
        <sz val="14"/>
        <color rgb="FFFF0000"/>
        <rFont val="標楷體"/>
        <family val="4"/>
        <charset val="136"/>
      </rPr>
      <t>水泥業負責人（需現場指導或實際參與工作）、廠長</t>
    </r>
    <phoneticPr fontId="5" type="noConversion"/>
  </si>
  <si>
    <r>
      <t xml:space="preserve">0807  </t>
    </r>
    <r>
      <rPr>
        <sz val="14"/>
        <rFont val="標楷體"/>
        <family val="4"/>
        <charset val="136"/>
      </rPr>
      <t>化學原料業</t>
    </r>
    <phoneticPr fontId="3" type="noConversion"/>
  </si>
  <si>
    <t>08070010</t>
    <phoneticPr fontId="3" type="noConversion"/>
  </si>
  <si>
    <r>
      <rPr>
        <b/>
        <u/>
        <sz val="14"/>
        <color rgb="FFFF0000"/>
        <rFont val="標楷體"/>
        <family val="4"/>
        <charset val="136"/>
      </rPr>
      <t>化學原料業</t>
    </r>
    <r>
      <rPr>
        <b/>
        <sz val="14"/>
        <rFont val="標楷體"/>
        <family val="4"/>
        <charset val="136"/>
      </rPr>
      <t>工程師</t>
    </r>
    <phoneticPr fontId="5" type="noConversion"/>
  </si>
  <si>
    <t>為使保險業業務員及其相關人員得正確選擇職業中分類下之工作性質，爰建議於本項工作性質前增加業別之描述性文字。</t>
  </si>
  <si>
    <t>08070020</t>
    <phoneticPr fontId="3" type="noConversion"/>
  </si>
  <si>
    <r>
      <rPr>
        <b/>
        <u/>
        <sz val="14"/>
        <color rgb="FFFF0000"/>
        <rFont val="標楷體"/>
        <family val="4"/>
        <charset val="136"/>
      </rPr>
      <t>化學原料業</t>
    </r>
    <r>
      <rPr>
        <b/>
        <sz val="14"/>
        <rFont val="標楷體"/>
        <family val="4"/>
        <charset val="136"/>
      </rPr>
      <t>技師</t>
    </r>
    <phoneticPr fontId="3" type="noConversion"/>
  </si>
  <si>
    <t>08070030</t>
    <phoneticPr fontId="3" type="noConversion"/>
  </si>
  <si>
    <t>08070040</t>
    <phoneticPr fontId="3" type="noConversion"/>
  </si>
  <si>
    <t>08070050</t>
    <phoneticPr fontId="3" type="noConversion"/>
  </si>
  <si>
    <t>08070051</t>
    <phoneticPr fontId="3" type="noConversion"/>
  </si>
  <si>
    <t>08070060</t>
    <phoneticPr fontId="3" type="noConversion"/>
  </si>
  <si>
    <t>08070090</t>
    <phoneticPr fontId="3" type="noConversion"/>
  </si>
  <si>
    <t>08070100</t>
    <phoneticPr fontId="3" type="noConversion"/>
  </si>
  <si>
    <t>08070110</t>
    <phoneticPr fontId="3" type="noConversion"/>
  </si>
  <si>
    <t>08070120</t>
    <phoneticPr fontId="3" type="noConversion"/>
  </si>
  <si>
    <t>08070130</t>
    <phoneticPr fontId="3" type="noConversion"/>
  </si>
  <si>
    <t>08070140</t>
    <phoneticPr fontId="3" type="noConversion"/>
  </si>
  <si>
    <r>
      <rPr>
        <b/>
        <u/>
        <sz val="14"/>
        <color rgb="FFFF0000"/>
        <rFont val="標楷體"/>
        <family val="4"/>
        <charset val="136"/>
      </rPr>
      <t>廠區行政人員</t>
    </r>
  </si>
  <si>
    <r>
      <rPr>
        <sz val="14"/>
        <color theme="1"/>
        <rFont val="標楷體"/>
        <family val="4"/>
        <charset val="136"/>
      </rPr>
      <t>因應現行實務新增，化學原料業廠區行政人員因在具高危險化學原料之廠區為相關行政作業，建議職業等級比一般行政人員等級高，爰建議職業等級為</t>
    </r>
    <r>
      <rPr>
        <sz val="14"/>
        <color theme="1"/>
        <rFont val="Times New Roman"/>
        <family val="1"/>
      </rPr>
      <t>2</t>
    </r>
    <r>
      <rPr>
        <sz val="14"/>
        <color theme="1"/>
        <rFont val="標楷體"/>
        <family val="4"/>
        <charset val="136"/>
      </rPr>
      <t>。</t>
    </r>
    <phoneticPr fontId="3" type="noConversion"/>
  </si>
  <si>
    <t>08070150</t>
    <phoneticPr fontId="3" type="noConversion"/>
  </si>
  <si>
    <r>
      <rPr>
        <sz val="14"/>
        <color theme="1"/>
        <rFont val="標楷體"/>
        <family val="4"/>
        <charset val="136"/>
      </rPr>
      <t>化學原料業亦有一般行政人員之工作，建議新增並比照一般內勤人員，職業等級為</t>
    </r>
    <r>
      <rPr>
        <sz val="14"/>
        <color theme="1"/>
        <rFont val="Times New Roman"/>
        <family val="1"/>
      </rPr>
      <t>1</t>
    </r>
    <r>
      <rPr>
        <sz val="14"/>
        <color theme="1"/>
        <rFont val="標楷體"/>
        <family val="4"/>
        <charset val="136"/>
      </rPr>
      <t>。</t>
    </r>
    <phoneticPr fontId="3" type="noConversion"/>
  </si>
  <si>
    <t>08070160</t>
    <phoneticPr fontId="3" type="noConversion"/>
  </si>
  <si>
    <r>
      <rPr>
        <sz val="14"/>
        <color theme="1"/>
        <rFont val="標楷體"/>
        <family val="4"/>
        <charset val="136"/>
      </rPr>
      <t>化學原料業亦有一般外勤洽談業務之工作，建議新增並比照一般外勤人員，職業等級為</t>
    </r>
    <r>
      <rPr>
        <sz val="14"/>
        <color theme="1"/>
        <rFont val="Times New Roman"/>
        <family val="1"/>
      </rPr>
      <t>2</t>
    </r>
    <r>
      <rPr>
        <sz val="14"/>
        <color theme="1"/>
        <rFont val="標楷體"/>
        <family val="4"/>
        <charset val="136"/>
      </rPr>
      <t>。</t>
    </r>
    <phoneticPr fontId="3" type="noConversion"/>
  </si>
  <si>
    <t>08070170</t>
    <phoneticPr fontId="3" type="noConversion"/>
  </si>
  <si>
    <r>
      <rPr>
        <b/>
        <u/>
        <sz val="14"/>
        <color rgb="FFFF0000"/>
        <rFont val="標楷體"/>
        <family val="4"/>
        <charset val="136"/>
      </rPr>
      <t>調香師</t>
    </r>
    <r>
      <rPr>
        <b/>
        <u/>
        <sz val="14"/>
        <color rgb="FFFF0000"/>
        <rFont val="Times New Roman"/>
        <family val="1"/>
      </rPr>
      <t>(</t>
    </r>
    <r>
      <rPr>
        <b/>
        <u/>
        <sz val="14"/>
        <color rgb="FFFF0000"/>
        <rFont val="標楷體"/>
        <family val="4"/>
        <charset val="136"/>
      </rPr>
      <t>香氛類</t>
    </r>
    <r>
      <rPr>
        <b/>
        <u/>
        <sz val="14"/>
        <color rgb="FFFF0000"/>
        <rFont val="Times New Roman"/>
        <family val="1"/>
      </rPr>
      <t>)</t>
    </r>
  </si>
  <si>
    <r>
      <rPr>
        <sz val="14"/>
        <color theme="1"/>
        <rFont val="標楷體"/>
        <family val="4"/>
        <charset val="136"/>
      </rPr>
      <t>因應現行實務新增，調香師工作內容為使用香料及輔料，進行香精或香水配方設計和調配的人員，爰建議比照</t>
    </r>
    <r>
      <rPr>
        <sz val="14"/>
        <color theme="1"/>
        <rFont val="Times New Roman"/>
        <family val="1"/>
      </rPr>
      <t>"08070100"</t>
    </r>
    <r>
      <rPr>
        <sz val="14"/>
        <color theme="1"/>
        <rFont val="標楷體"/>
        <family val="4"/>
        <charset val="136"/>
      </rPr>
      <t>，職業等級為</t>
    </r>
    <r>
      <rPr>
        <sz val="14"/>
        <color theme="1"/>
        <rFont val="Times New Roman"/>
        <family val="1"/>
      </rPr>
      <t>2</t>
    </r>
    <r>
      <rPr>
        <sz val="14"/>
        <color theme="1"/>
        <rFont val="標楷體"/>
        <family val="4"/>
        <charset val="136"/>
      </rPr>
      <t>。</t>
    </r>
    <phoneticPr fontId="3" type="noConversion"/>
  </si>
  <si>
    <t>08070180</t>
    <phoneticPr fontId="3" type="noConversion"/>
  </si>
  <si>
    <r>
      <rPr>
        <b/>
        <u/>
        <sz val="14"/>
        <color rgb="FFFF0000"/>
        <rFont val="標楷體"/>
        <family val="4"/>
        <charset val="136"/>
      </rPr>
      <t>藥品研發人員</t>
    </r>
    <phoneticPr fontId="3" type="noConversion"/>
  </si>
  <si>
    <r>
      <rPr>
        <sz val="14"/>
        <color theme="1"/>
        <rFont val="標楷體"/>
        <family val="4"/>
        <charset val="136"/>
      </rPr>
      <t>因應實務新增，藥品研發人員作內容為藥物研發、</t>
    </r>
    <r>
      <rPr>
        <sz val="14"/>
        <color theme="1"/>
        <rFont val="Times New Roman"/>
        <family val="1"/>
      </rPr>
      <t xml:space="preserve"> </t>
    </r>
    <r>
      <rPr>
        <sz val="14"/>
        <color theme="1"/>
        <rFont val="標楷體"/>
        <family val="4"/>
        <charset val="136"/>
      </rPr>
      <t>處方分析及試製，爰建議比照</t>
    </r>
    <r>
      <rPr>
        <sz val="14"/>
        <color theme="1"/>
        <rFont val="Times New Roman"/>
        <family val="1"/>
      </rPr>
      <t>"08070100"</t>
    </r>
    <r>
      <rPr>
        <sz val="14"/>
        <color theme="1"/>
        <rFont val="標楷體"/>
        <family val="4"/>
        <charset val="136"/>
      </rPr>
      <t>，職業等級為</t>
    </r>
    <r>
      <rPr>
        <sz val="14"/>
        <color theme="1"/>
        <rFont val="Times New Roman"/>
        <family val="1"/>
      </rPr>
      <t>2</t>
    </r>
    <r>
      <rPr>
        <sz val="14"/>
        <color theme="1"/>
        <rFont val="標楷體"/>
        <family val="4"/>
        <charset val="136"/>
      </rPr>
      <t>。</t>
    </r>
    <phoneticPr fontId="3" type="noConversion"/>
  </si>
  <si>
    <r>
      <t xml:space="preserve">0808  </t>
    </r>
    <r>
      <rPr>
        <sz val="14"/>
        <rFont val="標楷體"/>
        <family val="4"/>
        <charset val="136"/>
      </rPr>
      <t>炸藥業</t>
    </r>
    <phoneticPr fontId="3" type="noConversion"/>
  </si>
  <si>
    <t>08080010</t>
    <phoneticPr fontId="3" type="noConversion"/>
  </si>
  <si>
    <t>08080020</t>
    <phoneticPr fontId="3" type="noConversion"/>
  </si>
  <si>
    <r>
      <t xml:space="preserve">0809  
</t>
    </r>
    <r>
      <rPr>
        <sz val="14"/>
        <rFont val="標楷體"/>
        <family val="4"/>
        <charset val="136"/>
      </rPr>
      <t>汽車、機車、自行車製造業
修理業</t>
    </r>
    <phoneticPr fontId="3" type="noConversion"/>
  </si>
  <si>
    <t>08090010</t>
    <phoneticPr fontId="3" type="noConversion"/>
  </si>
  <si>
    <r>
      <rPr>
        <b/>
        <u/>
        <sz val="14"/>
        <color rgb="FFFF0000"/>
        <rFont val="標楷體"/>
        <family val="4"/>
        <charset val="136"/>
      </rPr>
      <t>汽機車、自行車製造及修理業</t>
    </r>
    <r>
      <rPr>
        <b/>
        <sz val="14"/>
        <rFont val="標楷體"/>
        <family val="4"/>
        <charset val="136"/>
      </rPr>
      <t>工程師</t>
    </r>
    <phoneticPr fontId="5" type="noConversion"/>
  </si>
  <si>
    <t>08090020</t>
    <phoneticPr fontId="3" type="noConversion"/>
  </si>
  <si>
    <r>
      <rPr>
        <b/>
        <u/>
        <sz val="14"/>
        <color rgb="FFFF0000"/>
        <rFont val="標楷體"/>
        <family val="4"/>
        <charset val="136"/>
      </rPr>
      <t>汽機車、自行車製造及修理業</t>
    </r>
    <r>
      <rPr>
        <b/>
        <sz val="14"/>
        <rFont val="標楷體"/>
        <family val="4"/>
        <charset val="136"/>
      </rPr>
      <t>技師</t>
    </r>
    <phoneticPr fontId="5" type="noConversion"/>
  </si>
  <si>
    <t>08090030</t>
    <phoneticPr fontId="3" type="noConversion"/>
  </si>
  <si>
    <t>08090040</t>
  </si>
  <si>
    <t>08090050</t>
  </si>
  <si>
    <t>08090060</t>
  </si>
  <si>
    <t>08090070</t>
  </si>
  <si>
    <t>08090080</t>
  </si>
  <si>
    <t>08090090</t>
  </si>
  <si>
    <r>
      <rPr>
        <b/>
        <u/>
        <sz val="14"/>
        <color rgb="FFFF0000"/>
        <rFont val="標楷體"/>
        <family val="4"/>
        <charset val="136"/>
      </rPr>
      <t>汽機車、自行車製造及修理業</t>
    </r>
    <r>
      <rPr>
        <b/>
        <sz val="14"/>
        <color theme="1"/>
        <rFont val="標楷體"/>
        <family val="4"/>
        <charset val="136"/>
      </rPr>
      <t>負責人（不需到現場）</t>
    </r>
    <phoneticPr fontId="5" type="noConversion"/>
  </si>
  <si>
    <t>08090100</t>
  </si>
  <si>
    <r>
      <rPr>
        <b/>
        <u/>
        <sz val="14"/>
        <color rgb="FFFF0000"/>
        <rFont val="標楷體"/>
        <family val="4"/>
        <charset val="136"/>
      </rPr>
      <t>汽機車、自行車製造及修理業</t>
    </r>
    <r>
      <rPr>
        <b/>
        <sz val="14"/>
        <rFont val="標楷體"/>
        <family val="4"/>
        <charset val="136"/>
      </rPr>
      <t>負責人</t>
    </r>
    <r>
      <rPr>
        <b/>
        <sz val="14"/>
        <color theme="1"/>
        <rFont val="標楷體"/>
        <family val="4"/>
        <charset val="136"/>
      </rPr>
      <t>（需現場指導或實際參與工作）</t>
    </r>
    <phoneticPr fontId="5" type="noConversion"/>
  </si>
  <si>
    <t>08090110</t>
  </si>
  <si>
    <r>
      <rPr>
        <b/>
        <u/>
        <sz val="14"/>
        <color rgb="FFFF0000"/>
        <rFont val="標楷體"/>
        <family val="4"/>
        <charset val="136"/>
      </rPr>
      <t>汽機車、自行車製造及修理業</t>
    </r>
    <r>
      <rPr>
        <b/>
        <sz val="14"/>
        <color theme="1"/>
        <rFont val="標楷體"/>
        <family val="4"/>
        <charset val="136"/>
      </rPr>
      <t>品管人員</t>
    </r>
    <phoneticPr fontId="5" type="noConversion"/>
  </si>
  <si>
    <t>08090120</t>
    <phoneticPr fontId="5" type="noConversion"/>
  </si>
  <si>
    <t>08090130</t>
    <phoneticPr fontId="3" type="noConversion"/>
  </si>
  <si>
    <t>08090131</t>
    <phoneticPr fontId="5" type="noConversion"/>
  </si>
  <si>
    <r>
      <rPr>
        <b/>
        <u/>
        <sz val="14"/>
        <color rgb="FFFF0000"/>
        <rFont val="標楷體"/>
        <family val="4"/>
        <charset val="136"/>
      </rPr>
      <t>汽車美容裝潢人員</t>
    </r>
    <r>
      <rPr>
        <b/>
        <u/>
        <sz val="14"/>
        <color rgb="FFFF0000"/>
        <rFont val="Times New Roman"/>
        <family val="1"/>
      </rPr>
      <t>(</t>
    </r>
    <r>
      <rPr>
        <b/>
        <u/>
        <sz val="14"/>
        <color rgb="FFFF0000"/>
        <rFont val="標楷體"/>
        <family val="4"/>
        <charset val="136"/>
      </rPr>
      <t>包含改車</t>
    </r>
    <r>
      <rPr>
        <b/>
        <u/>
        <sz val="14"/>
        <color rgb="FFFF0000"/>
        <rFont val="Times New Roman"/>
        <family val="1"/>
      </rPr>
      <t>)</t>
    </r>
    <phoneticPr fontId="5" type="noConversion"/>
  </si>
  <si>
    <r>
      <rPr>
        <sz val="14"/>
        <color theme="1"/>
        <rFont val="標楷體"/>
        <family val="4"/>
        <charset val="136"/>
      </rPr>
      <t>因應新興職業新增，工作內容為汽車外內裝改造、維修，職業等級建議比照</t>
    </r>
    <r>
      <rPr>
        <sz val="14"/>
        <color theme="1"/>
        <rFont val="Times New Roman"/>
        <family val="1"/>
      </rPr>
      <t>"08090130"</t>
    </r>
    <r>
      <rPr>
        <sz val="14"/>
        <color theme="1"/>
        <rFont val="標楷體"/>
        <family val="4"/>
        <charset val="136"/>
      </rPr>
      <t>職業等級</t>
    </r>
    <r>
      <rPr>
        <sz val="14"/>
        <color theme="1"/>
        <rFont val="Times New Roman"/>
        <family val="1"/>
      </rPr>
      <t>3</t>
    </r>
    <r>
      <rPr>
        <sz val="14"/>
        <color theme="1"/>
        <rFont val="標楷體"/>
        <family val="4"/>
        <charset val="136"/>
      </rPr>
      <t>級。</t>
    </r>
    <phoneticPr fontId="3" type="noConversion"/>
  </si>
  <si>
    <t>08090140</t>
    <phoneticPr fontId="3" type="noConversion"/>
  </si>
  <si>
    <t>08090150</t>
    <phoneticPr fontId="3" type="noConversion"/>
  </si>
  <si>
    <t xml:space="preserve">08090160 </t>
    <phoneticPr fontId="3" type="noConversion"/>
  </si>
  <si>
    <t>08090170</t>
    <phoneticPr fontId="3" type="noConversion"/>
  </si>
  <si>
    <r>
      <rPr>
        <sz val="14"/>
        <color theme="1"/>
        <rFont val="標楷體"/>
        <family val="4"/>
        <charset val="136"/>
      </rPr>
      <t>汽車、機車、自行車製造業修理業亦有一般行政人員之工作，建議新增並比照一般內勤人員，職業等級為</t>
    </r>
    <r>
      <rPr>
        <sz val="14"/>
        <color theme="1"/>
        <rFont val="Times New Roman"/>
        <family val="1"/>
      </rPr>
      <t>1</t>
    </r>
    <r>
      <rPr>
        <sz val="14"/>
        <color theme="1"/>
        <rFont val="標楷體"/>
        <family val="4"/>
        <charset val="136"/>
      </rPr>
      <t>級。</t>
    </r>
    <phoneticPr fontId="3" type="noConversion"/>
  </si>
  <si>
    <t>08090180</t>
    <phoneticPr fontId="3" type="noConversion"/>
  </si>
  <si>
    <r>
      <rPr>
        <sz val="14"/>
        <color theme="1"/>
        <rFont val="標楷體"/>
        <family val="4"/>
        <charset val="136"/>
      </rPr>
      <t>汽車、機車、自行車製造業修理業亦有一般外勤洽談業務之工作，建議新增並比照一般外勤人員，職業等級為</t>
    </r>
    <r>
      <rPr>
        <sz val="14"/>
        <color theme="1"/>
        <rFont val="Times New Roman"/>
        <family val="1"/>
      </rPr>
      <t>2</t>
    </r>
    <r>
      <rPr>
        <sz val="14"/>
        <color theme="1"/>
        <rFont val="標楷體"/>
        <family val="4"/>
        <charset val="136"/>
      </rPr>
      <t>級。</t>
    </r>
    <phoneticPr fontId="3" type="noConversion"/>
  </si>
  <si>
    <r>
      <t xml:space="preserve">0810 </t>
    </r>
    <r>
      <rPr>
        <sz val="14"/>
        <rFont val="標楷體"/>
        <family val="4"/>
        <charset val="136"/>
      </rPr>
      <t>紡織及成衣業</t>
    </r>
    <phoneticPr fontId="3" type="noConversion"/>
  </si>
  <si>
    <t>08100010</t>
    <phoneticPr fontId="3" type="noConversion"/>
  </si>
  <si>
    <r>
      <rPr>
        <b/>
        <u/>
        <sz val="14"/>
        <color rgb="FFFF0000"/>
        <rFont val="標楷體"/>
        <family val="4"/>
        <charset val="136"/>
      </rPr>
      <t>紡織及成衣業</t>
    </r>
    <r>
      <rPr>
        <b/>
        <sz val="14"/>
        <rFont val="標楷體"/>
        <family val="4"/>
        <charset val="136"/>
      </rPr>
      <t>工程師</t>
    </r>
    <phoneticPr fontId="3" type="noConversion"/>
  </si>
  <si>
    <t>08100020</t>
    <phoneticPr fontId="3" type="noConversion"/>
  </si>
  <si>
    <t>08100030</t>
    <phoneticPr fontId="3" type="noConversion"/>
  </si>
  <si>
    <r>
      <rPr>
        <b/>
        <u/>
        <sz val="14"/>
        <color rgb="FFFF0000"/>
        <rFont val="標楷體"/>
        <family val="4"/>
        <charset val="136"/>
      </rPr>
      <t>紡織及成衣業</t>
    </r>
    <r>
      <rPr>
        <b/>
        <sz val="14"/>
        <rFont val="標楷體"/>
        <family val="4"/>
        <charset val="136"/>
      </rPr>
      <t>技師</t>
    </r>
    <phoneticPr fontId="3" type="noConversion"/>
  </si>
  <si>
    <t>08100040</t>
  </si>
  <si>
    <t>08100050</t>
  </si>
  <si>
    <t>08100060</t>
  </si>
  <si>
    <r>
      <rPr>
        <b/>
        <u/>
        <sz val="14"/>
        <color rgb="FFFF0000"/>
        <rFont val="標楷體"/>
        <family val="4"/>
        <charset val="136"/>
      </rPr>
      <t>紡織及成衣業</t>
    </r>
    <r>
      <rPr>
        <b/>
        <sz val="14"/>
        <rFont val="標楷體"/>
        <family val="4"/>
        <charset val="136"/>
      </rPr>
      <t>負責人（不需到現場）</t>
    </r>
    <phoneticPr fontId="3" type="noConversion"/>
  </si>
  <si>
    <t>08100070</t>
  </si>
  <si>
    <t>08100080</t>
  </si>
  <si>
    <r>
      <rPr>
        <b/>
        <u/>
        <sz val="14"/>
        <color rgb="FFFF0000"/>
        <rFont val="標楷體"/>
        <family val="4"/>
        <charset val="136"/>
      </rPr>
      <t>紡織及成衣業</t>
    </r>
    <r>
      <rPr>
        <b/>
        <sz val="14"/>
        <rFont val="標楷體"/>
        <family val="4"/>
        <charset val="136"/>
      </rPr>
      <t>負責人（需現場指導或實際參與工作）</t>
    </r>
    <phoneticPr fontId="3" type="noConversion"/>
  </si>
  <si>
    <t>08100090</t>
  </si>
  <si>
    <t>08100100</t>
  </si>
  <si>
    <r>
      <rPr>
        <b/>
        <u/>
        <sz val="14"/>
        <color rgb="FFFF0000"/>
        <rFont val="標楷體"/>
        <family val="4"/>
        <charset val="136"/>
      </rPr>
      <t>紡織及成衣業</t>
    </r>
    <r>
      <rPr>
        <b/>
        <sz val="14"/>
        <rFont val="標楷體"/>
        <family val="4"/>
        <charset val="136"/>
      </rPr>
      <t>品管人員</t>
    </r>
    <phoneticPr fontId="3" type="noConversion"/>
  </si>
  <si>
    <t>08100110</t>
  </si>
  <si>
    <t>08100120</t>
    <phoneticPr fontId="3" type="noConversion"/>
  </si>
  <si>
    <t>08100130</t>
    <phoneticPr fontId="3" type="noConversion"/>
  </si>
  <si>
    <r>
      <t xml:space="preserve">0811  </t>
    </r>
    <r>
      <rPr>
        <sz val="14"/>
        <rFont val="標楷體"/>
        <family val="4"/>
        <charset val="136"/>
      </rPr>
      <t>造紙工業</t>
    </r>
    <phoneticPr fontId="3" type="noConversion"/>
  </si>
  <si>
    <t>08110010</t>
    <phoneticPr fontId="3" type="noConversion"/>
  </si>
  <si>
    <r>
      <rPr>
        <b/>
        <u/>
        <sz val="14"/>
        <color rgb="FFFF0000"/>
        <rFont val="標楷體"/>
        <family val="4"/>
        <charset val="136"/>
      </rPr>
      <t>造紙工業</t>
    </r>
    <r>
      <rPr>
        <b/>
        <sz val="14"/>
        <rFont val="標楷體"/>
        <family val="4"/>
        <charset val="136"/>
      </rPr>
      <t>技師</t>
    </r>
    <phoneticPr fontId="3" type="noConversion"/>
  </si>
  <si>
    <t>08110020</t>
    <phoneticPr fontId="3" type="noConversion"/>
  </si>
  <si>
    <t>08110030</t>
    <phoneticPr fontId="3" type="noConversion"/>
  </si>
  <si>
    <t>08110040</t>
  </si>
  <si>
    <t>08110050</t>
  </si>
  <si>
    <t>08110060</t>
  </si>
  <si>
    <r>
      <rPr>
        <b/>
        <sz val="14"/>
        <color theme="1"/>
        <rFont val="標楷體"/>
        <family val="4"/>
        <charset val="136"/>
      </rPr>
      <t>紙箱包裝</t>
    </r>
    <r>
      <rPr>
        <b/>
        <u/>
        <sz val="14"/>
        <color rgb="FFFF0000"/>
        <rFont val="標楷體"/>
        <family val="4"/>
        <charset val="136"/>
      </rPr>
      <t>人員</t>
    </r>
    <phoneticPr fontId="3" type="noConversion"/>
  </si>
  <si>
    <t>因應該職業屬性並配合一般大眾對該工作性質之稱謂，擬以較為中性之詞語替換原本所列之工人。</t>
  </si>
  <si>
    <t>08110070</t>
  </si>
  <si>
    <r>
      <rPr>
        <b/>
        <sz val="14"/>
        <color theme="1"/>
        <rFont val="標楷體"/>
        <family val="4"/>
        <charset val="136"/>
      </rPr>
      <t>紙盒黏貼</t>
    </r>
    <r>
      <rPr>
        <b/>
        <u/>
        <sz val="14"/>
        <color rgb="FFFF0000"/>
        <rFont val="標楷體"/>
        <family val="4"/>
        <charset val="136"/>
      </rPr>
      <t>人員</t>
    </r>
    <phoneticPr fontId="3" type="noConversion"/>
  </si>
  <si>
    <t>08110080</t>
  </si>
  <si>
    <r>
      <rPr>
        <b/>
        <u/>
        <sz val="14"/>
        <color rgb="FFFF0000"/>
        <rFont val="標楷體"/>
        <family val="4"/>
        <charset val="136"/>
      </rPr>
      <t>造紙工業</t>
    </r>
    <r>
      <rPr>
        <b/>
        <sz val="14"/>
        <rFont val="標楷體"/>
        <family val="4"/>
        <charset val="136"/>
      </rPr>
      <t>品管人員</t>
    </r>
    <phoneticPr fontId="3" type="noConversion"/>
  </si>
  <si>
    <t>08110090</t>
  </si>
  <si>
    <r>
      <t xml:space="preserve">0812  </t>
    </r>
    <r>
      <rPr>
        <sz val="14"/>
        <rFont val="標楷體"/>
        <family val="4"/>
        <charset val="136"/>
      </rPr>
      <t>傢俱製造業</t>
    </r>
    <phoneticPr fontId="3" type="noConversion"/>
  </si>
  <si>
    <t>08120010</t>
    <phoneticPr fontId="3" type="noConversion"/>
  </si>
  <si>
    <r>
      <rPr>
        <b/>
        <u/>
        <sz val="14"/>
        <color rgb="FFFF0000"/>
        <rFont val="標楷體"/>
        <family val="4"/>
        <charset val="136"/>
      </rPr>
      <t>傢俱製造業</t>
    </r>
    <r>
      <rPr>
        <b/>
        <sz val="14"/>
        <rFont val="標楷體"/>
        <family val="4"/>
        <charset val="136"/>
      </rPr>
      <t>技師</t>
    </r>
    <phoneticPr fontId="3" type="noConversion"/>
  </si>
  <si>
    <t>08120020</t>
    <phoneticPr fontId="3" type="noConversion"/>
  </si>
  <si>
    <t>08120030</t>
    <phoneticPr fontId="3" type="noConversion"/>
  </si>
  <si>
    <t>08120040</t>
    <phoneticPr fontId="3" type="noConversion"/>
  </si>
  <si>
    <t>08120050</t>
    <phoneticPr fontId="3" type="noConversion"/>
  </si>
  <si>
    <t>08120060</t>
  </si>
  <si>
    <t>08120070</t>
  </si>
  <si>
    <t>08120080</t>
  </si>
  <si>
    <r>
      <rPr>
        <b/>
        <u/>
        <sz val="14"/>
        <color rgb="FFFF0000"/>
        <rFont val="標楷體"/>
        <family val="4"/>
        <charset val="136"/>
      </rPr>
      <t>傢俱製造業</t>
    </r>
    <r>
      <rPr>
        <b/>
        <sz val="14"/>
        <rFont val="標楷體"/>
        <family val="4"/>
        <charset val="136"/>
      </rPr>
      <t>品管人員</t>
    </r>
    <phoneticPr fontId="3" type="noConversion"/>
  </si>
  <si>
    <t>08120090</t>
  </si>
  <si>
    <t>08120100</t>
  </si>
  <si>
    <t>08120110</t>
  </si>
  <si>
    <t>08120120</t>
    <phoneticPr fontId="3" type="noConversion"/>
  </si>
  <si>
    <r>
      <rPr>
        <b/>
        <u/>
        <sz val="14"/>
        <color rgb="FFFF0000"/>
        <rFont val="標楷體"/>
        <family val="4"/>
        <charset val="136"/>
      </rPr>
      <t>一般行政人員</t>
    </r>
    <r>
      <rPr>
        <b/>
        <u/>
        <sz val="14"/>
        <color rgb="FFFF0000"/>
        <rFont val="Times New Roman"/>
        <family val="1"/>
      </rPr>
      <t>(</t>
    </r>
    <r>
      <rPr>
        <b/>
        <u/>
        <sz val="14"/>
        <color rgb="FFFF0000"/>
        <rFont val="標楷體"/>
        <family val="4"/>
        <charset val="136"/>
      </rPr>
      <t>文書</t>
    </r>
    <r>
      <rPr>
        <b/>
        <u/>
        <sz val="14"/>
        <color rgb="FFFF0000"/>
        <rFont val="Times New Roman"/>
        <family val="1"/>
      </rPr>
      <t>/</t>
    </r>
    <r>
      <rPr>
        <b/>
        <u/>
        <sz val="14"/>
        <color rgb="FFFF0000"/>
        <rFont val="標楷體"/>
        <family val="4"/>
        <charset val="136"/>
      </rPr>
      <t>採購</t>
    </r>
    <r>
      <rPr>
        <b/>
        <u/>
        <sz val="14"/>
        <color rgb="FFFF0000"/>
        <rFont val="Times New Roman"/>
        <family val="1"/>
      </rPr>
      <t>)</t>
    </r>
  </si>
  <si>
    <r>
      <rPr>
        <sz val="14"/>
        <color theme="1"/>
        <rFont val="標楷體"/>
        <family val="4"/>
        <charset val="136"/>
      </rPr>
      <t>傢俱製造業亦有一般行政人員之工作，建議新增並比照一般內勤人員，職業等級為</t>
    </r>
    <r>
      <rPr>
        <sz val="14"/>
        <color theme="1"/>
        <rFont val="Times New Roman"/>
        <family val="1"/>
      </rPr>
      <t>1</t>
    </r>
    <r>
      <rPr>
        <sz val="14"/>
        <color theme="1"/>
        <rFont val="標楷體"/>
        <family val="4"/>
        <charset val="136"/>
      </rPr>
      <t>級。</t>
    </r>
    <phoneticPr fontId="3" type="noConversion"/>
  </si>
  <si>
    <t>08120130</t>
    <phoneticPr fontId="3" type="noConversion"/>
  </si>
  <si>
    <r>
      <rPr>
        <sz val="14"/>
        <color theme="1"/>
        <rFont val="標楷體"/>
        <family val="4"/>
        <charset val="136"/>
      </rPr>
      <t>傢俱製造業亦有一般外勤洽談業務之工作，建議新增並比照一般外勤人員，職業等級為</t>
    </r>
    <r>
      <rPr>
        <sz val="14"/>
        <color theme="1"/>
        <rFont val="Times New Roman"/>
        <family val="1"/>
      </rPr>
      <t>2</t>
    </r>
    <r>
      <rPr>
        <sz val="14"/>
        <color theme="1"/>
        <rFont val="標楷體"/>
        <family val="4"/>
        <charset val="136"/>
      </rPr>
      <t>級。</t>
    </r>
    <phoneticPr fontId="3" type="noConversion"/>
  </si>
  <si>
    <r>
      <t xml:space="preserve">0813 </t>
    </r>
    <r>
      <rPr>
        <sz val="14"/>
        <rFont val="標楷體"/>
        <family val="4"/>
        <charset val="136"/>
      </rPr>
      <t>手工藝品業</t>
    </r>
    <phoneticPr fontId="3" type="noConversion"/>
  </si>
  <si>
    <t>08130010</t>
    <phoneticPr fontId="3" type="noConversion"/>
  </si>
  <si>
    <r>
      <rPr>
        <b/>
        <sz val="14"/>
        <color theme="1"/>
        <rFont val="標楷體"/>
        <family val="4"/>
        <charset val="136"/>
      </rPr>
      <t>竹木製手工藝品之加工</t>
    </r>
    <r>
      <rPr>
        <b/>
        <u/>
        <sz val="14"/>
        <color rgb="FFFF0000"/>
        <rFont val="標楷體"/>
        <family val="4"/>
        <charset val="136"/>
      </rPr>
      <t>人員</t>
    </r>
    <phoneticPr fontId="5" type="noConversion"/>
  </si>
  <si>
    <t>08130020</t>
    <phoneticPr fontId="3" type="noConversion"/>
  </si>
  <si>
    <t>08130030</t>
    <phoneticPr fontId="3" type="noConversion"/>
  </si>
  <si>
    <r>
      <rPr>
        <b/>
        <sz val="14"/>
        <color theme="1"/>
        <rFont val="標楷體"/>
        <family val="4"/>
        <charset val="136"/>
      </rPr>
      <t>金屬手工藝品之加工</t>
    </r>
    <r>
      <rPr>
        <b/>
        <u/>
        <sz val="14"/>
        <color rgb="FFFF0000"/>
        <rFont val="標楷體"/>
        <family val="4"/>
        <charset val="136"/>
      </rPr>
      <t>人員</t>
    </r>
    <phoneticPr fontId="5" type="noConversion"/>
  </si>
  <si>
    <t>08130040</t>
  </si>
  <si>
    <t>08130050</t>
  </si>
  <si>
    <r>
      <rPr>
        <b/>
        <sz val="14"/>
        <color theme="1"/>
        <rFont val="標楷體"/>
        <family val="4"/>
        <charset val="136"/>
      </rPr>
      <t>布類紙品工藝品之加工</t>
    </r>
    <r>
      <rPr>
        <b/>
        <u/>
        <sz val="14"/>
        <color rgb="FFFF0000"/>
        <rFont val="標楷體"/>
        <family val="4"/>
        <charset val="136"/>
      </rPr>
      <t>人員</t>
    </r>
    <phoneticPr fontId="5" type="noConversion"/>
  </si>
  <si>
    <t>08130060</t>
  </si>
  <si>
    <r>
      <rPr>
        <b/>
        <sz val="14"/>
        <rFont val="標楷體"/>
        <family val="4"/>
        <charset val="136"/>
      </rPr>
      <t>礦石手工藝品加工人員</t>
    </r>
    <r>
      <rPr>
        <b/>
        <u/>
        <sz val="14"/>
        <color rgb="FFFF0000"/>
        <rFont val="標楷體"/>
        <family val="4"/>
        <charset val="136"/>
      </rPr>
      <t>、玻璃手工藝品製造人員</t>
    </r>
    <phoneticPr fontId="3" type="noConversion"/>
  </si>
  <si>
    <r>
      <rPr>
        <sz val="14"/>
        <color theme="1"/>
        <rFont val="標楷體"/>
        <family val="4"/>
        <charset val="136"/>
      </rPr>
      <t>增列類似之工作性質。</t>
    </r>
  </si>
  <si>
    <t>08130070</t>
  </si>
  <si>
    <r>
      <rPr>
        <b/>
        <sz val="14"/>
        <color theme="1"/>
        <rFont val="標楷體"/>
        <family val="4"/>
        <charset val="136"/>
      </rPr>
      <t>珠寶加工</t>
    </r>
    <r>
      <rPr>
        <b/>
        <u/>
        <sz val="14"/>
        <color rgb="FFFF0000"/>
        <rFont val="標楷體"/>
        <family val="4"/>
        <charset val="136"/>
      </rPr>
      <t>人員</t>
    </r>
    <phoneticPr fontId="5" type="noConversion"/>
  </si>
  <si>
    <t>08130080</t>
  </si>
  <si>
    <r>
      <rPr>
        <b/>
        <sz val="14"/>
        <rFont val="標楷體"/>
        <family val="4"/>
        <charset val="136"/>
      </rPr>
      <t>皮革手工藝品加工</t>
    </r>
    <r>
      <rPr>
        <b/>
        <u/>
        <sz val="14"/>
        <color rgb="FFFF0000"/>
        <rFont val="標楷體"/>
        <family val="4"/>
        <charset val="136"/>
      </rPr>
      <t>人員</t>
    </r>
    <phoneticPr fontId="3" type="noConversion"/>
  </si>
  <si>
    <t>08130090</t>
  </si>
  <si>
    <r>
      <t xml:space="preserve">0814 </t>
    </r>
    <r>
      <rPr>
        <sz val="14"/>
        <rFont val="標楷體"/>
        <family val="4"/>
        <charset val="136"/>
      </rPr>
      <t>電線電纜業</t>
    </r>
    <phoneticPr fontId="3" type="noConversion"/>
  </si>
  <si>
    <t>08140010</t>
    <phoneticPr fontId="3" type="noConversion"/>
  </si>
  <si>
    <r>
      <rPr>
        <b/>
        <u/>
        <sz val="14"/>
        <color rgb="FFFF0000"/>
        <rFont val="標楷體"/>
        <family val="4"/>
        <charset val="136"/>
      </rPr>
      <t>電線電纜業</t>
    </r>
    <r>
      <rPr>
        <b/>
        <sz val="14"/>
        <rFont val="標楷體"/>
        <family val="4"/>
        <charset val="136"/>
      </rPr>
      <t>技師</t>
    </r>
    <phoneticPr fontId="3" type="noConversion"/>
  </si>
  <si>
    <t>08140020</t>
    <phoneticPr fontId="3" type="noConversion"/>
  </si>
  <si>
    <r>
      <rPr>
        <b/>
        <u/>
        <sz val="14"/>
        <color rgb="FFFF0000"/>
        <rFont val="標楷體"/>
        <family val="4"/>
        <charset val="136"/>
      </rPr>
      <t>電線電纜業工人</t>
    </r>
    <phoneticPr fontId="3" type="noConversion"/>
  </si>
  <si>
    <r>
      <t xml:space="preserve">0815 </t>
    </r>
    <r>
      <rPr>
        <sz val="14"/>
        <rFont val="標楷體"/>
        <family val="4"/>
        <charset val="136"/>
      </rPr>
      <t>食品飲料製造業</t>
    </r>
    <phoneticPr fontId="3" type="noConversion"/>
  </si>
  <si>
    <t>08150010</t>
    <phoneticPr fontId="3" type="noConversion"/>
  </si>
  <si>
    <t>08150020</t>
    <phoneticPr fontId="3" type="noConversion"/>
  </si>
  <si>
    <r>
      <rPr>
        <b/>
        <u/>
        <sz val="14"/>
        <color rgb="FFFF0000"/>
        <rFont val="標楷體"/>
        <family val="4"/>
        <charset val="136"/>
      </rPr>
      <t>食品及飲料製造業</t>
    </r>
    <r>
      <rPr>
        <b/>
        <sz val="14"/>
        <rFont val="標楷體"/>
        <family val="4"/>
        <charset val="136"/>
      </rPr>
      <t>技師</t>
    </r>
    <phoneticPr fontId="5" type="noConversion"/>
  </si>
  <si>
    <t>08150030</t>
    <phoneticPr fontId="3" type="noConversion"/>
  </si>
  <si>
    <t>3</t>
    <phoneticPr fontId="5" type="noConversion"/>
  </si>
  <si>
    <t>08150040</t>
  </si>
  <si>
    <t>08150050</t>
  </si>
  <si>
    <t>08150060</t>
  </si>
  <si>
    <r>
      <rPr>
        <b/>
        <sz val="14"/>
        <color theme="1"/>
        <rFont val="標楷體"/>
        <family val="4"/>
        <charset val="136"/>
      </rPr>
      <t>製麵</t>
    </r>
    <r>
      <rPr>
        <b/>
        <u/>
        <sz val="14"/>
        <color rgb="FFFF0000"/>
        <rFont val="標楷體"/>
        <family val="4"/>
        <charset val="136"/>
      </rPr>
      <t>人員</t>
    </r>
    <phoneticPr fontId="5" type="noConversion"/>
  </si>
  <si>
    <t>08150070</t>
  </si>
  <si>
    <r>
      <rPr>
        <b/>
        <u/>
        <sz val="14"/>
        <color rgb="FFFF0000"/>
        <rFont val="標楷體"/>
        <family val="4"/>
        <charset val="136"/>
      </rPr>
      <t>食品飲料製造業</t>
    </r>
    <r>
      <rPr>
        <b/>
        <sz val="14"/>
        <rFont val="標楷體"/>
        <family val="4"/>
        <charset val="136"/>
      </rPr>
      <t>品管人員</t>
    </r>
    <phoneticPr fontId="3" type="noConversion"/>
  </si>
  <si>
    <t>08150080</t>
  </si>
  <si>
    <r>
      <rPr>
        <b/>
        <sz val="14"/>
        <color theme="1"/>
        <rFont val="標楷體"/>
        <family val="4"/>
        <charset val="136"/>
      </rPr>
      <t>食品加工</t>
    </r>
    <r>
      <rPr>
        <b/>
        <u/>
        <sz val="14"/>
        <color rgb="FFFF0000"/>
        <rFont val="標楷體"/>
        <family val="4"/>
        <charset val="136"/>
      </rPr>
      <t>人員</t>
    </r>
    <phoneticPr fontId="5" type="noConversion"/>
  </si>
  <si>
    <t>08150090</t>
  </si>
  <si>
    <r>
      <rPr>
        <b/>
        <sz val="14"/>
        <color theme="1"/>
        <rFont val="標楷體"/>
        <family val="4"/>
        <charset val="136"/>
      </rPr>
      <t>包裝</t>
    </r>
    <r>
      <rPr>
        <b/>
        <u/>
        <sz val="14"/>
        <color rgb="FFFF0000"/>
        <rFont val="標楷體"/>
        <family val="4"/>
        <charset val="136"/>
      </rPr>
      <t>人員</t>
    </r>
  </si>
  <si>
    <t>08150100</t>
  </si>
  <si>
    <t>08150110</t>
  </si>
  <si>
    <t>08150120</t>
    <phoneticPr fontId="5" type="noConversion"/>
  </si>
  <si>
    <t>08150130</t>
    <phoneticPr fontId="5" type="noConversion"/>
  </si>
  <si>
    <t>08150140</t>
    <phoneticPr fontId="5" type="noConversion"/>
  </si>
  <si>
    <t>08150150</t>
    <phoneticPr fontId="3" type="noConversion"/>
  </si>
  <si>
    <r>
      <rPr>
        <sz val="14"/>
        <color theme="1"/>
        <rFont val="標楷體"/>
        <family val="4"/>
        <charset val="136"/>
      </rPr>
      <t>食品飲料製造業亦有一般行政人員之工作，建議新增並比照一般內勤人員，職業等級為</t>
    </r>
    <r>
      <rPr>
        <sz val="14"/>
        <color theme="1"/>
        <rFont val="Times New Roman"/>
        <family val="1"/>
      </rPr>
      <t>1</t>
    </r>
    <r>
      <rPr>
        <sz val="14"/>
        <color theme="1"/>
        <rFont val="標楷體"/>
        <family val="4"/>
        <charset val="136"/>
      </rPr>
      <t>。</t>
    </r>
    <phoneticPr fontId="3" type="noConversion"/>
  </si>
  <si>
    <t>08150160</t>
    <phoneticPr fontId="3" type="noConversion"/>
  </si>
  <si>
    <r>
      <rPr>
        <b/>
        <u/>
        <sz val="14"/>
        <color rgb="FFFF0000"/>
        <rFont val="標楷體"/>
        <family val="4"/>
        <charset val="136"/>
      </rPr>
      <t>一般外勤人員</t>
    </r>
    <r>
      <rPr>
        <b/>
        <u/>
        <sz val="14"/>
        <color rgb="FFFF0000"/>
        <rFont val="Times New Roman"/>
        <family val="1"/>
      </rPr>
      <t>(</t>
    </r>
    <r>
      <rPr>
        <b/>
        <u/>
        <sz val="14"/>
        <color rgb="FFFF0000"/>
        <rFont val="標楷體"/>
        <family val="4"/>
        <charset val="136"/>
      </rPr>
      <t>業務</t>
    </r>
    <r>
      <rPr>
        <b/>
        <u/>
        <sz val="14"/>
        <color rgb="FFFF0000"/>
        <rFont val="Times New Roman"/>
        <family val="1"/>
      </rPr>
      <t>/</t>
    </r>
    <r>
      <rPr>
        <b/>
        <u/>
        <sz val="14"/>
        <color rgb="FFFF0000"/>
        <rFont val="標楷體"/>
        <family val="4"/>
        <charset val="136"/>
      </rPr>
      <t>採購</t>
    </r>
    <r>
      <rPr>
        <b/>
        <u/>
        <sz val="14"/>
        <color rgb="FFFF0000"/>
        <rFont val="Times New Roman"/>
        <family val="1"/>
      </rPr>
      <t>)</t>
    </r>
  </si>
  <si>
    <r>
      <rPr>
        <sz val="14"/>
        <color theme="1"/>
        <rFont val="標楷體"/>
        <family val="4"/>
        <charset val="136"/>
      </rPr>
      <t>食品飲料製造業亦有一般外勤洽談業務之工作，建議新增並比照一般外勤人員，職業等級為</t>
    </r>
    <r>
      <rPr>
        <sz val="14"/>
        <color theme="1"/>
        <rFont val="Times New Roman"/>
        <family val="1"/>
      </rPr>
      <t>2</t>
    </r>
    <r>
      <rPr>
        <sz val="14"/>
        <color theme="1"/>
        <rFont val="標楷體"/>
        <family val="4"/>
        <charset val="136"/>
      </rPr>
      <t>。</t>
    </r>
    <phoneticPr fontId="3" type="noConversion"/>
  </si>
  <si>
    <t>08150170</t>
    <phoneticPr fontId="3" type="noConversion"/>
  </si>
  <si>
    <r>
      <rPr>
        <b/>
        <u/>
        <sz val="14"/>
        <color rgb="FFFF0000"/>
        <rFont val="標楷體"/>
        <family val="4"/>
        <charset val="136"/>
      </rPr>
      <t>食品檢驗人員</t>
    </r>
    <phoneticPr fontId="3" type="noConversion"/>
  </si>
  <si>
    <r>
      <rPr>
        <sz val="14"/>
        <color theme="1"/>
        <rFont val="標楷體"/>
        <family val="4"/>
        <charset val="136"/>
      </rPr>
      <t>食品檢驗人員工作內容為原物料、成品檢驗等相關作業，爰建議增列且危險等級建議為</t>
    </r>
    <r>
      <rPr>
        <sz val="14"/>
        <color theme="1"/>
        <rFont val="Times New Roman"/>
        <family val="1"/>
      </rPr>
      <t>1</t>
    </r>
    <r>
      <rPr>
        <sz val="14"/>
        <color theme="1"/>
        <rFont val="標楷體"/>
        <family val="4"/>
        <charset val="136"/>
      </rPr>
      <t>。</t>
    </r>
    <phoneticPr fontId="3" type="noConversion"/>
  </si>
  <si>
    <r>
      <t xml:space="preserve">0816 </t>
    </r>
    <r>
      <rPr>
        <sz val="14"/>
        <rFont val="標楷體"/>
        <family val="4"/>
        <charset val="136"/>
      </rPr>
      <t>家電製造業</t>
    </r>
    <phoneticPr fontId="3" type="noConversion"/>
  </si>
  <si>
    <t>08160010</t>
    <phoneticPr fontId="3" type="noConversion"/>
  </si>
  <si>
    <r>
      <rPr>
        <b/>
        <u/>
        <sz val="14"/>
        <color rgb="FFFF0000"/>
        <rFont val="標楷體"/>
        <family val="4"/>
        <charset val="136"/>
      </rPr>
      <t>家電製造業</t>
    </r>
    <r>
      <rPr>
        <b/>
        <sz val="14"/>
        <rFont val="標楷體"/>
        <family val="4"/>
        <charset val="136"/>
      </rPr>
      <t>技師</t>
    </r>
    <phoneticPr fontId="5" type="noConversion"/>
  </si>
  <si>
    <t>08160020</t>
    <phoneticPr fontId="3" type="noConversion"/>
  </si>
  <si>
    <t>08160030</t>
    <phoneticPr fontId="3" type="noConversion"/>
  </si>
  <si>
    <t>08160040</t>
  </si>
  <si>
    <r>
      <rPr>
        <b/>
        <sz val="14"/>
        <color theme="1"/>
        <rFont val="標楷體"/>
        <family val="4"/>
        <charset val="136"/>
      </rPr>
      <t>包裝</t>
    </r>
    <r>
      <rPr>
        <b/>
        <u/>
        <sz val="14"/>
        <color rgb="FFFF0000"/>
        <rFont val="標楷體"/>
        <family val="4"/>
        <charset val="136"/>
      </rPr>
      <t>人員</t>
    </r>
    <phoneticPr fontId="3" type="noConversion"/>
  </si>
  <si>
    <t>08160050</t>
  </si>
  <si>
    <t>08160060</t>
  </si>
  <si>
    <t>08160070</t>
  </si>
  <si>
    <t>08160080</t>
  </si>
  <si>
    <t>08160081</t>
    <phoneticPr fontId="3" type="noConversion"/>
  </si>
  <si>
    <r>
      <rPr>
        <b/>
        <u/>
        <sz val="14"/>
        <color rgb="FFFF0000"/>
        <rFont val="標楷體"/>
        <family val="4"/>
        <charset val="136"/>
      </rPr>
      <t>銑床工</t>
    </r>
    <r>
      <rPr>
        <b/>
        <u/>
        <sz val="14"/>
        <color rgb="FFFF0000"/>
        <rFont val="Times New Roman"/>
        <family val="1"/>
      </rPr>
      <t>(</t>
    </r>
    <r>
      <rPr>
        <b/>
        <u/>
        <sz val="14"/>
        <color rgb="FFFF0000"/>
        <rFont val="標楷體"/>
        <family val="4"/>
        <charset val="136"/>
      </rPr>
      <t>全自動</t>
    </r>
    <r>
      <rPr>
        <b/>
        <u/>
        <sz val="14"/>
        <color rgb="FFFF0000"/>
        <rFont val="Times New Roman"/>
        <family val="1"/>
      </rPr>
      <t>)</t>
    </r>
    <phoneticPr fontId="5" type="noConversion"/>
  </si>
  <si>
    <r>
      <rPr>
        <sz val="14"/>
        <color theme="1"/>
        <rFont val="標楷體"/>
        <family val="4"/>
        <charset val="136"/>
      </rPr>
      <t>因應現行實務新增，銑床工</t>
    </r>
    <r>
      <rPr>
        <sz val="14"/>
        <color theme="1"/>
        <rFont val="Times New Roman"/>
        <family val="1"/>
      </rPr>
      <t>(</t>
    </r>
    <r>
      <rPr>
        <sz val="14"/>
        <color theme="1"/>
        <rFont val="標楷體"/>
        <family val="4"/>
        <charset val="136"/>
      </rPr>
      <t>全自動</t>
    </r>
    <r>
      <rPr>
        <sz val="14"/>
        <color theme="1"/>
        <rFont val="Times New Roman"/>
        <family val="1"/>
      </rPr>
      <t>)</t>
    </r>
    <r>
      <rPr>
        <sz val="14"/>
        <color theme="1"/>
        <rFont val="標楷體"/>
        <family val="4"/>
        <charset val="136"/>
      </rPr>
      <t>危險程度相較一般</t>
    </r>
    <r>
      <rPr>
        <sz val="14"/>
        <color theme="1"/>
        <rFont val="Times New Roman"/>
        <family val="1"/>
      </rPr>
      <t>"08160080"</t>
    </r>
    <r>
      <rPr>
        <sz val="14"/>
        <color theme="1"/>
        <rFont val="標楷體"/>
        <family val="4"/>
        <charset val="136"/>
      </rPr>
      <t>銑床工低，爰建議職業等為</t>
    </r>
    <r>
      <rPr>
        <sz val="14"/>
        <color theme="1"/>
        <rFont val="Times New Roman"/>
        <family val="1"/>
      </rPr>
      <t>4</t>
    </r>
    <r>
      <rPr>
        <sz val="14"/>
        <color theme="1"/>
        <rFont val="標楷體"/>
        <family val="4"/>
        <charset val="136"/>
      </rPr>
      <t>。</t>
    </r>
    <phoneticPr fontId="3" type="noConversion"/>
  </si>
  <si>
    <t>08160090</t>
  </si>
  <si>
    <t>08160100</t>
  </si>
  <si>
    <t>08160110</t>
  </si>
  <si>
    <t>08160120</t>
  </si>
  <si>
    <r>
      <rPr>
        <b/>
        <u/>
        <sz val="14"/>
        <color rgb="FFFF0000"/>
        <rFont val="標楷體"/>
        <family val="4"/>
        <charset val="136"/>
      </rPr>
      <t>家電製造業</t>
    </r>
    <r>
      <rPr>
        <b/>
        <sz val="14"/>
        <rFont val="標楷體"/>
        <family val="4"/>
        <charset val="136"/>
      </rPr>
      <t>品管人員</t>
    </r>
    <phoneticPr fontId="3" type="noConversion"/>
  </si>
  <si>
    <t>08160130</t>
  </si>
  <si>
    <t>08160140</t>
    <phoneticPr fontId="3" type="noConversion"/>
  </si>
  <si>
    <r>
      <rPr>
        <sz val="14"/>
        <color theme="1"/>
        <rFont val="標楷體"/>
        <family val="4"/>
        <charset val="136"/>
      </rPr>
      <t>家電製造業亦有一般行政人員之工作，建議新增並比照一般內勤人員，職業等級為</t>
    </r>
    <r>
      <rPr>
        <sz val="14"/>
        <color theme="1"/>
        <rFont val="Times New Roman"/>
        <family val="1"/>
      </rPr>
      <t>1</t>
    </r>
    <r>
      <rPr>
        <sz val="14"/>
        <color theme="1"/>
        <rFont val="標楷體"/>
        <family val="4"/>
        <charset val="136"/>
      </rPr>
      <t>。</t>
    </r>
    <phoneticPr fontId="3" type="noConversion"/>
  </si>
  <si>
    <t>08160150</t>
    <phoneticPr fontId="3" type="noConversion"/>
  </si>
  <si>
    <r>
      <rPr>
        <sz val="14"/>
        <color theme="1"/>
        <rFont val="標楷體"/>
        <family val="4"/>
        <charset val="136"/>
      </rPr>
      <t>家電製造業亦有一般外勤洽談業務之工作，建議新增並比照一般外勤人員，職業等級為</t>
    </r>
    <r>
      <rPr>
        <sz val="14"/>
        <color theme="1"/>
        <rFont val="Times New Roman"/>
        <family val="1"/>
      </rPr>
      <t>2</t>
    </r>
    <r>
      <rPr>
        <sz val="14"/>
        <color theme="1"/>
        <rFont val="標楷體"/>
        <family val="4"/>
        <charset val="136"/>
      </rPr>
      <t>。</t>
    </r>
    <phoneticPr fontId="3" type="noConversion"/>
  </si>
  <si>
    <r>
      <t xml:space="preserve">0817 </t>
    </r>
    <r>
      <rPr>
        <sz val="14"/>
        <rFont val="標楷體"/>
        <family val="4"/>
        <charset val="136"/>
      </rPr>
      <t>玻璃及琉璃製造業</t>
    </r>
    <phoneticPr fontId="3" type="noConversion"/>
  </si>
  <si>
    <t>08170010</t>
    <phoneticPr fontId="3" type="noConversion"/>
  </si>
  <si>
    <r>
      <rPr>
        <b/>
        <u/>
        <sz val="14"/>
        <color rgb="FFFF0000"/>
        <rFont val="標楷體"/>
        <family val="4"/>
        <charset val="136"/>
      </rPr>
      <t>玻璃及琉璃製造業</t>
    </r>
    <r>
      <rPr>
        <b/>
        <sz val="14"/>
        <rFont val="標楷體"/>
        <family val="4"/>
        <charset val="136"/>
      </rPr>
      <t>品管人員</t>
    </r>
    <r>
      <rPr>
        <b/>
        <sz val="14"/>
        <rFont val="Times New Roman"/>
        <family val="1"/>
      </rPr>
      <t xml:space="preserve"> </t>
    </r>
    <r>
      <rPr>
        <b/>
        <sz val="14"/>
        <rFont val="標楷體"/>
        <family val="4"/>
        <charset val="136"/>
      </rPr>
      <t>、工安人員</t>
    </r>
    <r>
      <rPr>
        <b/>
        <u/>
        <sz val="14"/>
        <color rgb="FFFF0000"/>
        <rFont val="Times New Roman"/>
        <family val="1"/>
      </rPr>
      <t xml:space="preserve">     </t>
    </r>
    <r>
      <rPr>
        <b/>
        <sz val="14"/>
        <rFont val="Times New Roman"/>
        <family val="1"/>
      </rPr>
      <t xml:space="preserve">              </t>
    </r>
    <phoneticPr fontId="3" type="noConversion"/>
  </si>
  <si>
    <t>08170020</t>
    <phoneticPr fontId="3" type="noConversion"/>
  </si>
  <si>
    <r>
      <rPr>
        <b/>
        <u/>
        <sz val="14"/>
        <color rgb="FFFF0000"/>
        <rFont val="標楷體"/>
        <family val="4"/>
        <charset val="136"/>
      </rPr>
      <t>玻璃及琉璃製造業</t>
    </r>
    <r>
      <rPr>
        <b/>
        <sz val="14"/>
        <rFont val="標楷體"/>
        <family val="4"/>
        <charset val="136"/>
      </rPr>
      <t>技師</t>
    </r>
    <r>
      <rPr>
        <b/>
        <u/>
        <sz val="14"/>
        <color rgb="FFFF0000"/>
        <rFont val="Times New Roman"/>
        <family val="1"/>
      </rPr>
      <t xml:space="preserve">        </t>
    </r>
    <r>
      <rPr>
        <b/>
        <sz val="14"/>
        <rFont val="Times New Roman"/>
        <family val="1"/>
      </rPr>
      <t xml:space="preserve">                         </t>
    </r>
    <phoneticPr fontId="3" type="noConversion"/>
  </si>
  <si>
    <t>08170030</t>
    <phoneticPr fontId="3" type="noConversion"/>
  </si>
  <si>
    <t>08170040</t>
    <phoneticPr fontId="5" type="noConversion"/>
  </si>
  <si>
    <t>08170050</t>
    <phoneticPr fontId="3" type="noConversion"/>
  </si>
  <si>
    <r>
      <rPr>
        <b/>
        <u/>
        <sz val="14"/>
        <color rgb="FFFF0000"/>
        <rFont val="標楷體"/>
        <family val="4"/>
        <charset val="136"/>
      </rPr>
      <t>眼鏡鏡片染色人員</t>
    </r>
    <phoneticPr fontId="5" type="noConversion"/>
  </si>
  <si>
    <r>
      <rPr>
        <sz val="14"/>
        <color theme="1"/>
        <rFont val="標楷體"/>
        <family val="4"/>
        <charset val="136"/>
      </rPr>
      <t>因應現行實務新增，現行鏡片染色有人工使用加熱染爐</t>
    </r>
    <r>
      <rPr>
        <sz val="14"/>
        <color theme="1"/>
        <rFont val="Times New Roman"/>
        <family val="1"/>
      </rPr>
      <t>(</t>
    </r>
    <r>
      <rPr>
        <sz val="14"/>
        <color theme="1"/>
        <rFont val="標楷體"/>
        <family val="4"/>
        <charset val="136"/>
      </rPr>
      <t>通常眼鏡行技師即可操作</t>
    </r>
    <r>
      <rPr>
        <sz val="14"/>
        <color theme="1"/>
        <rFont val="Times New Roman"/>
        <family val="1"/>
      </rPr>
      <t>)</t>
    </r>
    <r>
      <rPr>
        <sz val="14"/>
        <color theme="1"/>
        <rFont val="標楷體"/>
        <family val="4"/>
        <charset val="136"/>
      </rPr>
      <t>或操作機器電鍍之方式，危險程度應較</t>
    </r>
    <r>
      <rPr>
        <sz val="14"/>
        <color theme="1"/>
        <rFont val="Times New Roman"/>
        <family val="1"/>
      </rPr>
      <t>"08170040"</t>
    </r>
    <r>
      <rPr>
        <sz val="14"/>
        <color theme="1"/>
        <rFont val="標楷體"/>
        <family val="4"/>
        <charset val="136"/>
      </rPr>
      <t>玻璃琉璃製造低，建議職業為</t>
    </r>
    <r>
      <rPr>
        <sz val="14"/>
        <color theme="1"/>
        <rFont val="Times New Roman"/>
        <family val="1"/>
      </rPr>
      <t>2</t>
    </r>
    <r>
      <rPr>
        <sz val="14"/>
        <color theme="1"/>
        <rFont val="標楷體"/>
        <family val="4"/>
        <charset val="136"/>
      </rPr>
      <t>。</t>
    </r>
    <phoneticPr fontId="3" type="noConversion"/>
  </si>
  <si>
    <r>
      <t xml:space="preserve">0818 </t>
    </r>
    <r>
      <rPr>
        <sz val="14"/>
        <rFont val="標楷體"/>
        <family val="4"/>
        <charset val="136"/>
      </rPr>
      <t>皮革製品製造業</t>
    </r>
    <phoneticPr fontId="3" type="noConversion"/>
  </si>
  <si>
    <t>08180010</t>
    <phoneticPr fontId="3" type="noConversion"/>
  </si>
  <si>
    <r>
      <rPr>
        <b/>
        <u/>
        <sz val="14"/>
        <color rgb="FFFF0000"/>
        <rFont val="標楷體"/>
        <family val="4"/>
        <charset val="136"/>
      </rPr>
      <t>皮革製品製造業</t>
    </r>
    <r>
      <rPr>
        <b/>
        <sz val="14"/>
        <rFont val="標楷體"/>
        <family val="4"/>
        <charset val="136"/>
      </rPr>
      <t>技師、品管人員</t>
    </r>
    <r>
      <rPr>
        <b/>
        <u/>
        <sz val="14"/>
        <color rgb="FFFF0000"/>
        <rFont val="Times New Roman"/>
        <family val="1"/>
      </rPr>
      <t xml:space="preserve">    </t>
    </r>
    <r>
      <rPr>
        <b/>
        <sz val="14"/>
        <rFont val="Times New Roman"/>
        <family val="1"/>
      </rPr>
      <t xml:space="preserve">                  </t>
    </r>
    <phoneticPr fontId="3" type="noConversion"/>
  </si>
  <si>
    <t>08180020</t>
    <phoneticPr fontId="3" type="noConversion"/>
  </si>
  <si>
    <r>
      <rPr>
        <b/>
        <u/>
        <sz val="14"/>
        <color rgb="FFFF0000"/>
        <rFont val="標楷體"/>
        <family val="4"/>
        <charset val="136"/>
      </rPr>
      <t>皮革製品製造業</t>
    </r>
    <r>
      <rPr>
        <b/>
        <sz val="14"/>
        <rFont val="標楷體"/>
        <family val="4"/>
        <charset val="136"/>
      </rPr>
      <t>製造工人</t>
    </r>
    <phoneticPr fontId="5" type="noConversion"/>
  </si>
  <si>
    <r>
      <t xml:space="preserve">0819 </t>
    </r>
    <r>
      <rPr>
        <sz val="14"/>
        <rFont val="標楷體"/>
        <family val="4"/>
        <charset val="136"/>
      </rPr>
      <t>其他製造業</t>
    </r>
    <phoneticPr fontId="3" type="noConversion"/>
  </si>
  <si>
    <t>08190010</t>
    <phoneticPr fontId="3" type="noConversion"/>
  </si>
  <si>
    <t>08190011</t>
    <phoneticPr fontId="5" type="noConversion"/>
  </si>
  <si>
    <t>08190020</t>
    <phoneticPr fontId="3" type="noConversion"/>
  </si>
  <si>
    <t>08190030</t>
    <phoneticPr fontId="3" type="noConversion"/>
  </si>
  <si>
    <t>08190040</t>
  </si>
  <si>
    <t>08190050</t>
  </si>
  <si>
    <t>08190060</t>
  </si>
  <si>
    <t>08190070</t>
  </si>
  <si>
    <r>
      <rPr>
        <b/>
        <sz val="14"/>
        <rFont val="標楷體"/>
        <family val="4"/>
        <charset val="136"/>
      </rPr>
      <t>木雕</t>
    </r>
    <r>
      <rPr>
        <b/>
        <u/>
        <sz val="14"/>
        <color rgb="FFFF0000"/>
        <rFont val="標楷體"/>
        <family val="4"/>
        <charset val="136"/>
      </rPr>
      <t>師</t>
    </r>
  </si>
  <si>
    <r>
      <rPr>
        <sz val="14"/>
        <color theme="1"/>
        <rFont val="標楷體"/>
        <family val="4"/>
        <charset val="136"/>
      </rPr>
      <t>因應該職業屬性並配合一般大眾對該工作性質之稱謂，擬以「師」取代人員。</t>
    </r>
    <phoneticPr fontId="3" type="noConversion"/>
  </si>
  <si>
    <t>08190080</t>
  </si>
  <si>
    <t>08190090</t>
  </si>
  <si>
    <t>08190100</t>
    <phoneticPr fontId="3" type="noConversion"/>
  </si>
  <si>
    <t>08190110</t>
    <phoneticPr fontId="3" type="noConversion"/>
  </si>
  <si>
    <r>
      <rPr>
        <b/>
        <u/>
        <sz val="14"/>
        <color rgb="FFFF0000"/>
        <rFont val="標楷體"/>
        <family val="4"/>
        <charset val="136"/>
      </rPr>
      <t>各式球類製造</t>
    </r>
    <r>
      <rPr>
        <b/>
        <u/>
        <sz val="14"/>
        <color rgb="FFFF0000"/>
        <rFont val="Times New Roman"/>
        <family val="1"/>
      </rPr>
      <t>(</t>
    </r>
    <r>
      <rPr>
        <b/>
        <u/>
        <sz val="14"/>
        <color rgb="FFFF0000"/>
        <rFont val="標楷體"/>
        <family val="4"/>
        <charset val="136"/>
      </rPr>
      <t>不包含高爾夫球、乒乓球製造</t>
    </r>
    <r>
      <rPr>
        <b/>
        <u/>
        <sz val="14"/>
        <color rgb="FFFF0000"/>
        <rFont val="Times New Roman"/>
        <family val="1"/>
      </rPr>
      <t>)</t>
    </r>
    <phoneticPr fontId="5" type="noConversion"/>
  </si>
  <si>
    <r>
      <rPr>
        <sz val="14"/>
        <color theme="1"/>
        <rFont val="標楷體"/>
        <family val="4"/>
        <charset val="136"/>
      </rPr>
      <t>其他球類製造建議比照</t>
    </r>
    <r>
      <rPr>
        <sz val="14"/>
        <color theme="1"/>
        <rFont val="Times New Roman"/>
        <family val="1"/>
      </rPr>
      <t>"08050130"</t>
    </r>
    <r>
      <rPr>
        <sz val="14"/>
        <color theme="1"/>
        <rFont val="標楷體"/>
        <family val="4"/>
        <charset val="136"/>
      </rPr>
      <t>高爾夫球、乒乓球製造。</t>
    </r>
    <phoneticPr fontId="3" type="noConversion"/>
  </si>
  <si>
    <t>08200010</t>
    <phoneticPr fontId="3" type="noConversion"/>
  </si>
  <si>
    <r>
      <rPr>
        <b/>
        <u/>
        <sz val="14"/>
        <color rgb="FFFF0000"/>
        <rFont val="標楷體"/>
        <family val="4"/>
        <charset val="136"/>
      </rPr>
      <t>製藥廠工作人員</t>
    </r>
    <phoneticPr fontId="3" type="noConversion"/>
  </si>
  <si>
    <r>
      <rPr>
        <sz val="14"/>
        <color theme="1"/>
        <rFont val="標楷體"/>
        <family val="4"/>
        <charset val="136"/>
      </rPr>
      <t>原</t>
    </r>
    <r>
      <rPr>
        <sz val="14"/>
        <color theme="1"/>
        <rFont val="Times New Roman"/>
        <family val="1"/>
      </rPr>
      <t>"08070070"</t>
    </r>
    <r>
      <rPr>
        <sz val="14"/>
        <color theme="1"/>
        <rFont val="標楷體"/>
        <family val="4"/>
        <charset val="136"/>
      </rPr>
      <t>，移列至本生技醫療業。</t>
    </r>
    <phoneticPr fontId="3" type="noConversion"/>
  </si>
  <si>
    <t>08200020</t>
    <phoneticPr fontId="3" type="noConversion"/>
  </si>
  <si>
    <r>
      <rPr>
        <b/>
        <u/>
        <sz val="14"/>
        <color rgb="FFFF0000"/>
        <rFont val="標楷體"/>
        <family val="4"/>
        <charset val="136"/>
      </rPr>
      <t>製藥廠品管員、技師</t>
    </r>
    <phoneticPr fontId="3" type="noConversion"/>
  </si>
  <si>
    <r>
      <rPr>
        <sz val="14"/>
        <color theme="1"/>
        <rFont val="標楷體"/>
        <family val="4"/>
        <charset val="136"/>
      </rPr>
      <t>原</t>
    </r>
    <r>
      <rPr>
        <sz val="14"/>
        <color theme="1"/>
        <rFont val="Times New Roman"/>
        <family val="1"/>
      </rPr>
      <t>"08070080"</t>
    </r>
    <r>
      <rPr>
        <sz val="14"/>
        <color theme="1"/>
        <rFont val="標楷體"/>
        <family val="4"/>
        <charset val="136"/>
      </rPr>
      <t>，移列至本生技醫療業。</t>
    </r>
    <phoneticPr fontId="3" type="noConversion"/>
  </si>
  <si>
    <t>08200030</t>
    <phoneticPr fontId="3" type="noConversion"/>
  </si>
  <si>
    <r>
      <rPr>
        <b/>
        <u/>
        <sz val="14"/>
        <color rgb="FFFF0000"/>
        <rFont val="標楷體"/>
        <family val="4"/>
        <charset val="136"/>
      </rPr>
      <t>實驗室研究人員、研發人員</t>
    </r>
    <phoneticPr fontId="3" type="noConversion"/>
  </si>
  <si>
    <r>
      <rPr>
        <sz val="14"/>
        <color theme="1"/>
        <rFont val="標楷體"/>
        <family val="4"/>
        <charset val="136"/>
      </rPr>
      <t>新增工作性質，建議比照新增之</t>
    </r>
    <r>
      <rPr>
        <sz val="14"/>
        <color theme="1"/>
        <rFont val="Times New Roman"/>
        <family val="1"/>
      </rPr>
      <t>"08200020"</t>
    </r>
    <r>
      <rPr>
        <sz val="14"/>
        <color theme="1"/>
        <rFont val="標楷體"/>
        <family val="4"/>
        <charset val="136"/>
      </rPr>
      <t>製藥廠技師，職業等級為</t>
    </r>
    <r>
      <rPr>
        <sz val="14"/>
        <color theme="1"/>
        <rFont val="Times New Roman"/>
        <family val="1"/>
      </rPr>
      <t>2</t>
    </r>
    <r>
      <rPr>
        <sz val="14"/>
        <color theme="1"/>
        <rFont val="標楷體"/>
        <family val="4"/>
        <charset val="136"/>
      </rPr>
      <t>級。</t>
    </r>
    <phoneticPr fontId="3" type="noConversion"/>
  </si>
  <si>
    <t>08200040</t>
    <phoneticPr fontId="3" type="noConversion"/>
  </si>
  <si>
    <r>
      <rPr>
        <b/>
        <u/>
        <sz val="14"/>
        <color rgb="FFFF0000"/>
        <rFont val="標楷體"/>
        <family val="4"/>
        <charset val="136"/>
      </rPr>
      <t>生產製造人員</t>
    </r>
    <phoneticPr fontId="3" type="noConversion"/>
  </si>
  <si>
    <t>08200050</t>
    <phoneticPr fontId="3" type="noConversion"/>
  </si>
  <si>
    <t>生技醫療業品管人員</t>
    <phoneticPr fontId="5" type="noConversion"/>
  </si>
  <si>
    <r>
      <rPr>
        <sz val="14"/>
        <color theme="1"/>
        <rFont val="標楷體"/>
        <family val="4"/>
        <charset val="136"/>
      </rPr>
      <t>新增工作性質，建議比照</t>
    </r>
    <r>
      <rPr>
        <sz val="14"/>
        <color theme="1"/>
        <rFont val="Times New Roman"/>
        <family val="1"/>
      </rPr>
      <t>"08200020"</t>
    </r>
    <r>
      <rPr>
        <sz val="14"/>
        <color theme="1"/>
        <rFont val="標楷體"/>
        <family val="4"/>
        <charset val="136"/>
      </rPr>
      <t>，職業等級為</t>
    </r>
    <r>
      <rPr>
        <sz val="14"/>
        <color theme="1"/>
        <rFont val="Times New Roman"/>
        <family val="1"/>
      </rPr>
      <t>2</t>
    </r>
    <r>
      <rPr>
        <sz val="14"/>
        <color theme="1"/>
        <rFont val="標楷體"/>
        <family val="4"/>
        <charset val="136"/>
      </rPr>
      <t>級。</t>
    </r>
    <phoneticPr fontId="3" type="noConversion"/>
  </si>
  <si>
    <r>
      <t xml:space="preserve">09      
</t>
    </r>
    <r>
      <rPr>
        <sz val="14"/>
        <rFont val="標楷體"/>
        <family val="4"/>
        <charset val="136"/>
      </rPr>
      <t>新聞
廣告業</t>
    </r>
    <phoneticPr fontId="3" type="noConversion"/>
  </si>
  <si>
    <r>
      <t xml:space="preserve">0901  
</t>
    </r>
    <r>
      <rPr>
        <sz val="14"/>
        <rFont val="標楷體"/>
        <family val="4"/>
        <charset val="136"/>
      </rPr>
      <t>新聞業
雜誌業</t>
    </r>
    <phoneticPr fontId="3" type="noConversion"/>
  </si>
  <si>
    <t>09010010</t>
    <phoneticPr fontId="3" type="noConversion"/>
  </si>
  <si>
    <t>09010020</t>
    <phoneticPr fontId="3" type="noConversion"/>
  </si>
  <si>
    <t>09010030</t>
    <phoneticPr fontId="3" type="noConversion"/>
  </si>
  <si>
    <t>09010040</t>
  </si>
  <si>
    <t>09010050</t>
  </si>
  <si>
    <t>09010060</t>
  </si>
  <si>
    <r>
      <rPr>
        <b/>
        <u/>
        <sz val="14"/>
        <rFont val="標楷體"/>
        <family val="4"/>
        <charset val="136"/>
      </rPr>
      <t>排版、製版</t>
    </r>
    <r>
      <rPr>
        <b/>
        <u/>
        <sz val="14"/>
        <color rgb="FFFF0000"/>
        <rFont val="標楷體"/>
        <family val="4"/>
        <charset val="136"/>
      </rPr>
      <t>人員</t>
    </r>
  </si>
  <si>
    <t>09010061</t>
    <phoneticPr fontId="5" type="noConversion"/>
  </si>
  <si>
    <r>
      <rPr>
        <b/>
        <u/>
        <sz val="14"/>
        <rFont val="標楷體"/>
        <family val="4"/>
        <charset val="136"/>
      </rPr>
      <t>電腦排版</t>
    </r>
    <r>
      <rPr>
        <b/>
        <u/>
        <sz val="14"/>
        <color rgb="FFFF0000"/>
        <rFont val="標楷體"/>
        <family val="4"/>
        <charset val="136"/>
      </rPr>
      <t>人員</t>
    </r>
  </si>
  <si>
    <t>09010070</t>
  </si>
  <si>
    <r>
      <rPr>
        <b/>
        <u/>
        <sz val="14"/>
        <rFont val="標楷體"/>
        <family val="4"/>
        <charset val="136"/>
      </rPr>
      <t>裝訂</t>
    </r>
    <r>
      <rPr>
        <b/>
        <u/>
        <sz val="14"/>
        <color rgb="FFFF0000"/>
        <rFont val="標楷體"/>
        <family val="4"/>
        <charset val="136"/>
      </rPr>
      <t>人員</t>
    </r>
  </si>
  <si>
    <t>09010080</t>
  </si>
  <si>
    <r>
      <rPr>
        <b/>
        <sz val="14"/>
        <rFont val="標楷體"/>
        <family val="4"/>
        <charset val="136"/>
      </rPr>
      <t>印刷</t>
    </r>
    <r>
      <rPr>
        <b/>
        <u/>
        <sz val="14"/>
        <color rgb="FFFF0000"/>
        <rFont val="標楷體"/>
        <family val="4"/>
        <charset val="136"/>
      </rPr>
      <t>機械操作人員</t>
    </r>
    <phoneticPr fontId="3" type="noConversion"/>
  </si>
  <si>
    <r>
      <rPr>
        <sz val="14"/>
        <color theme="1"/>
        <rFont val="標楷體"/>
        <family val="4"/>
        <charset val="136"/>
      </rPr>
      <t>明確描述工作性質，爰建議修正文字。</t>
    </r>
    <phoneticPr fontId="3" type="noConversion"/>
  </si>
  <si>
    <t>09010090</t>
  </si>
  <si>
    <t>09010100</t>
  </si>
  <si>
    <t>09010110</t>
    <phoneticPr fontId="5" type="noConversion"/>
  </si>
  <si>
    <r>
      <t xml:space="preserve">0902  </t>
    </r>
    <r>
      <rPr>
        <sz val="14"/>
        <rFont val="標楷體"/>
        <family val="4"/>
        <charset val="136"/>
      </rPr>
      <t>廣告業</t>
    </r>
    <phoneticPr fontId="3" type="noConversion"/>
  </si>
  <si>
    <t>09020010</t>
    <phoneticPr fontId="3" type="noConversion"/>
  </si>
  <si>
    <t>09020020</t>
    <phoneticPr fontId="3" type="noConversion"/>
  </si>
  <si>
    <t>09020030</t>
    <phoneticPr fontId="3" type="noConversion"/>
  </si>
  <si>
    <t>09020040</t>
    <phoneticPr fontId="3" type="noConversion"/>
  </si>
  <si>
    <t>09020050</t>
    <phoneticPr fontId="3" type="noConversion"/>
  </si>
  <si>
    <t>09020060</t>
    <phoneticPr fontId="5" type="noConversion"/>
  </si>
  <si>
    <t>09020070</t>
    <phoneticPr fontId="5" type="noConversion"/>
  </si>
  <si>
    <t>09020080</t>
    <phoneticPr fontId="5" type="noConversion"/>
  </si>
  <si>
    <t>09020090</t>
    <phoneticPr fontId="3" type="noConversion"/>
  </si>
  <si>
    <r>
      <rPr>
        <b/>
        <u/>
        <sz val="14"/>
        <color rgb="FFFF0000"/>
        <rFont val="標楷體"/>
        <family val="4"/>
        <charset val="136"/>
      </rPr>
      <t>廣告宣傳單發送人員</t>
    </r>
    <phoneticPr fontId="5" type="noConversion"/>
  </si>
  <si>
    <r>
      <rPr>
        <sz val="14"/>
        <color theme="1"/>
        <rFont val="標楷體"/>
        <family val="4"/>
        <charset val="136"/>
      </rPr>
      <t>因應現行廣告業之實務，爰建議增列相關工作性質，並比照一般外勤人員職業等級為</t>
    </r>
    <r>
      <rPr>
        <sz val="14"/>
        <color theme="1"/>
        <rFont val="Times New Roman"/>
        <family val="1"/>
      </rPr>
      <t>2</t>
    </r>
    <r>
      <rPr>
        <sz val="14"/>
        <color theme="1"/>
        <rFont val="標楷體"/>
        <family val="4"/>
        <charset val="136"/>
      </rPr>
      <t>。</t>
    </r>
    <phoneticPr fontId="3" type="noConversion"/>
  </si>
  <si>
    <r>
      <t xml:space="preserve">10      
</t>
    </r>
    <r>
      <rPr>
        <sz val="14"/>
        <rFont val="標楷體"/>
        <family val="4"/>
        <charset val="136"/>
      </rPr>
      <t>衛生
保健業</t>
    </r>
    <phoneticPr fontId="3" type="noConversion"/>
  </si>
  <si>
    <r>
      <t xml:space="preserve">1001  </t>
    </r>
    <r>
      <rPr>
        <sz val="14"/>
        <rFont val="標楷體"/>
        <family val="4"/>
        <charset val="136"/>
      </rPr>
      <t>醫院</t>
    </r>
    <phoneticPr fontId="3" type="noConversion"/>
  </si>
  <si>
    <t>10010010</t>
    <phoneticPr fontId="3" type="noConversion"/>
  </si>
  <si>
    <t>10010020</t>
    <phoneticPr fontId="3" type="noConversion"/>
  </si>
  <si>
    <r>
      <rPr>
        <b/>
        <u/>
        <sz val="14"/>
        <color rgb="FFFF0000"/>
        <rFont val="標楷體"/>
        <family val="4"/>
        <charset val="136"/>
      </rPr>
      <t>一般醫師</t>
    </r>
    <phoneticPr fontId="3" type="noConversion"/>
  </si>
  <si>
    <r>
      <rPr>
        <sz val="14"/>
        <color theme="1"/>
        <rFont val="標楷體"/>
        <family val="4"/>
        <charset val="136"/>
      </rPr>
      <t>建議將原並列工作性質拆分獨立列為一工作性質。</t>
    </r>
    <phoneticPr fontId="3" type="noConversion"/>
  </si>
  <si>
    <t>10010021</t>
  </si>
  <si>
    <r>
      <rPr>
        <b/>
        <u/>
        <sz val="14"/>
        <color rgb="FFFF0000"/>
        <rFont val="標楷體"/>
        <family val="4"/>
        <charset val="136"/>
      </rPr>
      <t>一般護理人員</t>
    </r>
    <r>
      <rPr>
        <b/>
        <u/>
        <sz val="14"/>
        <color rgb="FFFF0000"/>
        <rFont val="Times New Roman"/>
        <family val="1"/>
      </rPr>
      <t>(</t>
    </r>
    <r>
      <rPr>
        <b/>
        <u/>
        <sz val="14"/>
        <color rgb="FFFF0000"/>
        <rFont val="標楷體"/>
        <family val="4"/>
        <charset val="136"/>
      </rPr>
      <t>護士、護理師</t>
    </r>
    <r>
      <rPr>
        <b/>
        <u/>
        <sz val="14"/>
        <color rgb="FFFF0000"/>
        <rFont val="Times New Roman"/>
        <family val="1"/>
      </rPr>
      <t>)</t>
    </r>
    <phoneticPr fontId="5" type="noConversion"/>
  </si>
  <si>
    <t>10010022</t>
  </si>
  <si>
    <r>
      <rPr>
        <b/>
        <u/>
        <sz val="14"/>
        <color rgb="FFFF0000"/>
        <rFont val="標楷體"/>
        <family val="4"/>
        <charset val="136"/>
      </rPr>
      <t>一般藥劑師</t>
    </r>
    <phoneticPr fontId="3" type="noConversion"/>
  </si>
  <si>
    <t>10010030</t>
    <phoneticPr fontId="3" type="noConversion"/>
  </si>
  <si>
    <r>
      <rPr>
        <b/>
        <u/>
        <sz val="14"/>
        <color rgb="FFFF0000"/>
        <rFont val="標楷體"/>
        <family val="4"/>
        <charset val="136"/>
      </rPr>
      <t>精神病科醫師</t>
    </r>
    <phoneticPr fontId="5" type="noConversion"/>
  </si>
  <si>
    <t>10010031</t>
  </si>
  <si>
    <r>
      <rPr>
        <b/>
        <u/>
        <sz val="14"/>
        <color rgb="FFFF0000"/>
        <rFont val="標楷體"/>
        <family val="4"/>
        <charset val="136"/>
      </rPr>
      <t>精神病科護理人員</t>
    </r>
    <r>
      <rPr>
        <b/>
        <u/>
        <sz val="14"/>
        <color rgb="FFFF0000"/>
        <rFont val="Times New Roman"/>
        <family val="1"/>
      </rPr>
      <t>(</t>
    </r>
    <r>
      <rPr>
        <b/>
        <u/>
        <sz val="14"/>
        <color rgb="FFFF0000"/>
        <rFont val="標楷體"/>
        <family val="4"/>
        <charset val="136"/>
      </rPr>
      <t>護士、護理師</t>
    </r>
    <r>
      <rPr>
        <b/>
        <u/>
        <sz val="14"/>
        <color rgb="FFFF0000"/>
        <rFont val="Times New Roman"/>
        <family val="1"/>
      </rPr>
      <t>)</t>
    </r>
    <phoneticPr fontId="5" type="noConversion"/>
  </si>
  <si>
    <t>10010032</t>
  </si>
  <si>
    <r>
      <rPr>
        <b/>
        <u/>
        <sz val="14"/>
        <color rgb="FFFF0000"/>
        <rFont val="標楷體"/>
        <family val="4"/>
        <charset val="136"/>
      </rPr>
      <t>精神病科看護</t>
    </r>
    <phoneticPr fontId="5" type="noConversion"/>
  </si>
  <si>
    <t>10010040</t>
  </si>
  <si>
    <t>10010050</t>
  </si>
  <si>
    <t>10010060</t>
  </si>
  <si>
    <t>10010070</t>
  </si>
  <si>
    <r>
      <rPr>
        <b/>
        <sz val="14"/>
        <rFont val="標楷體"/>
        <family val="4"/>
        <charset val="136"/>
      </rPr>
      <t>清潔</t>
    </r>
    <r>
      <rPr>
        <b/>
        <u/>
        <sz val="14"/>
        <color rgb="FFFF0000"/>
        <rFont val="標楷體"/>
        <family val="4"/>
        <charset val="136"/>
      </rPr>
      <t>人員</t>
    </r>
    <phoneticPr fontId="5" type="noConversion"/>
  </si>
  <si>
    <t>10010080</t>
    <phoneticPr fontId="3" type="noConversion"/>
  </si>
  <si>
    <r>
      <rPr>
        <b/>
        <sz val="14"/>
        <rFont val="標楷體"/>
        <family val="4"/>
        <charset val="136"/>
      </rPr>
      <t>一般看護人員</t>
    </r>
    <r>
      <rPr>
        <b/>
        <u/>
        <sz val="14"/>
        <color rgb="FFFF0000"/>
        <rFont val="標楷體"/>
        <family val="4"/>
        <charset val="136"/>
      </rPr>
      <t>、基層照服員</t>
    </r>
    <phoneticPr fontId="3" type="noConversion"/>
  </si>
  <si>
    <r>
      <rPr>
        <sz val="14"/>
        <color theme="1"/>
        <rFont val="標楷體"/>
        <family val="4"/>
        <charset val="136"/>
      </rPr>
      <t>因應新興職業，增列基層照服員。</t>
    </r>
    <phoneticPr fontId="3" type="noConversion"/>
  </si>
  <si>
    <t>10010090</t>
    <phoneticPr fontId="3" type="noConversion"/>
  </si>
  <si>
    <t>10010100</t>
    <phoneticPr fontId="3" type="noConversion"/>
  </si>
  <si>
    <r>
      <rPr>
        <b/>
        <u/>
        <sz val="14"/>
        <color rgb="FFFF0000"/>
        <rFont val="標楷體"/>
        <family val="4"/>
        <charset val="136"/>
      </rPr>
      <t>呼吸治療師</t>
    </r>
    <phoneticPr fontId="5" type="noConversion"/>
  </si>
  <si>
    <r>
      <rPr>
        <sz val="14"/>
        <color theme="1"/>
        <rFont val="標楷體"/>
        <family val="4"/>
        <charset val="136"/>
      </rPr>
      <t>因應現行實務新增，提供患者急、慢性呼吸照護</t>
    </r>
    <r>
      <rPr>
        <sz val="14"/>
        <color theme="1"/>
        <rFont val="Times New Roman"/>
        <family val="1"/>
      </rPr>
      <t>,</t>
    </r>
    <r>
      <rPr>
        <sz val="14"/>
        <color theme="1"/>
        <rFont val="標楷體"/>
        <family val="4"/>
        <charset val="136"/>
      </rPr>
      <t>如呼吸器使用、呼吸復原及內外科醫療工作，建議比照</t>
    </r>
    <r>
      <rPr>
        <sz val="14"/>
        <color theme="1"/>
        <rFont val="Times New Roman"/>
        <family val="1"/>
      </rPr>
      <t>"10010020"</t>
    </r>
    <r>
      <rPr>
        <sz val="14"/>
        <color theme="1"/>
        <rFont val="標楷體"/>
        <family val="4"/>
        <charset val="136"/>
      </rPr>
      <t>一般醫師職業等級為</t>
    </r>
    <r>
      <rPr>
        <sz val="14"/>
        <color theme="1"/>
        <rFont val="Times New Roman"/>
        <family val="1"/>
      </rPr>
      <t>1</t>
    </r>
    <r>
      <rPr>
        <sz val="14"/>
        <color theme="1"/>
        <rFont val="標楷體"/>
        <family val="4"/>
        <charset val="136"/>
      </rPr>
      <t>。</t>
    </r>
    <phoneticPr fontId="3" type="noConversion"/>
  </si>
  <si>
    <t>10010110</t>
    <phoneticPr fontId="3" type="noConversion"/>
  </si>
  <si>
    <r>
      <rPr>
        <b/>
        <u/>
        <sz val="14"/>
        <color rgb="FFFF0000"/>
        <rFont val="標楷體"/>
        <family val="4"/>
        <charset val="136"/>
      </rPr>
      <t>醫院傳送員</t>
    </r>
    <phoneticPr fontId="5" type="noConversion"/>
  </si>
  <si>
    <r>
      <rPr>
        <sz val="14"/>
        <color theme="1"/>
        <rFont val="標楷體"/>
        <family val="4"/>
        <charset val="136"/>
      </rPr>
      <t>因應現行實務新增，主要工作內容為院內傳遞病歷，協助病人推床等，建議職業等級為</t>
    </r>
    <r>
      <rPr>
        <sz val="14"/>
        <color theme="1"/>
        <rFont val="Times New Roman"/>
        <family val="1"/>
      </rPr>
      <t>2</t>
    </r>
    <r>
      <rPr>
        <sz val="14"/>
        <color theme="1"/>
        <rFont val="標楷體"/>
        <family val="4"/>
        <charset val="136"/>
      </rPr>
      <t>。</t>
    </r>
    <phoneticPr fontId="3" type="noConversion"/>
  </si>
  <si>
    <t>10010120</t>
  </si>
  <si>
    <r>
      <rPr>
        <b/>
        <u/>
        <sz val="14"/>
        <color rgb="FFFF0000"/>
        <rFont val="標楷體"/>
        <family val="4"/>
        <charset val="136"/>
      </rPr>
      <t>病房助理員</t>
    </r>
    <phoneticPr fontId="5" type="noConversion"/>
  </si>
  <si>
    <r>
      <rPr>
        <sz val="14"/>
        <color theme="1"/>
        <rFont val="標楷體"/>
        <family val="4"/>
        <charset val="136"/>
      </rPr>
      <t>因應現行實務新增，工作內容為維護病人個人衛生、協助病人進食、活動、安全維護，建議比照</t>
    </r>
    <r>
      <rPr>
        <sz val="14"/>
        <color theme="1"/>
        <rFont val="Times New Roman"/>
        <family val="1"/>
      </rPr>
      <t>"10010080"</t>
    </r>
    <r>
      <rPr>
        <sz val="14"/>
        <color theme="1"/>
        <rFont val="標楷體"/>
        <family val="4"/>
        <charset val="136"/>
      </rPr>
      <t>一般看護人員職業等級為</t>
    </r>
    <r>
      <rPr>
        <sz val="14"/>
        <color theme="1"/>
        <rFont val="Times New Roman"/>
        <family val="1"/>
      </rPr>
      <t>2</t>
    </r>
    <r>
      <rPr>
        <sz val="14"/>
        <color theme="1"/>
        <rFont val="標楷體"/>
        <family val="4"/>
        <charset val="136"/>
      </rPr>
      <t>。</t>
    </r>
    <phoneticPr fontId="3" type="noConversion"/>
  </si>
  <si>
    <t>10010130</t>
  </si>
  <si>
    <r>
      <rPr>
        <b/>
        <u/>
        <sz val="14"/>
        <color rgb="FFFF0000"/>
        <rFont val="標楷體"/>
        <family val="4"/>
        <charset val="136"/>
      </rPr>
      <t>心理專業人員</t>
    </r>
    <r>
      <rPr>
        <b/>
        <u/>
        <sz val="14"/>
        <color rgb="FFFF0000"/>
        <rFont val="Times New Roman"/>
        <family val="1"/>
      </rPr>
      <t>(</t>
    </r>
    <r>
      <rPr>
        <b/>
        <u/>
        <sz val="14"/>
        <color rgb="FFFF0000"/>
        <rFont val="標楷體"/>
        <family val="4"/>
        <charset val="136"/>
      </rPr>
      <t>含諮商人員</t>
    </r>
    <r>
      <rPr>
        <b/>
        <u/>
        <sz val="14"/>
        <color rgb="FFFF0000"/>
        <rFont val="Times New Roman"/>
        <family val="1"/>
      </rPr>
      <t>)</t>
    </r>
    <phoneticPr fontId="5" type="noConversion"/>
  </si>
  <si>
    <r>
      <rPr>
        <sz val="14"/>
        <color theme="1"/>
        <rFont val="標楷體"/>
        <family val="4"/>
        <charset val="136"/>
      </rPr>
      <t>因應現行醫院之實務，爰建議增列相關工作性質。</t>
    </r>
    <phoneticPr fontId="3" type="noConversion"/>
  </si>
  <si>
    <t>10010140</t>
  </si>
  <si>
    <r>
      <rPr>
        <b/>
        <u/>
        <sz val="14"/>
        <color rgb="FFFF0000"/>
        <rFont val="標楷體"/>
        <family val="4"/>
        <charset val="136"/>
      </rPr>
      <t>營養師、健康管理顧問</t>
    </r>
    <phoneticPr fontId="3" type="noConversion"/>
  </si>
  <si>
    <r>
      <rPr>
        <sz val="14"/>
        <color theme="1"/>
        <rFont val="標楷體"/>
        <family val="4"/>
        <charset val="136"/>
      </rPr>
      <t>因應現行實務新增，工作場域多為室內，較無危險性，建議職業等級為</t>
    </r>
    <r>
      <rPr>
        <sz val="14"/>
        <color theme="1"/>
        <rFont val="Times New Roman"/>
        <family val="1"/>
      </rPr>
      <t>1</t>
    </r>
    <r>
      <rPr>
        <sz val="14"/>
        <color theme="1"/>
        <rFont val="標楷體"/>
        <family val="4"/>
        <charset val="136"/>
      </rPr>
      <t>。</t>
    </r>
    <phoneticPr fontId="3" type="noConversion"/>
  </si>
  <si>
    <t>10010150</t>
  </si>
  <si>
    <r>
      <rPr>
        <b/>
        <u/>
        <sz val="14"/>
        <color rgb="FFFF0000"/>
        <rFont val="標楷體"/>
        <family val="4"/>
        <charset val="136"/>
      </rPr>
      <t>醫院志工、社工</t>
    </r>
    <r>
      <rPr>
        <b/>
        <u/>
        <sz val="14"/>
        <color rgb="FFFF0000"/>
        <rFont val="Times New Roman"/>
        <family val="1"/>
      </rPr>
      <t>(</t>
    </r>
    <r>
      <rPr>
        <b/>
        <u/>
        <sz val="14"/>
        <color rgb="FFFF0000"/>
        <rFont val="標楷體"/>
        <family val="4"/>
        <charset val="136"/>
      </rPr>
      <t>不須外出訪視</t>
    </r>
    <r>
      <rPr>
        <b/>
        <u/>
        <sz val="14"/>
        <color rgb="FFFF0000"/>
        <rFont val="Times New Roman"/>
        <family val="1"/>
      </rPr>
      <t>)</t>
    </r>
    <phoneticPr fontId="5" type="noConversion"/>
  </si>
  <si>
    <r>
      <rPr>
        <sz val="14"/>
        <color theme="1"/>
        <rFont val="標楷體"/>
        <family val="4"/>
        <charset val="136"/>
      </rPr>
      <t>因應現行實務新增，醫院志工區分為內、外勤，職業等級比照一般內外勤人員。</t>
    </r>
    <phoneticPr fontId="3" type="noConversion"/>
  </si>
  <si>
    <t>10010160</t>
  </si>
  <si>
    <r>
      <rPr>
        <b/>
        <u/>
        <sz val="14"/>
        <color rgb="FFFF0000"/>
        <rFont val="標楷體"/>
        <family val="4"/>
        <charset val="136"/>
      </rPr>
      <t>醫院志工、社工</t>
    </r>
    <r>
      <rPr>
        <b/>
        <u/>
        <sz val="14"/>
        <color rgb="FFFF0000"/>
        <rFont val="Times New Roman"/>
        <family val="1"/>
      </rPr>
      <t>(</t>
    </r>
    <r>
      <rPr>
        <b/>
        <u/>
        <sz val="14"/>
        <color rgb="FFFF0000"/>
        <rFont val="標楷體"/>
        <family val="4"/>
        <charset val="136"/>
      </rPr>
      <t>須外出訪視</t>
    </r>
    <r>
      <rPr>
        <b/>
        <u/>
        <sz val="14"/>
        <color rgb="FFFF0000"/>
        <rFont val="Times New Roman"/>
        <family val="1"/>
      </rPr>
      <t>)</t>
    </r>
    <phoneticPr fontId="5" type="noConversion"/>
  </si>
  <si>
    <r>
      <t xml:space="preserve">1002  </t>
    </r>
    <r>
      <rPr>
        <sz val="14"/>
        <rFont val="標楷體"/>
        <family val="4"/>
        <charset val="136"/>
      </rPr>
      <t>保健人員</t>
    </r>
    <phoneticPr fontId="3" type="noConversion"/>
  </si>
  <si>
    <t>10020010</t>
    <phoneticPr fontId="3" type="noConversion"/>
  </si>
  <si>
    <t>10020020</t>
    <phoneticPr fontId="3" type="noConversion"/>
  </si>
  <si>
    <t>10020030</t>
    <phoneticPr fontId="3" type="noConversion"/>
  </si>
  <si>
    <t>10020040</t>
  </si>
  <si>
    <t>10020050</t>
  </si>
  <si>
    <t>10020060</t>
  </si>
  <si>
    <t>10020070</t>
  </si>
  <si>
    <t>10020080</t>
    <phoneticPr fontId="5" type="noConversion"/>
  </si>
  <si>
    <t>10020090</t>
    <phoneticPr fontId="5" type="noConversion"/>
  </si>
  <si>
    <t>10020100</t>
    <phoneticPr fontId="5" type="noConversion"/>
  </si>
  <si>
    <t>10020110</t>
    <phoneticPr fontId="5" type="noConversion"/>
  </si>
  <si>
    <t>10020120</t>
    <phoneticPr fontId="5" type="noConversion"/>
  </si>
  <si>
    <t>10020130</t>
    <phoneticPr fontId="3" type="noConversion"/>
  </si>
  <si>
    <r>
      <rPr>
        <b/>
        <u/>
        <sz val="14"/>
        <color rgb="FFFF0000"/>
        <rFont val="標楷體"/>
        <family val="4"/>
        <charset val="136"/>
      </rPr>
      <t>法醫</t>
    </r>
    <phoneticPr fontId="5" type="noConversion"/>
  </si>
  <si>
    <r>
      <rPr>
        <sz val="14"/>
        <color theme="1"/>
        <rFont val="標楷體"/>
        <family val="4"/>
        <charset val="136"/>
      </rPr>
      <t>因應現行實務新增，工作屬性經常會外出勘驗，建議比照一般外勤人員，職業等級為</t>
    </r>
    <r>
      <rPr>
        <sz val="14"/>
        <color theme="1"/>
        <rFont val="Times New Roman"/>
        <family val="1"/>
      </rPr>
      <t>2</t>
    </r>
    <r>
      <rPr>
        <sz val="14"/>
        <color theme="1"/>
        <rFont val="標楷體"/>
        <family val="4"/>
        <charset val="136"/>
      </rPr>
      <t>。</t>
    </r>
    <phoneticPr fontId="3" type="noConversion"/>
  </si>
  <si>
    <t>10020140</t>
    <phoneticPr fontId="3" type="noConversion"/>
  </si>
  <si>
    <r>
      <rPr>
        <b/>
        <u/>
        <sz val="14"/>
        <color rgb="FFFF0000"/>
        <rFont val="標楷體"/>
        <family val="4"/>
        <charset val="136"/>
      </rPr>
      <t>長照管理師、照護系統整合管理師</t>
    </r>
    <phoneticPr fontId="5" type="noConversion"/>
  </si>
  <si>
    <r>
      <rPr>
        <sz val="14"/>
        <color theme="1"/>
        <rFont val="標楷體"/>
        <family val="4"/>
        <charset val="136"/>
      </rPr>
      <t>因應現行長照機構之實務，爰建議增列相關工作性質，並拆分工作性質。</t>
    </r>
    <phoneticPr fontId="3" type="noConversion"/>
  </si>
  <si>
    <t>10020150</t>
  </si>
  <si>
    <r>
      <rPr>
        <b/>
        <u/>
        <sz val="14"/>
        <color rgb="FFFF0000"/>
        <rFont val="標楷體"/>
        <family val="4"/>
        <charset val="136"/>
      </rPr>
      <t>長照中心、安養中心護理人員</t>
    </r>
    <r>
      <rPr>
        <b/>
        <u/>
        <sz val="14"/>
        <color rgb="FFFF0000"/>
        <rFont val="Times New Roman"/>
        <family val="1"/>
      </rPr>
      <t>(</t>
    </r>
    <r>
      <rPr>
        <b/>
        <u/>
        <sz val="14"/>
        <color rgb="FFFF0000"/>
        <rFont val="標楷體"/>
        <family val="4"/>
        <charset val="136"/>
      </rPr>
      <t>護士、護理師</t>
    </r>
    <r>
      <rPr>
        <b/>
        <u/>
        <sz val="14"/>
        <color rgb="FFFF0000"/>
        <rFont val="Times New Roman"/>
        <family val="1"/>
      </rPr>
      <t>)</t>
    </r>
    <phoneticPr fontId="5" type="noConversion"/>
  </si>
  <si>
    <t>10020160</t>
  </si>
  <si>
    <r>
      <rPr>
        <b/>
        <u/>
        <sz val="14"/>
        <color rgb="FFFF0000"/>
        <rFont val="標楷體"/>
        <family val="4"/>
        <charset val="136"/>
      </rPr>
      <t>長照中心、安養中心行政人員</t>
    </r>
    <phoneticPr fontId="5" type="noConversion"/>
  </si>
  <si>
    <t>10020170</t>
  </si>
  <si>
    <r>
      <rPr>
        <b/>
        <u/>
        <sz val="14"/>
        <color rgb="FFFF0000"/>
        <rFont val="標楷體"/>
        <family val="4"/>
        <charset val="136"/>
      </rPr>
      <t>長照中心、安養中心照護人員</t>
    </r>
    <phoneticPr fontId="5" type="noConversion"/>
  </si>
  <si>
    <r>
      <rPr>
        <sz val="14"/>
        <color theme="1"/>
        <rFont val="標楷體"/>
        <family val="4"/>
        <charset val="136"/>
      </rPr>
      <t>長照中心、安養中心照護人員因工作內容會需要陪被照護者外出回診或就醫，建議比照一般外勤人員，職業等級為</t>
    </r>
    <r>
      <rPr>
        <sz val="14"/>
        <color theme="1"/>
        <rFont val="Times New Roman"/>
        <family val="1"/>
      </rPr>
      <t>2</t>
    </r>
    <r>
      <rPr>
        <sz val="14"/>
        <color theme="1"/>
        <rFont val="標楷體"/>
        <family val="4"/>
        <charset val="136"/>
      </rPr>
      <t>。</t>
    </r>
    <phoneticPr fontId="3" type="noConversion"/>
  </si>
  <si>
    <t>10020180</t>
  </si>
  <si>
    <r>
      <rPr>
        <b/>
        <u/>
        <sz val="14"/>
        <color rgb="FFFF0000"/>
        <rFont val="標楷體"/>
        <family val="4"/>
        <charset val="136"/>
      </rPr>
      <t>生理訊號工程師</t>
    </r>
    <phoneticPr fontId="5" type="noConversion"/>
  </si>
  <si>
    <r>
      <rPr>
        <sz val="14"/>
        <color theme="1"/>
        <rFont val="標楷體"/>
        <family val="4"/>
        <charset val="136"/>
      </rPr>
      <t>因應新興職業新增，工作內容為利用電子設備判讀自然人的相關生理訊號，建議比照</t>
    </r>
    <r>
      <rPr>
        <sz val="14"/>
        <color theme="1"/>
        <rFont val="Times New Roman"/>
        <family val="1"/>
      </rPr>
      <t>"08030230"</t>
    </r>
    <r>
      <rPr>
        <sz val="14"/>
        <color theme="1"/>
        <rFont val="標楷體"/>
        <family val="4"/>
        <charset val="136"/>
      </rPr>
      <t>電子業軟體工程師，職業等級為</t>
    </r>
    <r>
      <rPr>
        <sz val="14"/>
        <color theme="1"/>
        <rFont val="Times New Roman"/>
        <family val="1"/>
      </rPr>
      <t>1</t>
    </r>
    <r>
      <rPr>
        <sz val="14"/>
        <color theme="1"/>
        <rFont val="標楷體"/>
        <family val="4"/>
        <charset val="136"/>
      </rPr>
      <t>級。</t>
    </r>
    <phoneticPr fontId="3" type="noConversion"/>
  </si>
  <si>
    <t>10020190</t>
  </si>
  <si>
    <r>
      <rPr>
        <b/>
        <u/>
        <sz val="14"/>
        <color rgb="FFFF0000"/>
        <rFont val="標楷體"/>
        <family val="4"/>
        <charset val="136"/>
      </rPr>
      <t>居家看護</t>
    </r>
    <r>
      <rPr>
        <b/>
        <u/>
        <sz val="14"/>
        <color rgb="FFFF0000"/>
        <rFont val="Times New Roman"/>
        <family val="1"/>
      </rPr>
      <t>(</t>
    </r>
    <r>
      <rPr>
        <b/>
        <u/>
        <sz val="14"/>
        <color rgb="FFFF0000"/>
        <rFont val="標楷體"/>
        <family val="4"/>
        <charset val="136"/>
      </rPr>
      <t>長照看護</t>
    </r>
    <r>
      <rPr>
        <b/>
        <u/>
        <sz val="14"/>
        <color rgb="FFFF0000"/>
        <rFont val="Times New Roman"/>
        <family val="1"/>
      </rPr>
      <t>)</t>
    </r>
    <r>
      <rPr>
        <b/>
        <u/>
        <sz val="14"/>
        <color rgb="FFFF0000"/>
        <rFont val="標楷體"/>
        <family val="4"/>
        <charset val="136"/>
      </rPr>
      <t>、居家照服人員、居家月子嫂</t>
    </r>
    <phoneticPr fontId="5" type="noConversion"/>
  </si>
  <si>
    <r>
      <rPr>
        <sz val="14"/>
        <color theme="1"/>
        <rFont val="標楷體"/>
        <family val="4"/>
        <charset val="136"/>
      </rPr>
      <t>因應新興職業新增，因工作地點不固定建議比照一般外勤人員，職業等級為</t>
    </r>
    <r>
      <rPr>
        <sz val="14"/>
        <color theme="1"/>
        <rFont val="Times New Roman"/>
        <family val="1"/>
      </rPr>
      <t>2</t>
    </r>
    <r>
      <rPr>
        <sz val="14"/>
        <color theme="1"/>
        <rFont val="標楷體"/>
        <family val="4"/>
        <charset val="136"/>
      </rPr>
      <t>。</t>
    </r>
    <phoneticPr fontId="3" type="noConversion"/>
  </si>
  <si>
    <t>10020200</t>
  </si>
  <si>
    <r>
      <rPr>
        <b/>
        <u/>
        <sz val="14"/>
        <color rgb="FFFF0000"/>
        <rFont val="標楷體"/>
        <family val="4"/>
        <charset val="136"/>
      </rPr>
      <t>泌乳師</t>
    </r>
    <phoneticPr fontId="5" type="noConversion"/>
  </si>
  <si>
    <r>
      <rPr>
        <sz val="14"/>
        <color theme="1"/>
        <rFont val="標楷體"/>
        <family val="4"/>
        <charset val="136"/>
      </rPr>
      <t>因應新興職業新增，工作內容為幫產婦疏通乳腺等，為月子中心或醫院內定點工作，爰建議比照原</t>
    </r>
    <r>
      <rPr>
        <sz val="14"/>
        <color theme="1"/>
        <rFont val="Times New Roman"/>
        <family val="1"/>
      </rPr>
      <t>"10010020"</t>
    </r>
    <r>
      <rPr>
        <sz val="14"/>
        <color theme="1"/>
        <rFont val="標楷體"/>
        <family val="4"/>
        <charset val="136"/>
      </rPr>
      <t>一般護士，職業等級為</t>
    </r>
    <r>
      <rPr>
        <sz val="14"/>
        <color theme="1"/>
        <rFont val="Times New Roman"/>
        <family val="1"/>
      </rPr>
      <t>1</t>
    </r>
    <r>
      <rPr>
        <sz val="14"/>
        <color theme="1"/>
        <rFont val="標楷體"/>
        <family val="4"/>
        <charset val="136"/>
      </rPr>
      <t>。</t>
    </r>
    <phoneticPr fontId="3" type="noConversion"/>
  </si>
  <si>
    <r>
      <t xml:space="preserve">11      
</t>
    </r>
    <r>
      <rPr>
        <sz val="14"/>
        <rFont val="標楷體"/>
        <family val="4"/>
        <charset val="136"/>
      </rPr>
      <t>娛樂業</t>
    </r>
    <phoneticPr fontId="3" type="noConversion"/>
  </si>
  <si>
    <r>
      <t xml:space="preserve">1101  </t>
    </r>
    <r>
      <rPr>
        <sz val="14"/>
        <rFont val="標楷體"/>
        <family val="4"/>
        <charset val="136"/>
      </rPr>
      <t xml:space="preserve">電影業
</t>
    </r>
    <r>
      <rPr>
        <sz val="14"/>
        <rFont val="Times New Roman"/>
        <family val="1"/>
      </rPr>
      <t xml:space="preserve">          </t>
    </r>
    <r>
      <rPr>
        <sz val="14"/>
        <rFont val="標楷體"/>
        <family val="4"/>
        <charset val="136"/>
      </rPr>
      <t>電視業</t>
    </r>
    <phoneticPr fontId="3" type="noConversion"/>
  </si>
  <si>
    <t>11010010</t>
    <phoneticPr fontId="3" type="noConversion"/>
  </si>
  <si>
    <t>11010020</t>
    <phoneticPr fontId="3" type="noConversion"/>
  </si>
  <si>
    <r>
      <rPr>
        <b/>
        <sz val="14"/>
        <rFont val="標楷體"/>
        <family val="4"/>
        <charset val="136"/>
      </rPr>
      <t>影片商、系統商、頻道商</t>
    </r>
    <r>
      <rPr>
        <b/>
        <u/>
        <sz val="14"/>
        <color rgb="FFFF0000"/>
        <rFont val="Times New Roman"/>
        <family val="1"/>
      </rPr>
      <t>(</t>
    </r>
    <r>
      <rPr>
        <b/>
        <u/>
        <sz val="14"/>
        <color rgb="FFFF0000"/>
        <rFont val="標楷體"/>
        <family val="4"/>
        <charset val="136"/>
      </rPr>
      <t>負責人</t>
    </r>
    <r>
      <rPr>
        <b/>
        <u/>
        <sz val="14"/>
        <color rgb="FFFF0000"/>
        <rFont val="Times New Roman"/>
        <family val="1"/>
      </rPr>
      <t>)</t>
    </r>
    <phoneticPr fontId="5" type="noConversion"/>
  </si>
  <si>
    <r>
      <rPr>
        <sz val="14"/>
        <color theme="1"/>
        <rFont val="標楷體"/>
        <family val="4"/>
        <charset val="136"/>
      </rPr>
      <t>將負責人與一般員工各獨立列為一工作性質。</t>
    </r>
    <phoneticPr fontId="3" type="noConversion"/>
  </si>
  <si>
    <t>11010021</t>
    <phoneticPr fontId="3" type="noConversion"/>
  </si>
  <si>
    <r>
      <rPr>
        <b/>
        <u/>
        <sz val="14"/>
        <color rgb="FFFF0000"/>
        <rFont val="標楷體"/>
        <family val="4"/>
        <charset val="136"/>
      </rPr>
      <t>影片商、系統商、頻道商</t>
    </r>
    <r>
      <rPr>
        <b/>
        <u/>
        <sz val="14"/>
        <color rgb="FFFF0000"/>
        <rFont val="Times New Roman"/>
        <family val="1"/>
      </rPr>
      <t>(</t>
    </r>
    <r>
      <rPr>
        <b/>
        <u/>
        <sz val="14"/>
        <color rgb="FFFF0000"/>
        <rFont val="標楷體"/>
        <family val="4"/>
        <charset val="136"/>
      </rPr>
      <t>一般員工</t>
    </r>
    <r>
      <rPr>
        <b/>
        <u/>
        <sz val="14"/>
        <color rgb="FFFF0000"/>
        <rFont val="Times New Roman"/>
        <family val="1"/>
      </rPr>
      <t>)</t>
    </r>
    <phoneticPr fontId="5" type="noConversion"/>
  </si>
  <si>
    <t>11010030</t>
    <phoneticPr fontId="3" type="noConversion"/>
  </si>
  <si>
    <t>11010040</t>
  </si>
  <si>
    <t>11010041</t>
    <phoneticPr fontId="3" type="noConversion"/>
  </si>
  <si>
    <r>
      <rPr>
        <b/>
        <u/>
        <sz val="14"/>
        <color rgb="FFFF0000"/>
        <rFont val="標楷體"/>
        <family val="4"/>
        <charset val="136"/>
      </rPr>
      <t>網紅</t>
    </r>
    <r>
      <rPr>
        <b/>
        <u/>
        <sz val="14"/>
        <color rgb="FFFF0000"/>
        <rFont val="Times New Roman"/>
        <family val="1"/>
      </rPr>
      <t>(</t>
    </r>
    <r>
      <rPr>
        <b/>
        <u/>
        <sz val="14"/>
        <color rgb="FFFF0000"/>
        <rFont val="標楷體"/>
        <family val="4"/>
        <charset val="136"/>
      </rPr>
      <t>含</t>
    </r>
    <r>
      <rPr>
        <b/>
        <u/>
        <sz val="14"/>
        <color rgb="FFFF0000"/>
        <rFont val="Times New Roman"/>
        <family val="1"/>
      </rPr>
      <t>Youtuber)</t>
    </r>
    <r>
      <rPr>
        <b/>
        <u/>
        <sz val="14"/>
        <color rgb="FFFF0000"/>
        <rFont val="標楷體"/>
        <family val="4"/>
        <charset val="136"/>
      </rPr>
      <t>、網路直播人員</t>
    </r>
    <phoneticPr fontId="5" type="noConversion"/>
  </si>
  <si>
    <r>
      <rPr>
        <sz val="14"/>
        <color theme="1"/>
        <rFont val="標楷體"/>
        <family val="4"/>
        <charset val="136"/>
      </rPr>
      <t>因應新興職業新增網紅</t>
    </r>
    <r>
      <rPr>
        <sz val="14"/>
        <color theme="1"/>
        <rFont val="Times New Roman"/>
        <family val="1"/>
      </rPr>
      <t>(</t>
    </r>
    <r>
      <rPr>
        <sz val="14"/>
        <color theme="1"/>
        <rFont val="標楷體"/>
        <family val="4"/>
        <charset val="136"/>
      </rPr>
      <t>含</t>
    </r>
    <r>
      <rPr>
        <sz val="14"/>
        <color theme="1"/>
        <rFont val="Times New Roman"/>
        <family val="1"/>
      </rPr>
      <t>Youtuber)</t>
    </r>
    <r>
      <rPr>
        <sz val="14"/>
        <color theme="1"/>
        <rFont val="標楷體"/>
        <family val="4"/>
        <charset val="136"/>
      </rPr>
      <t>、網路直播人員，職業等級比照</t>
    </r>
    <r>
      <rPr>
        <sz val="14"/>
        <color theme="1"/>
        <rFont val="Times New Roman"/>
        <family val="1"/>
      </rPr>
      <t>"11010040"</t>
    </r>
    <r>
      <rPr>
        <sz val="14"/>
        <color theme="1"/>
        <rFont val="標楷體"/>
        <family val="4"/>
        <charset val="136"/>
      </rPr>
      <t>一般演員，職業等級</t>
    </r>
    <r>
      <rPr>
        <sz val="14"/>
        <color theme="1"/>
        <rFont val="Times New Roman"/>
        <family val="1"/>
      </rPr>
      <t>2</t>
    </r>
    <r>
      <rPr>
        <sz val="14"/>
        <color theme="1"/>
        <rFont val="標楷體"/>
        <family val="4"/>
        <charset val="136"/>
      </rPr>
      <t>。</t>
    </r>
    <phoneticPr fontId="3" type="noConversion"/>
  </si>
  <si>
    <t>11010050</t>
  </si>
  <si>
    <t>11010060</t>
  </si>
  <si>
    <t>11010070</t>
  </si>
  <si>
    <t>11010080</t>
  </si>
  <si>
    <t>11010090</t>
  </si>
  <si>
    <t>11010100</t>
  </si>
  <si>
    <t>11010110</t>
  </si>
  <si>
    <t>11010120</t>
  </si>
  <si>
    <t>11010130</t>
  </si>
  <si>
    <t>11010140</t>
  </si>
  <si>
    <t>11010150</t>
  </si>
  <si>
    <t>11010160</t>
  </si>
  <si>
    <t>11010170</t>
  </si>
  <si>
    <t>11010180</t>
  </si>
  <si>
    <t>11010190</t>
  </si>
  <si>
    <t>11010200</t>
  </si>
  <si>
    <r>
      <rPr>
        <b/>
        <sz val="14"/>
        <rFont val="標楷體"/>
        <family val="4"/>
        <charset val="136"/>
      </rPr>
      <t>播音、錄音、配音人員</t>
    </r>
    <r>
      <rPr>
        <b/>
        <u/>
        <sz val="14"/>
        <color rgb="FFFF0000"/>
        <rFont val="Times New Roman"/>
        <family val="1"/>
      </rPr>
      <t>(</t>
    </r>
    <r>
      <rPr>
        <b/>
        <u/>
        <sz val="14"/>
        <color rgb="FFFF0000"/>
        <rFont val="標楷體"/>
        <family val="4"/>
        <charset val="136"/>
      </rPr>
      <t>在錄音室內</t>
    </r>
    <r>
      <rPr>
        <b/>
        <u/>
        <sz val="14"/>
        <color rgb="FFFF0000"/>
        <rFont val="Times New Roman"/>
        <family val="1"/>
      </rPr>
      <t>)</t>
    </r>
    <phoneticPr fontId="3" type="noConversion"/>
  </si>
  <si>
    <r>
      <rPr>
        <sz val="14"/>
        <color theme="1"/>
        <rFont val="標楷體"/>
        <family val="4"/>
        <charset val="136"/>
      </rPr>
      <t>新增文字，說明工作性質。</t>
    </r>
    <phoneticPr fontId="3" type="noConversion"/>
  </si>
  <si>
    <t>11010210</t>
  </si>
  <si>
    <t>11010220</t>
  </si>
  <si>
    <t>11010230</t>
  </si>
  <si>
    <t>11010240</t>
    <phoneticPr fontId="3" type="noConversion"/>
  </si>
  <si>
    <t>11010250</t>
  </si>
  <si>
    <t>11010260</t>
  </si>
  <si>
    <t>11010270</t>
    <phoneticPr fontId="3" type="noConversion"/>
  </si>
  <si>
    <r>
      <rPr>
        <b/>
        <u/>
        <sz val="14"/>
        <color rgb="FFFF0000"/>
        <rFont val="標楷體"/>
        <family val="4"/>
        <charset val="136"/>
      </rPr>
      <t>電影、電視公司外務員</t>
    </r>
    <r>
      <rPr>
        <b/>
        <u/>
        <sz val="14"/>
        <color rgb="FFFF0000"/>
        <rFont val="Times New Roman"/>
        <family val="1"/>
      </rPr>
      <t>(</t>
    </r>
    <r>
      <rPr>
        <b/>
        <u/>
        <sz val="14"/>
        <color rgb="FFFF0000"/>
        <rFont val="標楷體"/>
        <family val="4"/>
        <charset val="136"/>
      </rPr>
      <t>不從事現場作業</t>
    </r>
    <r>
      <rPr>
        <b/>
        <u/>
        <sz val="14"/>
        <color rgb="FFFF0000"/>
        <rFont val="Times New Roman"/>
        <family val="1"/>
      </rPr>
      <t>)</t>
    </r>
    <phoneticPr fontId="3" type="noConversion"/>
  </si>
  <si>
    <r>
      <rPr>
        <sz val="14"/>
        <color theme="1"/>
        <rFont val="標楷體"/>
        <family val="4"/>
        <charset val="136"/>
      </rPr>
      <t>因應現行實務新增，外務員之工作地點因不固定建議比照一般外勤人員，職業等級為</t>
    </r>
    <r>
      <rPr>
        <sz val="14"/>
        <color theme="1"/>
        <rFont val="Times New Roman"/>
        <family val="1"/>
      </rPr>
      <t>2</t>
    </r>
    <r>
      <rPr>
        <sz val="14"/>
        <color theme="1"/>
        <rFont val="標楷體"/>
        <family val="4"/>
        <charset val="136"/>
      </rPr>
      <t>。</t>
    </r>
    <phoneticPr fontId="3" type="noConversion"/>
  </si>
  <si>
    <t>11010280</t>
    <phoneticPr fontId="3" type="noConversion"/>
  </si>
  <si>
    <r>
      <rPr>
        <b/>
        <u/>
        <sz val="14"/>
        <color rgb="FFFF0000"/>
        <rFont val="標楷體"/>
        <family val="4"/>
        <charset val="136"/>
      </rPr>
      <t>電視購物主持人、數位購物導覽員、網拍人員、代購人員</t>
    </r>
    <phoneticPr fontId="5" type="noConversion"/>
  </si>
  <si>
    <r>
      <rPr>
        <sz val="14"/>
        <color theme="1"/>
        <rFont val="標楷體"/>
        <family val="4"/>
        <charset val="136"/>
      </rPr>
      <t>因應新興職業，爰建議新增本項工作性質。</t>
    </r>
    <phoneticPr fontId="3" type="noConversion"/>
  </si>
  <si>
    <r>
      <t xml:space="preserve">1102  
</t>
    </r>
    <r>
      <rPr>
        <sz val="14"/>
        <rFont val="標楷體"/>
        <family val="4"/>
        <charset val="136"/>
      </rPr>
      <t>高爾夫球場</t>
    </r>
    <phoneticPr fontId="3" type="noConversion"/>
  </si>
  <si>
    <t>11020010</t>
    <phoneticPr fontId="3" type="noConversion"/>
  </si>
  <si>
    <t>11020020</t>
    <phoneticPr fontId="3" type="noConversion"/>
  </si>
  <si>
    <t>11020030</t>
    <phoneticPr fontId="3" type="noConversion"/>
  </si>
  <si>
    <r>
      <rPr>
        <b/>
        <u/>
        <sz val="14"/>
        <color rgb="FFFF0000"/>
        <rFont val="標楷體"/>
        <family val="4"/>
        <charset val="136"/>
      </rPr>
      <t>高爾夫球場</t>
    </r>
    <r>
      <rPr>
        <b/>
        <sz val="14"/>
        <color theme="1"/>
        <rFont val="標楷體"/>
        <family val="4"/>
        <charset val="136"/>
      </rPr>
      <t>維護工人</t>
    </r>
  </si>
  <si>
    <t>11020040</t>
    <phoneticPr fontId="3" type="noConversion"/>
  </si>
  <si>
    <r>
      <t xml:space="preserve">1103  </t>
    </r>
    <r>
      <rPr>
        <sz val="14"/>
        <rFont val="標楷體"/>
        <family val="4"/>
        <charset val="136"/>
      </rPr>
      <t>保齡球館</t>
    </r>
    <phoneticPr fontId="3" type="noConversion"/>
  </si>
  <si>
    <t>11030010</t>
    <phoneticPr fontId="3" type="noConversion"/>
  </si>
  <si>
    <t>11030020</t>
    <phoneticPr fontId="3" type="noConversion"/>
  </si>
  <si>
    <r>
      <rPr>
        <sz val="14"/>
        <color theme="1"/>
        <rFont val="標楷體"/>
        <family val="4"/>
        <charset val="136"/>
      </rPr>
      <t>修正用字。</t>
    </r>
  </si>
  <si>
    <t>11030030</t>
    <phoneticPr fontId="3" type="noConversion"/>
  </si>
  <si>
    <t>11030040</t>
    <phoneticPr fontId="3" type="noConversion"/>
  </si>
  <si>
    <r>
      <rPr>
        <b/>
        <sz val="14"/>
        <rFont val="標楷體"/>
        <family val="4"/>
        <charset val="136"/>
      </rPr>
      <t>清潔</t>
    </r>
    <r>
      <rPr>
        <b/>
        <u/>
        <sz val="14"/>
        <color rgb="FFFF0000"/>
        <rFont val="標楷體"/>
        <family val="4"/>
        <charset val="136"/>
      </rPr>
      <t>人員</t>
    </r>
  </si>
  <si>
    <t>11030050</t>
    <phoneticPr fontId="3" type="noConversion"/>
  </si>
  <si>
    <r>
      <rPr>
        <b/>
        <u/>
        <sz val="14"/>
        <color rgb="FFFF0000"/>
        <rFont val="標楷體"/>
        <family val="4"/>
        <charset val="136"/>
      </rPr>
      <t>保齡球館</t>
    </r>
    <r>
      <rPr>
        <b/>
        <sz val="14"/>
        <rFont val="標楷體"/>
        <family val="4"/>
        <charset val="136"/>
      </rPr>
      <t>負責人</t>
    </r>
    <phoneticPr fontId="3" type="noConversion"/>
  </si>
  <si>
    <r>
      <t xml:space="preserve">1104  </t>
    </r>
    <r>
      <rPr>
        <sz val="14"/>
        <rFont val="標楷體"/>
        <family val="4"/>
        <charset val="136"/>
      </rPr>
      <t>撞球場</t>
    </r>
    <phoneticPr fontId="3" type="noConversion"/>
  </si>
  <si>
    <t>11040010</t>
    <phoneticPr fontId="5" type="noConversion"/>
  </si>
  <si>
    <r>
      <rPr>
        <b/>
        <u/>
        <sz val="14"/>
        <color rgb="FFFF0000"/>
        <rFont val="標楷體"/>
        <family val="4"/>
        <charset val="136"/>
      </rPr>
      <t>撞球場</t>
    </r>
    <r>
      <rPr>
        <b/>
        <sz val="14"/>
        <rFont val="標楷體"/>
        <family val="4"/>
        <charset val="136"/>
      </rPr>
      <t>負責人</t>
    </r>
    <phoneticPr fontId="5" type="noConversion"/>
  </si>
  <si>
    <t>為使保險業業務員及其相關人員得正確選擇職業中分類下之工作性質，爰建議於本項工作性質前增加業別之描述性文字。另經各保險公司與會代表討論，撞球場負責人建議比照一般行業負責人，將職業等級降為1。</t>
    <phoneticPr fontId="3" type="noConversion"/>
  </si>
  <si>
    <t>11040020</t>
    <phoneticPr fontId="5" type="noConversion"/>
  </si>
  <si>
    <t>計分員</t>
    <phoneticPr fontId="5" type="noConversion"/>
  </si>
  <si>
    <r>
      <rPr>
        <sz val="14"/>
        <color theme="1"/>
        <rFont val="標楷體"/>
        <family val="4"/>
        <charset val="136"/>
      </rPr>
      <t>經各保險公司與會代表討論，該工作僅為在撞球場紀錄分數，建議比照一般內勤人員，將職業等級降為</t>
    </r>
    <r>
      <rPr>
        <sz val="14"/>
        <color theme="1"/>
        <rFont val="Times New Roman"/>
        <family val="1"/>
      </rPr>
      <t>1</t>
    </r>
    <r>
      <rPr>
        <sz val="14"/>
        <color theme="1"/>
        <rFont val="標楷體"/>
        <family val="4"/>
        <charset val="136"/>
      </rPr>
      <t>。</t>
    </r>
    <phoneticPr fontId="3" type="noConversion"/>
  </si>
  <si>
    <t>11040030</t>
    <phoneticPr fontId="3" type="noConversion"/>
  </si>
  <si>
    <r>
      <rPr>
        <b/>
        <u/>
        <sz val="14"/>
        <color rgb="FFFF0000"/>
        <rFont val="標楷體"/>
        <family val="4"/>
        <charset val="136"/>
      </rPr>
      <t>撞球場維護工人</t>
    </r>
    <phoneticPr fontId="5" type="noConversion"/>
  </si>
  <si>
    <r>
      <rPr>
        <sz val="14"/>
        <color theme="1"/>
        <rFont val="標楷體"/>
        <family val="4"/>
        <charset val="136"/>
      </rPr>
      <t>因應現行撞球場之實務，爰建議增列相關工作性質。</t>
    </r>
    <phoneticPr fontId="3" type="noConversion"/>
  </si>
  <si>
    <t>11040040</t>
    <phoneticPr fontId="3" type="noConversion"/>
  </si>
  <si>
    <r>
      <rPr>
        <b/>
        <u/>
        <sz val="14"/>
        <color rgb="FFFF0000"/>
        <rFont val="標楷體"/>
        <family val="4"/>
        <charset val="136"/>
      </rPr>
      <t>撞球場櫃檯人員</t>
    </r>
    <phoneticPr fontId="5" type="noConversion"/>
  </si>
  <si>
    <t>11040050</t>
    <phoneticPr fontId="3" type="noConversion"/>
  </si>
  <si>
    <r>
      <rPr>
        <b/>
        <u/>
        <sz val="14"/>
        <color rgb="FFFF0000"/>
        <rFont val="標楷體"/>
        <family val="4"/>
        <charset val="136"/>
      </rPr>
      <t>撞球場清潔人員</t>
    </r>
    <phoneticPr fontId="5" type="noConversion"/>
  </si>
  <si>
    <r>
      <t xml:space="preserve">1105  </t>
    </r>
    <r>
      <rPr>
        <sz val="14"/>
        <rFont val="標楷體"/>
        <family val="4"/>
        <charset val="136"/>
      </rPr>
      <t>游泳池</t>
    </r>
    <phoneticPr fontId="3" type="noConversion"/>
  </si>
  <si>
    <t>11050010</t>
    <phoneticPr fontId="3" type="noConversion"/>
  </si>
  <si>
    <r>
      <rPr>
        <b/>
        <u/>
        <sz val="14"/>
        <color rgb="FFFF0000"/>
        <rFont val="標楷體"/>
        <family val="4"/>
        <charset val="136"/>
      </rPr>
      <t>游泳池</t>
    </r>
    <r>
      <rPr>
        <b/>
        <sz val="14"/>
        <rFont val="標楷體"/>
        <family val="4"/>
        <charset val="136"/>
      </rPr>
      <t>負責人</t>
    </r>
    <phoneticPr fontId="5" type="noConversion"/>
  </si>
  <si>
    <t>11050020</t>
    <phoneticPr fontId="3" type="noConversion"/>
  </si>
  <si>
    <t>11050030</t>
    <phoneticPr fontId="3" type="noConversion"/>
  </si>
  <si>
    <t>11050040</t>
    <phoneticPr fontId="3" type="noConversion"/>
  </si>
  <si>
    <t>11050050</t>
    <phoneticPr fontId="5" type="noConversion"/>
  </si>
  <si>
    <t>11050060</t>
    <phoneticPr fontId="3" type="noConversion"/>
  </si>
  <si>
    <r>
      <rPr>
        <b/>
        <u/>
        <sz val="14"/>
        <color rgb="FFFF0000"/>
        <rFont val="標楷體"/>
        <family val="4"/>
        <charset val="136"/>
      </rPr>
      <t>游泳池維護工人</t>
    </r>
    <phoneticPr fontId="3" type="noConversion"/>
  </si>
  <si>
    <r>
      <rPr>
        <sz val="14"/>
        <color theme="1"/>
        <rFont val="標楷體"/>
        <family val="4"/>
        <charset val="136"/>
      </rPr>
      <t>因應現行游泳池實務，爰建議增列相關工作性質。</t>
    </r>
    <phoneticPr fontId="3" type="noConversion"/>
  </si>
  <si>
    <t>11050070</t>
    <phoneticPr fontId="3" type="noConversion"/>
  </si>
  <si>
    <r>
      <rPr>
        <b/>
        <u/>
        <sz val="14"/>
        <color rgb="FFFF0000"/>
        <rFont val="標楷體"/>
        <family val="4"/>
        <charset val="136"/>
      </rPr>
      <t>游泳池清潔人員</t>
    </r>
    <phoneticPr fontId="3" type="noConversion"/>
  </si>
  <si>
    <r>
      <t xml:space="preserve">1106  </t>
    </r>
    <r>
      <rPr>
        <sz val="14"/>
        <rFont val="標楷體"/>
        <family val="4"/>
        <charset val="136"/>
      </rPr>
      <t>海水浴場</t>
    </r>
    <phoneticPr fontId="3" type="noConversion"/>
  </si>
  <si>
    <t>11060010</t>
    <phoneticPr fontId="3" type="noConversion"/>
  </si>
  <si>
    <r>
      <rPr>
        <b/>
        <u/>
        <sz val="14"/>
        <color rgb="FFFF0000"/>
        <rFont val="標楷體"/>
        <family val="4"/>
        <charset val="136"/>
      </rPr>
      <t>海水浴場</t>
    </r>
    <r>
      <rPr>
        <b/>
        <sz val="14"/>
        <color theme="1"/>
        <rFont val="標楷體"/>
        <family val="4"/>
        <charset val="136"/>
      </rPr>
      <t>負責人</t>
    </r>
    <phoneticPr fontId="5" type="noConversion"/>
  </si>
  <si>
    <r>
      <rPr>
        <sz val="14"/>
        <color theme="1"/>
        <rFont val="標楷體"/>
        <family val="4"/>
        <charset val="136"/>
      </rPr>
      <t>為使保險業業務員及其相關人員得正確選擇職業中分類下之工作性質，爰建議於本項工作性質前增加業別之描述性文字。</t>
    </r>
  </si>
  <si>
    <t>11060020</t>
    <phoneticPr fontId="3" type="noConversion"/>
  </si>
  <si>
    <t>11060030</t>
    <phoneticPr fontId="3" type="noConversion"/>
  </si>
  <si>
    <t>11060040</t>
  </si>
  <si>
    <t>11060050</t>
    <phoneticPr fontId="3" type="noConversion"/>
  </si>
  <si>
    <r>
      <rPr>
        <b/>
        <u/>
        <sz val="14"/>
        <color rgb="FFFF0000"/>
        <rFont val="標楷體"/>
        <family val="4"/>
        <charset val="136"/>
      </rPr>
      <t>海水浴場維護工人</t>
    </r>
    <phoneticPr fontId="3" type="noConversion"/>
  </si>
  <si>
    <r>
      <rPr>
        <sz val="14"/>
        <color theme="1"/>
        <rFont val="標楷體"/>
        <family val="4"/>
        <charset val="136"/>
      </rPr>
      <t>因應現行海水浴場實務，爰建議增列相關工作性質。</t>
    </r>
    <phoneticPr fontId="3" type="noConversion"/>
  </si>
  <si>
    <t>11060060</t>
    <phoneticPr fontId="3" type="noConversion"/>
  </si>
  <si>
    <r>
      <rPr>
        <b/>
        <u/>
        <sz val="14"/>
        <color rgb="FFFF0000"/>
        <rFont val="標楷體"/>
        <family val="4"/>
        <charset val="136"/>
      </rPr>
      <t>海水浴場清潔人員</t>
    </r>
    <phoneticPr fontId="3" type="noConversion"/>
  </si>
  <si>
    <r>
      <t xml:space="preserve">1107  
</t>
    </r>
    <r>
      <rPr>
        <sz val="14"/>
        <rFont val="標楷體"/>
        <family val="4"/>
        <charset val="136"/>
      </rPr>
      <t xml:space="preserve">其他遊樂園
</t>
    </r>
    <r>
      <rPr>
        <sz val="14"/>
        <rFont val="Times New Roman"/>
        <family val="1"/>
      </rPr>
      <t>(</t>
    </r>
    <r>
      <rPr>
        <sz val="14"/>
        <rFont val="標楷體"/>
        <family val="4"/>
        <charset val="136"/>
      </rPr>
      <t>包括動物園</t>
    </r>
    <r>
      <rPr>
        <sz val="14"/>
        <rFont val="Times New Roman"/>
        <family val="1"/>
      </rPr>
      <t>)</t>
    </r>
    <phoneticPr fontId="3" type="noConversion"/>
  </si>
  <si>
    <t>11070010</t>
    <phoneticPr fontId="3" type="noConversion"/>
  </si>
  <si>
    <r>
      <rPr>
        <b/>
        <u/>
        <sz val="14"/>
        <color rgb="FFFF0000"/>
        <rFont val="標楷體"/>
        <family val="4"/>
        <charset val="136"/>
      </rPr>
      <t>其他遊樂園</t>
    </r>
    <r>
      <rPr>
        <b/>
        <u/>
        <sz val="14"/>
        <color rgb="FFFF0000"/>
        <rFont val="Times New Roman"/>
        <family val="1"/>
      </rPr>
      <t>(</t>
    </r>
    <r>
      <rPr>
        <b/>
        <u/>
        <sz val="14"/>
        <color rgb="FFFF0000"/>
        <rFont val="標楷體"/>
        <family val="4"/>
        <charset val="136"/>
      </rPr>
      <t>包括動物園</t>
    </r>
    <r>
      <rPr>
        <b/>
        <u/>
        <sz val="14"/>
        <color rgb="FFFF0000"/>
        <rFont val="Times New Roman"/>
        <family val="1"/>
      </rPr>
      <t>)</t>
    </r>
    <r>
      <rPr>
        <b/>
        <sz val="14"/>
        <rFont val="標楷體"/>
        <family val="4"/>
        <charset val="136"/>
      </rPr>
      <t>負責人</t>
    </r>
    <phoneticPr fontId="3" type="noConversion"/>
  </si>
  <si>
    <t>11070020</t>
    <phoneticPr fontId="3" type="noConversion"/>
  </si>
  <si>
    <t>11070030</t>
    <phoneticPr fontId="3" type="noConversion"/>
  </si>
  <si>
    <t>11070040</t>
  </si>
  <si>
    <r>
      <rPr>
        <b/>
        <sz val="14"/>
        <rFont val="標楷體"/>
        <family val="4"/>
        <charset val="136"/>
      </rPr>
      <t>一般清潔</t>
    </r>
    <r>
      <rPr>
        <b/>
        <u/>
        <sz val="14"/>
        <color rgb="FFFF0000"/>
        <rFont val="標楷體"/>
        <family val="4"/>
        <charset val="136"/>
      </rPr>
      <t>人員</t>
    </r>
    <phoneticPr fontId="3" type="noConversion"/>
  </si>
  <si>
    <t>11070050</t>
  </si>
  <si>
    <r>
      <rPr>
        <b/>
        <sz val="14"/>
        <rFont val="標楷體"/>
        <family val="4"/>
        <charset val="136"/>
      </rPr>
      <t>獸欄清潔</t>
    </r>
    <r>
      <rPr>
        <b/>
        <u/>
        <sz val="14"/>
        <color rgb="FFFF0000"/>
        <rFont val="標楷體"/>
        <family val="4"/>
        <charset val="136"/>
      </rPr>
      <t>人員</t>
    </r>
    <phoneticPr fontId="3" type="noConversion"/>
  </si>
  <si>
    <t>11070060</t>
  </si>
  <si>
    <t>11070070</t>
  </si>
  <si>
    <t>11070080</t>
  </si>
  <si>
    <t>11070090</t>
  </si>
  <si>
    <t>11070100</t>
    <phoneticPr fontId="5" type="noConversion"/>
  </si>
  <si>
    <t>11070110</t>
    <phoneticPr fontId="5" type="noConversion"/>
  </si>
  <si>
    <t>11070120</t>
    <phoneticPr fontId="5" type="noConversion"/>
  </si>
  <si>
    <t>11070130</t>
    <phoneticPr fontId="5" type="noConversion"/>
  </si>
  <si>
    <t>11070140</t>
    <phoneticPr fontId="3" type="noConversion"/>
  </si>
  <si>
    <r>
      <rPr>
        <b/>
        <u/>
        <sz val="14"/>
        <color rgb="FFFF0000"/>
        <rFont val="標楷體"/>
        <family val="4"/>
        <charset val="136"/>
      </rPr>
      <t>電動遊戲店或網咖之負責人</t>
    </r>
    <phoneticPr fontId="3" type="noConversion"/>
  </si>
  <si>
    <r>
      <rPr>
        <sz val="14"/>
        <color theme="1"/>
        <rFont val="標楷體"/>
        <family val="4"/>
        <charset val="136"/>
      </rPr>
      <t>因應現行實務新增，電動遊戲店或網咖通常出入人士較為複雜，建議該種場所之負責人職業等級較一般行業負責人職業等級為高，故職業等級建議為</t>
    </r>
    <r>
      <rPr>
        <sz val="14"/>
        <color theme="1"/>
        <rFont val="Times New Roman"/>
        <family val="1"/>
      </rPr>
      <t>2</t>
    </r>
    <r>
      <rPr>
        <sz val="14"/>
        <color theme="1"/>
        <rFont val="標楷體"/>
        <family val="4"/>
        <charset val="136"/>
      </rPr>
      <t>。</t>
    </r>
    <phoneticPr fontId="3" type="noConversion"/>
  </si>
  <si>
    <t>11070150</t>
    <phoneticPr fontId="3" type="noConversion"/>
  </si>
  <si>
    <r>
      <rPr>
        <b/>
        <u/>
        <sz val="14"/>
        <color rgb="FFFF0000"/>
        <rFont val="標楷體"/>
        <family val="4"/>
        <charset val="136"/>
      </rPr>
      <t>觀光地區志工、導覽人員</t>
    </r>
    <phoneticPr fontId="5" type="noConversion"/>
  </si>
  <si>
    <r>
      <rPr>
        <sz val="14"/>
        <color theme="1"/>
        <rFont val="標楷體"/>
        <family val="4"/>
        <charset val="136"/>
      </rPr>
      <t>因應現行實務新增觀光地區志工、導覽人員，職業等級比照一般外勤人員，職業等級為</t>
    </r>
    <r>
      <rPr>
        <sz val="14"/>
        <color theme="1"/>
        <rFont val="Times New Roman"/>
        <family val="1"/>
      </rPr>
      <t>2</t>
    </r>
    <r>
      <rPr>
        <sz val="14"/>
        <color theme="1"/>
        <rFont val="標楷體"/>
        <family val="4"/>
        <charset val="136"/>
      </rPr>
      <t>。</t>
    </r>
    <phoneticPr fontId="3" type="noConversion"/>
  </si>
  <si>
    <r>
      <t xml:space="preserve">1108  
</t>
    </r>
    <r>
      <rPr>
        <sz val="14"/>
        <rFont val="標楷體"/>
        <family val="4"/>
        <charset val="136"/>
      </rPr>
      <t>藝術及演藝人員</t>
    </r>
    <phoneticPr fontId="3" type="noConversion"/>
  </si>
  <si>
    <t>11080010</t>
    <phoneticPr fontId="3" type="noConversion"/>
  </si>
  <si>
    <t>11080020</t>
    <phoneticPr fontId="3" type="noConversion"/>
  </si>
  <si>
    <t>11080030</t>
    <phoneticPr fontId="3" type="noConversion"/>
  </si>
  <si>
    <t>11080040</t>
  </si>
  <si>
    <t>11080050</t>
  </si>
  <si>
    <t>11080060</t>
  </si>
  <si>
    <t>11080070</t>
  </si>
  <si>
    <t>11080080</t>
  </si>
  <si>
    <t>11080090</t>
    <phoneticPr fontId="3" type="noConversion"/>
  </si>
  <si>
    <t>11080100</t>
  </si>
  <si>
    <t>11080110</t>
    <phoneticPr fontId="5" type="noConversion"/>
  </si>
  <si>
    <t>11080120</t>
    <phoneticPr fontId="5" type="noConversion"/>
  </si>
  <si>
    <t>11080130</t>
    <phoneticPr fontId="5" type="noConversion"/>
  </si>
  <si>
    <r>
      <rPr>
        <b/>
        <sz val="14"/>
        <color theme="1"/>
        <rFont val="標楷體"/>
        <family val="4"/>
        <charset val="136"/>
      </rPr>
      <t>演藝經紀人</t>
    </r>
    <r>
      <rPr>
        <b/>
        <u/>
        <sz val="14"/>
        <color rgb="FFFF0000"/>
        <rFont val="標楷體"/>
        <family val="4"/>
        <charset val="136"/>
      </rPr>
      <t>、網紅</t>
    </r>
    <r>
      <rPr>
        <b/>
        <u/>
        <sz val="14"/>
        <color rgb="FFFF0000"/>
        <rFont val="Times New Roman"/>
        <family val="1"/>
      </rPr>
      <t>(</t>
    </r>
    <r>
      <rPr>
        <b/>
        <u/>
        <sz val="14"/>
        <color rgb="FFFF0000"/>
        <rFont val="標楷體"/>
        <family val="4"/>
        <charset val="136"/>
      </rPr>
      <t>含</t>
    </r>
    <r>
      <rPr>
        <b/>
        <u/>
        <sz val="14"/>
        <color rgb="FFFF0000"/>
        <rFont val="Times New Roman"/>
        <family val="1"/>
      </rPr>
      <t>youtuber)</t>
    </r>
    <r>
      <rPr>
        <b/>
        <u/>
        <sz val="14"/>
        <color rgb="FFFF0000"/>
        <rFont val="標楷體"/>
        <family val="4"/>
        <charset val="136"/>
      </rPr>
      <t>經紀人</t>
    </r>
    <phoneticPr fontId="3" type="noConversion"/>
  </si>
  <si>
    <t>因應新興職業新增類似工作性質。</t>
    <phoneticPr fontId="3" type="noConversion"/>
  </si>
  <si>
    <t>11080140</t>
    <phoneticPr fontId="5" type="noConversion"/>
  </si>
  <si>
    <t>11080150</t>
    <phoneticPr fontId="5" type="noConversion"/>
  </si>
  <si>
    <t>11080160</t>
    <phoneticPr fontId="3" type="noConversion"/>
  </si>
  <si>
    <t>11080170</t>
    <phoneticPr fontId="3" type="noConversion"/>
  </si>
  <si>
    <t>11080180</t>
    <phoneticPr fontId="3" type="noConversion"/>
  </si>
  <si>
    <r>
      <rPr>
        <b/>
        <u/>
        <sz val="14"/>
        <color rgb="FFFF0000"/>
        <rFont val="標楷體"/>
        <family val="4"/>
        <charset val="136"/>
      </rPr>
      <t>樂器教學老師</t>
    </r>
    <phoneticPr fontId="3" type="noConversion"/>
  </si>
  <si>
    <r>
      <rPr>
        <sz val="14"/>
        <color theme="1"/>
        <rFont val="標楷體"/>
        <family val="4"/>
        <charset val="136"/>
      </rPr>
      <t>樂器教學老師多為靜態且在室內之工作性質，建議比照</t>
    </r>
    <r>
      <rPr>
        <sz val="14"/>
        <color theme="1"/>
        <rFont val="Times New Roman"/>
        <family val="1"/>
      </rPr>
      <t>"11080030"</t>
    </r>
    <r>
      <rPr>
        <sz val="14"/>
        <color theme="1"/>
        <rFont val="標楷體"/>
        <family val="4"/>
        <charset val="136"/>
      </rPr>
      <t>職業等級為</t>
    </r>
    <r>
      <rPr>
        <sz val="14"/>
        <color theme="1"/>
        <rFont val="Times New Roman"/>
        <family val="1"/>
      </rPr>
      <t>1</t>
    </r>
    <r>
      <rPr>
        <sz val="14"/>
        <color theme="1"/>
        <rFont val="標楷體"/>
        <family val="4"/>
        <charset val="136"/>
      </rPr>
      <t>。</t>
    </r>
    <phoneticPr fontId="3" type="noConversion"/>
  </si>
  <si>
    <t>11080190</t>
    <phoneticPr fontId="3" type="noConversion"/>
  </si>
  <si>
    <r>
      <t>podcaster</t>
    </r>
    <r>
      <rPr>
        <b/>
        <u/>
        <sz val="14"/>
        <color rgb="FFFF0000"/>
        <rFont val="標楷體"/>
        <family val="4"/>
        <charset val="136"/>
      </rPr>
      <t>播客</t>
    </r>
    <phoneticPr fontId="3" type="noConversion"/>
  </si>
  <si>
    <r>
      <rPr>
        <sz val="14"/>
        <color theme="1"/>
        <rFont val="標楷體"/>
        <family val="4"/>
        <charset val="136"/>
      </rPr>
      <t>因應新興職業新增，其工作為錄音室內製播錄音，建議比照</t>
    </r>
    <r>
      <rPr>
        <sz val="14"/>
        <color theme="1"/>
        <rFont val="Times New Roman"/>
        <family val="1"/>
      </rPr>
      <t>"11080020"</t>
    </r>
    <r>
      <rPr>
        <sz val="14"/>
        <color theme="1"/>
        <rFont val="標楷體"/>
        <family val="4"/>
        <charset val="136"/>
      </rPr>
      <t>編曲人員，職業等級為</t>
    </r>
    <r>
      <rPr>
        <sz val="14"/>
        <color theme="1"/>
        <rFont val="Times New Roman"/>
        <family val="1"/>
      </rPr>
      <t>1</t>
    </r>
    <r>
      <rPr>
        <sz val="14"/>
        <color theme="1"/>
        <rFont val="標楷體"/>
        <family val="4"/>
        <charset val="136"/>
      </rPr>
      <t>。</t>
    </r>
    <phoneticPr fontId="3" type="noConversion"/>
  </si>
  <si>
    <t>11080200</t>
    <phoneticPr fontId="3" type="noConversion"/>
  </si>
  <si>
    <r>
      <rPr>
        <b/>
        <u/>
        <sz val="14"/>
        <color rgb="FFFF0000"/>
        <rFont val="標楷體"/>
        <family val="4"/>
        <charset val="136"/>
      </rPr>
      <t>街頭藝人</t>
    </r>
    <r>
      <rPr>
        <b/>
        <u/>
        <sz val="14"/>
        <color rgb="FFFF0000"/>
        <rFont val="Times New Roman"/>
        <family val="1"/>
      </rPr>
      <t>(</t>
    </r>
    <r>
      <rPr>
        <b/>
        <u/>
        <sz val="14"/>
        <color rgb="FFFF0000"/>
        <rFont val="標楷體"/>
        <family val="4"/>
        <charset val="136"/>
      </rPr>
      <t>特技雜耍類</t>
    </r>
    <r>
      <rPr>
        <b/>
        <u/>
        <sz val="14"/>
        <color rgb="FFFF0000"/>
        <rFont val="Times New Roman"/>
        <family val="1"/>
      </rPr>
      <t>)</t>
    </r>
    <phoneticPr fontId="5" type="noConversion"/>
  </si>
  <si>
    <r>
      <rPr>
        <sz val="14"/>
        <color theme="1"/>
        <rFont val="標楷體"/>
        <family val="4"/>
        <charset val="136"/>
      </rPr>
      <t>因應新興職業，增列街頭藝人並因應不同種類表演區分有</t>
    </r>
    <r>
      <rPr>
        <sz val="14"/>
        <color theme="1"/>
        <rFont val="Times New Roman"/>
        <family val="1"/>
      </rPr>
      <t>/</t>
    </r>
    <r>
      <rPr>
        <sz val="14"/>
        <color theme="1"/>
        <rFont val="標楷體"/>
        <family val="4"/>
        <charset val="136"/>
      </rPr>
      <t>無特技雜耍類，非特技雜耍類建議比照</t>
    </r>
    <r>
      <rPr>
        <sz val="14"/>
        <color theme="1"/>
        <rFont val="Times New Roman"/>
        <family val="1"/>
      </rPr>
      <t>"11080050"</t>
    </r>
    <r>
      <rPr>
        <sz val="14"/>
        <color theme="1"/>
        <rFont val="標楷體"/>
        <family val="4"/>
        <charset val="136"/>
      </rPr>
      <t>職業等級</t>
    </r>
    <r>
      <rPr>
        <sz val="14"/>
        <color theme="1"/>
        <rFont val="Times New Roman"/>
        <family val="1"/>
      </rPr>
      <t>2</t>
    </r>
    <r>
      <rPr>
        <sz val="14"/>
        <color theme="1"/>
        <rFont val="標楷體"/>
        <family val="4"/>
        <charset val="136"/>
      </rPr>
      <t>，特技雜耍類則調升</t>
    </r>
    <r>
      <rPr>
        <sz val="14"/>
        <color theme="1"/>
        <rFont val="Times New Roman"/>
        <family val="1"/>
      </rPr>
      <t>1</t>
    </r>
    <r>
      <rPr>
        <sz val="14"/>
        <color theme="1"/>
        <rFont val="標楷體"/>
        <family val="4"/>
        <charset val="136"/>
      </rPr>
      <t>級。</t>
    </r>
    <phoneticPr fontId="3" type="noConversion"/>
  </si>
  <si>
    <t>11080201</t>
    <phoneticPr fontId="3" type="noConversion"/>
  </si>
  <si>
    <r>
      <rPr>
        <b/>
        <u/>
        <sz val="14"/>
        <color rgb="FFFF0000"/>
        <rFont val="標楷體"/>
        <family val="4"/>
        <charset val="136"/>
      </rPr>
      <t>街頭藝人</t>
    </r>
    <r>
      <rPr>
        <b/>
        <u/>
        <sz val="14"/>
        <color rgb="FFFF0000"/>
        <rFont val="Times New Roman"/>
        <family val="1"/>
      </rPr>
      <t>(</t>
    </r>
    <r>
      <rPr>
        <b/>
        <u/>
        <sz val="14"/>
        <color rgb="FFFF0000"/>
        <rFont val="標楷體"/>
        <family val="4"/>
        <charset val="136"/>
      </rPr>
      <t>非特技雜耍類</t>
    </r>
    <r>
      <rPr>
        <b/>
        <u/>
        <sz val="14"/>
        <color rgb="FFFF0000"/>
        <rFont val="Times New Roman"/>
        <family val="1"/>
      </rPr>
      <t>)</t>
    </r>
    <phoneticPr fontId="5" type="noConversion"/>
  </si>
  <si>
    <r>
      <t xml:space="preserve">1109  </t>
    </r>
    <r>
      <rPr>
        <sz val="14"/>
        <rFont val="標楷體"/>
        <family val="4"/>
        <charset val="136"/>
      </rPr>
      <t>特種營業</t>
    </r>
    <phoneticPr fontId="3" type="noConversion"/>
  </si>
  <si>
    <t>11090010</t>
    <phoneticPr fontId="3" type="noConversion"/>
  </si>
  <si>
    <r>
      <rPr>
        <b/>
        <sz val="14"/>
        <color theme="1"/>
        <rFont val="標楷體"/>
        <family val="4"/>
        <charset val="136"/>
      </rPr>
      <t>咖啡廳工作人員</t>
    </r>
    <r>
      <rPr>
        <b/>
        <u/>
        <sz val="14"/>
        <color rgb="FFFF0000"/>
        <rFont val="Times New Roman"/>
        <family val="1"/>
      </rPr>
      <t>(</t>
    </r>
    <r>
      <rPr>
        <b/>
        <u/>
        <sz val="14"/>
        <color rgb="FFFF0000"/>
        <rFont val="標楷體"/>
        <family val="4"/>
        <charset val="136"/>
      </rPr>
      <t>特種營業</t>
    </r>
    <r>
      <rPr>
        <b/>
        <u/>
        <sz val="14"/>
        <color rgb="FFFF0000"/>
        <rFont val="Times New Roman"/>
        <family val="1"/>
      </rPr>
      <t>)</t>
    </r>
    <phoneticPr fontId="5" type="noConversion"/>
  </si>
  <si>
    <t>11090020</t>
    <phoneticPr fontId="3" type="noConversion"/>
  </si>
  <si>
    <t>11090030</t>
    <phoneticPr fontId="3" type="noConversion"/>
  </si>
  <si>
    <t>11090040</t>
  </si>
  <si>
    <t>11090050</t>
  </si>
  <si>
    <t>11090060</t>
  </si>
  <si>
    <t>11090070</t>
  </si>
  <si>
    <t>11090080</t>
  </si>
  <si>
    <r>
      <rPr>
        <b/>
        <u/>
        <sz val="14"/>
        <color rgb="FFFF0000"/>
        <rFont val="標楷體"/>
        <family val="4"/>
        <charset val="136"/>
      </rPr>
      <t>特種營業</t>
    </r>
    <r>
      <rPr>
        <b/>
        <sz val="14"/>
        <color theme="1"/>
        <rFont val="標楷體"/>
        <family val="4"/>
        <charset val="136"/>
      </rPr>
      <t>負責人</t>
    </r>
    <phoneticPr fontId="5" type="noConversion"/>
  </si>
  <si>
    <t>11090090</t>
    <phoneticPr fontId="3" type="noConversion"/>
  </si>
  <si>
    <t>4</t>
    <phoneticPr fontId="3" type="noConversion"/>
  </si>
  <si>
    <t>11090100</t>
    <phoneticPr fontId="3" type="noConversion"/>
  </si>
  <si>
    <t>11090110</t>
  </si>
  <si>
    <t>拒保</t>
  </si>
  <si>
    <t>11090120</t>
  </si>
  <si>
    <t>賭場工作人員(荷官)</t>
    <phoneticPr fontId="5" type="noConversion"/>
  </si>
  <si>
    <t>職業等級建議比照"11090090"特種營業之場所工作人員，職業等級4。</t>
  </si>
  <si>
    <t>11100010</t>
    <phoneticPr fontId="3" type="noConversion"/>
  </si>
  <si>
    <r>
      <rPr>
        <b/>
        <u/>
        <sz val="14"/>
        <color rgb="FFFF0000"/>
        <rFont val="標楷體"/>
        <family val="4"/>
        <charset val="136"/>
      </rPr>
      <t>線上遊戲業負責人</t>
    </r>
    <phoneticPr fontId="5" type="noConversion"/>
  </si>
  <si>
    <r>
      <rPr>
        <sz val="14"/>
        <color theme="1"/>
        <rFont val="標楷體"/>
        <family val="4"/>
        <charset val="136"/>
      </rPr>
      <t>因應新興產業新增，並比照一般負責人建議職業等級為</t>
    </r>
    <r>
      <rPr>
        <sz val="14"/>
        <color theme="1"/>
        <rFont val="Times New Roman"/>
        <family val="1"/>
      </rPr>
      <t>1</t>
    </r>
    <r>
      <rPr>
        <sz val="14"/>
        <color theme="1"/>
        <rFont val="標楷體"/>
        <family val="4"/>
        <charset val="136"/>
      </rPr>
      <t>級。</t>
    </r>
    <phoneticPr fontId="3" type="noConversion"/>
  </si>
  <si>
    <t>11100020</t>
    <phoneticPr fontId="3" type="noConversion"/>
  </si>
  <si>
    <r>
      <rPr>
        <b/>
        <u/>
        <sz val="14"/>
        <color rgb="FFFF0000"/>
        <rFont val="標楷體"/>
        <family val="4"/>
        <charset val="136"/>
      </rPr>
      <t>線上遊戲業資訊工程師</t>
    </r>
    <phoneticPr fontId="5" type="noConversion"/>
  </si>
  <si>
    <r>
      <rPr>
        <sz val="14"/>
        <color theme="1"/>
        <rFont val="標楷體"/>
        <family val="4"/>
        <charset val="136"/>
      </rPr>
      <t>因應新興產業新增，建議比照</t>
    </r>
    <r>
      <rPr>
        <sz val="14"/>
        <color theme="1"/>
        <rFont val="Times New Roman"/>
        <family val="1"/>
      </rPr>
      <t>"20000020"</t>
    </r>
    <r>
      <rPr>
        <sz val="14"/>
        <color theme="1"/>
        <rFont val="標楷體"/>
        <family val="4"/>
        <charset val="136"/>
      </rPr>
      <t>資訊業系統工程師，職業等級為</t>
    </r>
    <r>
      <rPr>
        <sz val="14"/>
        <color theme="1"/>
        <rFont val="Times New Roman"/>
        <family val="1"/>
      </rPr>
      <t>1</t>
    </r>
    <r>
      <rPr>
        <sz val="14"/>
        <color theme="1"/>
        <rFont val="標楷體"/>
        <family val="4"/>
        <charset val="136"/>
      </rPr>
      <t>級。</t>
    </r>
    <phoneticPr fontId="3" type="noConversion"/>
  </si>
  <si>
    <t>11100030</t>
  </si>
  <si>
    <r>
      <rPr>
        <b/>
        <u/>
        <sz val="14"/>
        <color rgb="FFFF0000"/>
        <rFont val="標楷體"/>
        <family val="4"/>
        <charset val="136"/>
      </rPr>
      <t>遊戲數值企劃師</t>
    </r>
    <phoneticPr fontId="5" type="noConversion"/>
  </si>
  <si>
    <r>
      <rPr>
        <sz val="14"/>
        <color theme="1"/>
        <rFont val="標楷體"/>
        <family val="4"/>
        <charset val="136"/>
      </rPr>
      <t>因應新興產業新增，工作內容為研究遊戲數值的期望曲線與公式模型，職業等級建議</t>
    </r>
    <r>
      <rPr>
        <sz val="14"/>
        <color theme="1"/>
        <rFont val="Times New Roman"/>
        <family val="1"/>
      </rPr>
      <t>1</t>
    </r>
    <r>
      <rPr>
        <sz val="14"/>
        <color theme="1"/>
        <rFont val="標楷體"/>
        <family val="4"/>
        <charset val="136"/>
      </rPr>
      <t>級。</t>
    </r>
    <phoneticPr fontId="3" type="noConversion"/>
  </si>
  <si>
    <t>11100040</t>
  </si>
  <si>
    <r>
      <rPr>
        <b/>
        <u/>
        <sz val="14"/>
        <color rgb="FFFF0000"/>
        <rFont val="標楷體"/>
        <family val="4"/>
        <charset val="136"/>
      </rPr>
      <t>線上遊戲業行政工作人員</t>
    </r>
    <r>
      <rPr>
        <b/>
        <u/>
        <sz val="14"/>
        <color rgb="FFFF0000"/>
        <rFont val="Times New Roman"/>
        <family val="1"/>
      </rPr>
      <t>(</t>
    </r>
    <r>
      <rPr>
        <b/>
        <u/>
        <sz val="14"/>
        <color rgb="FFFF0000"/>
        <rFont val="標楷體"/>
        <family val="4"/>
        <charset val="136"/>
      </rPr>
      <t>於辦公室內且完全不參與勞務者</t>
    </r>
    <r>
      <rPr>
        <b/>
        <u/>
        <sz val="14"/>
        <color rgb="FFFF0000"/>
        <rFont val="Times New Roman"/>
        <family val="1"/>
      </rPr>
      <t>)</t>
    </r>
    <phoneticPr fontId="5" type="noConversion"/>
  </si>
  <si>
    <r>
      <rPr>
        <sz val="14"/>
        <color theme="1"/>
        <rFont val="標楷體"/>
        <family val="4"/>
        <charset val="136"/>
      </rPr>
      <t>因應新興產業新增，並比照一般內勤人員，職業等級為</t>
    </r>
    <r>
      <rPr>
        <sz val="14"/>
        <color theme="1"/>
        <rFont val="Times New Roman"/>
        <family val="1"/>
      </rPr>
      <t>1</t>
    </r>
    <r>
      <rPr>
        <sz val="14"/>
        <color theme="1"/>
        <rFont val="標楷體"/>
        <family val="4"/>
        <charset val="136"/>
      </rPr>
      <t>級。</t>
    </r>
    <phoneticPr fontId="3" type="noConversion"/>
  </si>
  <si>
    <t>11100050</t>
  </si>
  <si>
    <r>
      <rPr>
        <b/>
        <u/>
        <sz val="14"/>
        <color rgb="FFFF0000"/>
        <rFont val="標楷體"/>
        <family val="4"/>
        <charset val="136"/>
      </rPr>
      <t>線上遊戲業外勤業務人員</t>
    </r>
    <phoneticPr fontId="5" type="noConversion"/>
  </si>
  <si>
    <r>
      <rPr>
        <sz val="14"/>
        <color theme="1"/>
        <rFont val="標楷體"/>
        <family val="4"/>
        <charset val="136"/>
      </rPr>
      <t>因應新興產業新增，並比照一般外勤人員，職業等級為</t>
    </r>
    <r>
      <rPr>
        <sz val="14"/>
        <color theme="1"/>
        <rFont val="Times New Roman"/>
        <family val="1"/>
      </rPr>
      <t>2</t>
    </r>
    <r>
      <rPr>
        <sz val="14"/>
        <color theme="1"/>
        <rFont val="標楷體"/>
        <family val="4"/>
        <charset val="136"/>
      </rPr>
      <t>級。</t>
    </r>
    <phoneticPr fontId="3" type="noConversion"/>
  </si>
  <si>
    <t>11100060</t>
  </si>
  <si>
    <r>
      <rPr>
        <b/>
        <u/>
        <sz val="14"/>
        <color rgb="FFFF0000"/>
        <rFont val="標楷體"/>
        <family val="4"/>
        <charset val="136"/>
      </rPr>
      <t>電競人員</t>
    </r>
    <phoneticPr fontId="5" type="noConversion"/>
  </si>
  <si>
    <r>
      <rPr>
        <sz val="14"/>
        <color theme="1"/>
        <rFont val="標楷體"/>
        <family val="4"/>
        <charset val="136"/>
      </rPr>
      <t>因應新興產業新增，因其工作性質需要到處比賽且手及眼睛容易有職業傷害，爰建議職業等級為</t>
    </r>
    <r>
      <rPr>
        <sz val="14"/>
        <color theme="1"/>
        <rFont val="Times New Roman"/>
        <family val="1"/>
      </rPr>
      <t>2</t>
    </r>
    <r>
      <rPr>
        <sz val="14"/>
        <color theme="1"/>
        <rFont val="標楷體"/>
        <family val="4"/>
        <charset val="136"/>
      </rPr>
      <t>級。</t>
    </r>
    <phoneticPr fontId="3" type="noConversion"/>
  </si>
  <si>
    <t>11100070</t>
  </si>
  <si>
    <r>
      <rPr>
        <b/>
        <u/>
        <sz val="14"/>
        <color rgb="FFFF0000"/>
        <rFont val="標楷體"/>
        <family val="4"/>
        <charset val="136"/>
      </rPr>
      <t>電競教練</t>
    </r>
    <phoneticPr fontId="5" type="noConversion"/>
  </si>
  <si>
    <r>
      <rPr>
        <sz val="14"/>
        <color theme="1"/>
        <rFont val="標楷體"/>
        <family val="4"/>
        <charset val="136"/>
      </rPr>
      <t>因應新興產業建議新增，其工作因電競教練非實際參與人員，比照一般內勤人員，職業等級為</t>
    </r>
    <r>
      <rPr>
        <sz val="14"/>
        <color theme="1"/>
        <rFont val="Times New Roman"/>
        <family val="1"/>
      </rPr>
      <t>1</t>
    </r>
    <r>
      <rPr>
        <sz val="14"/>
        <color theme="1"/>
        <rFont val="標楷體"/>
        <family val="4"/>
        <charset val="136"/>
      </rPr>
      <t>級。</t>
    </r>
    <phoneticPr fontId="3" type="noConversion"/>
  </si>
  <si>
    <r>
      <t xml:space="preserve">12      
</t>
    </r>
    <r>
      <rPr>
        <sz val="14"/>
        <rFont val="標楷體"/>
        <family val="4"/>
        <charset val="136"/>
      </rPr>
      <t>文教
機關</t>
    </r>
    <phoneticPr fontId="3" type="noConversion"/>
  </si>
  <si>
    <r>
      <t xml:space="preserve">1201  </t>
    </r>
    <r>
      <rPr>
        <sz val="14"/>
        <rFont val="標楷體"/>
        <family val="4"/>
        <charset val="136"/>
      </rPr>
      <t>教育機構</t>
    </r>
    <phoneticPr fontId="3" type="noConversion"/>
  </si>
  <si>
    <t>12010010</t>
  </si>
  <si>
    <t>12010020</t>
  </si>
  <si>
    <t>12010030</t>
  </si>
  <si>
    <t>12010040</t>
  </si>
  <si>
    <t>12010050</t>
  </si>
  <si>
    <t>12010060</t>
    <phoneticPr fontId="5" type="noConversion"/>
  </si>
  <si>
    <r>
      <rPr>
        <b/>
        <sz val="14"/>
        <color theme="1"/>
        <rFont val="標楷體"/>
        <family val="4"/>
        <charset val="136"/>
      </rPr>
      <t>健身房、有氧運動教練</t>
    </r>
    <r>
      <rPr>
        <b/>
        <u/>
        <sz val="14"/>
        <color rgb="FFFF0000"/>
        <rFont val="標楷體"/>
        <family val="4"/>
        <charset val="136"/>
      </rPr>
      <t>、體適能培訓師</t>
    </r>
    <phoneticPr fontId="5" type="noConversion"/>
  </si>
  <si>
    <r>
      <rPr>
        <sz val="14"/>
        <color theme="1"/>
        <rFont val="標楷體"/>
        <family val="4"/>
        <charset val="136"/>
      </rPr>
      <t>增列類似之工作性質。</t>
    </r>
    <phoneticPr fontId="3" type="noConversion"/>
  </si>
  <si>
    <t>12010070</t>
    <phoneticPr fontId="5" type="noConversion"/>
  </si>
  <si>
    <t>12010080</t>
    <phoneticPr fontId="5" type="noConversion"/>
  </si>
  <si>
    <t>12010090</t>
    <phoneticPr fontId="5" type="noConversion"/>
  </si>
  <si>
    <t>12010100</t>
    <phoneticPr fontId="5" type="noConversion"/>
  </si>
  <si>
    <t>12010110</t>
    <phoneticPr fontId="3" type="noConversion"/>
  </si>
  <si>
    <r>
      <rPr>
        <b/>
        <u/>
        <sz val="14"/>
        <color rgb="FFFF0000"/>
        <rFont val="標楷體"/>
        <family val="4"/>
        <charset val="136"/>
      </rPr>
      <t>線上</t>
    </r>
    <r>
      <rPr>
        <b/>
        <u/>
        <sz val="14"/>
        <color rgb="FFFF0000"/>
        <rFont val="Times New Roman"/>
        <family val="1"/>
      </rPr>
      <t>(</t>
    </r>
    <r>
      <rPr>
        <b/>
        <u/>
        <sz val="14"/>
        <color rgb="FFFF0000"/>
        <rFont val="標楷體"/>
        <family val="4"/>
        <charset val="136"/>
      </rPr>
      <t>互動</t>
    </r>
    <r>
      <rPr>
        <b/>
        <u/>
        <sz val="14"/>
        <color rgb="FFFF0000"/>
        <rFont val="Times New Roman"/>
        <family val="1"/>
      </rPr>
      <t>)</t>
    </r>
    <r>
      <rPr>
        <b/>
        <u/>
        <sz val="14"/>
        <color rgb="FFFF0000"/>
        <rFont val="標楷體"/>
        <family val="4"/>
        <charset val="136"/>
      </rPr>
      <t>教師</t>
    </r>
    <phoneticPr fontId="5" type="noConversion"/>
  </si>
  <si>
    <r>
      <rPr>
        <sz val="14"/>
        <color theme="1"/>
        <rFont val="標楷體"/>
        <family val="4"/>
        <charset val="136"/>
      </rPr>
      <t>因應新興職業，建議新增並比照</t>
    </r>
    <r>
      <rPr>
        <sz val="14"/>
        <color theme="1"/>
        <rFont val="Times New Roman"/>
        <family val="1"/>
      </rPr>
      <t>"12010010"</t>
    </r>
    <r>
      <rPr>
        <sz val="14"/>
        <color theme="1"/>
        <rFont val="標楷體"/>
        <family val="4"/>
        <charset val="136"/>
      </rPr>
      <t>教師，職業等級為</t>
    </r>
    <r>
      <rPr>
        <sz val="14"/>
        <color theme="1"/>
        <rFont val="Times New Roman"/>
        <family val="1"/>
      </rPr>
      <t>1</t>
    </r>
    <r>
      <rPr>
        <sz val="14"/>
        <color theme="1"/>
        <rFont val="標楷體"/>
        <family val="4"/>
        <charset val="136"/>
      </rPr>
      <t>級。</t>
    </r>
    <phoneticPr fontId="3" type="noConversion"/>
  </si>
  <si>
    <t>12010120</t>
    <phoneticPr fontId="3" type="noConversion"/>
  </si>
  <si>
    <r>
      <rPr>
        <b/>
        <u/>
        <sz val="14"/>
        <color rgb="FFFF0000"/>
        <rFont val="標楷體"/>
        <family val="4"/>
        <charset val="136"/>
      </rPr>
      <t>基金會行政人員</t>
    </r>
    <phoneticPr fontId="5" type="noConversion"/>
  </si>
  <si>
    <r>
      <rPr>
        <sz val="14"/>
        <color theme="1"/>
        <rFont val="標楷體"/>
        <family val="4"/>
        <charset val="136"/>
      </rPr>
      <t>因應新興職業，建議新增並比照一般內勤人員，職業等級為</t>
    </r>
    <r>
      <rPr>
        <sz val="14"/>
        <color theme="1"/>
        <rFont val="Times New Roman"/>
        <family val="1"/>
      </rPr>
      <t>1</t>
    </r>
    <r>
      <rPr>
        <sz val="14"/>
        <color theme="1"/>
        <rFont val="標楷體"/>
        <family val="4"/>
        <charset val="136"/>
      </rPr>
      <t>級。</t>
    </r>
    <phoneticPr fontId="3" type="noConversion"/>
  </si>
  <si>
    <r>
      <t xml:space="preserve">1202  </t>
    </r>
    <r>
      <rPr>
        <sz val="14"/>
        <rFont val="標楷體"/>
        <family val="4"/>
        <charset val="136"/>
      </rPr>
      <t>其他</t>
    </r>
    <phoneticPr fontId="3" type="noConversion"/>
  </si>
  <si>
    <t>12020010</t>
    <phoneticPr fontId="3" type="noConversion"/>
  </si>
  <si>
    <t>12020020</t>
  </si>
  <si>
    <t>12020030</t>
  </si>
  <si>
    <t>12020040</t>
  </si>
  <si>
    <t>12020050</t>
  </si>
  <si>
    <t>12020060</t>
  </si>
  <si>
    <t>12020070</t>
  </si>
  <si>
    <t>12020080</t>
    <phoneticPr fontId="5" type="noConversion"/>
  </si>
  <si>
    <t>12020090</t>
    <phoneticPr fontId="3" type="noConversion"/>
  </si>
  <si>
    <r>
      <rPr>
        <b/>
        <u/>
        <sz val="14"/>
        <color rgb="FFFF0000"/>
        <rFont val="標楷體"/>
        <family val="4"/>
        <charset val="136"/>
      </rPr>
      <t>職業棋士</t>
    </r>
    <phoneticPr fontId="5" type="noConversion"/>
  </si>
  <si>
    <t>因應新興職業，增列職業棋士。</t>
    <phoneticPr fontId="5" type="noConversion"/>
  </si>
  <si>
    <t>12020100</t>
    <phoneticPr fontId="3" type="noConversion"/>
  </si>
  <si>
    <r>
      <rPr>
        <b/>
        <u/>
        <sz val="14"/>
        <color rgb="FFFF0000"/>
        <rFont val="標楷體"/>
        <family val="4"/>
        <charset val="136"/>
      </rPr>
      <t>財團法人、社團法人文教團體之董</t>
    </r>
    <r>
      <rPr>
        <b/>
        <u/>
        <sz val="14"/>
        <color rgb="FFFF0000"/>
        <rFont val="Times New Roman"/>
        <family val="1"/>
      </rPr>
      <t>/</t>
    </r>
    <r>
      <rPr>
        <b/>
        <u/>
        <sz val="14"/>
        <color rgb="FFFF0000"/>
        <rFont val="標楷體"/>
        <family val="4"/>
        <charset val="136"/>
      </rPr>
      <t>監事、總經理</t>
    </r>
    <phoneticPr fontId="5" type="noConversion"/>
  </si>
  <si>
    <r>
      <rPr>
        <sz val="14"/>
        <color theme="1"/>
        <rFont val="標楷體"/>
        <family val="4"/>
        <charset val="136"/>
      </rPr>
      <t>因應現行實務，建議新增並比照</t>
    </r>
    <r>
      <rPr>
        <sz val="14"/>
        <color theme="1"/>
        <rFont val="Times New Roman"/>
        <family val="1"/>
      </rPr>
      <t>"12020010"</t>
    </r>
    <r>
      <rPr>
        <sz val="14"/>
        <color theme="1"/>
        <rFont val="標楷體"/>
        <family val="4"/>
        <charset val="136"/>
      </rPr>
      <t>負責人，職業等級為</t>
    </r>
    <r>
      <rPr>
        <sz val="14"/>
        <color theme="1"/>
        <rFont val="Times New Roman"/>
        <family val="1"/>
      </rPr>
      <t>1</t>
    </r>
    <r>
      <rPr>
        <sz val="14"/>
        <color theme="1"/>
        <rFont val="標楷體"/>
        <family val="4"/>
        <charset val="136"/>
      </rPr>
      <t>級。</t>
    </r>
    <phoneticPr fontId="3" type="noConversion"/>
  </si>
  <si>
    <t>12020110</t>
    <phoneticPr fontId="3" type="noConversion"/>
  </si>
  <si>
    <r>
      <rPr>
        <b/>
        <u/>
        <sz val="14"/>
        <color rgb="FFFF0000"/>
        <rFont val="標楷體"/>
        <family val="4"/>
        <charset val="136"/>
      </rPr>
      <t>翻譯人員</t>
    </r>
    <phoneticPr fontId="5" type="noConversion"/>
  </si>
  <si>
    <r>
      <rPr>
        <sz val="14"/>
        <color theme="1"/>
        <rFont val="標楷體"/>
        <family val="4"/>
        <charset val="136"/>
      </rPr>
      <t>因應現行實務，建議新增並比照</t>
    </r>
    <r>
      <rPr>
        <sz val="14"/>
        <color theme="1"/>
        <rFont val="Times New Roman"/>
        <family val="1"/>
      </rPr>
      <t>"11080090"</t>
    </r>
    <r>
      <rPr>
        <sz val="14"/>
        <color theme="1"/>
        <rFont val="標楷體"/>
        <family val="4"/>
        <charset val="136"/>
      </rPr>
      <t>作家，職業等級為</t>
    </r>
    <r>
      <rPr>
        <sz val="14"/>
        <color theme="1"/>
        <rFont val="Times New Roman"/>
        <family val="1"/>
      </rPr>
      <t>1</t>
    </r>
    <r>
      <rPr>
        <sz val="14"/>
        <color theme="1"/>
        <rFont val="標楷體"/>
        <family val="4"/>
        <charset val="136"/>
      </rPr>
      <t>級。</t>
    </r>
    <phoneticPr fontId="3" type="noConversion"/>
  </si>
  <si>
    <r>
      <t xml:space="preserve">13      
</t>
    </r>
    <r>
      <rPr>
        <sz val="14"/>
        <rFont val="標楷體"/>
        <family val="4"/>
        <charset val="136"/>
      </rPr>
      <t>宗教
團體</t>
    </r>
    <phoneticPr fontId="3" type="noConversion"/>
  </si>
  <si>
    <r>
      <t xml:space="preserve">1300  </t>
    </r>
    <r>
      <rPr>
        <sz val="14"/>
        <rFont val="標楷體"/>
        <family val="4"/>
        <charset val="136"/>
      </rPr>
      <t>宗教人士</t>
    </r>
    <phoneticPr fontId="3" type="noConversion"/>
  </si>
  <si>
    <t>13000010</t>
    <phoneticPr fontId="3" type="noConversion"/>
  </si>
  <si>
    <t>13000020</t>
    <phoneticPr fontId="3" type="noConversion"/>
  </si>
  <si>
    <t>13000030</t>
    <phoneticPr fontId="3" type="noConversion"/>
  </si>
  <si>
    <t>僧尼、道士、法師及傳教人員</t>
    <phoneticPr fontId="5" type="noConversion"/>
  </si>
  <si>
    <r>
      <rPr>
        <sz val="14"/>
        <color theme="1"/>
        <rFont val="標楷體"/>
        <family val="4"/>
        <charset val="136"/>
      </rPr>
      <t>經各保險公司會議討論，其實際上之工作內容須外出傳教、佈施或辦理法會，建議比照一般外勤，職業等級調升至</t>
    </r>
    <r>
      <rPr>
        <sz val="14"/>
        <color theme="1"/>
        <rFont val="Times New Roman"/>
        <family val="1"/>
      </rPr>
      <t>2</t>
    </r>
    <r>
      <rPr>
        <sz val="14"/>
        <color theme="1"/>
        <rFont val="標楷體"/>
        <family val="4"/>
        <charset val="136"/>
      </rPr>
      <t>。</t>
    </r>
    <phoneticPr fontId="3" type="noConversion"/>
  </si>
  <si>
    <t>13000040</t>
    <phoneticPr fontId="5" type="noConversion"/>
  </si>
  <si>
    <t>13000050</t>
    <phoneticPr fontId="3" type="noConversion"/>
  </si>
  <si>
    <t>13000060</t>
    <phoneticPr fontId="3" type="noConversion"/>
  </si>
  <si>
    <t>13000070</t>
    <phoneticPr fontId="3" type="noConversion"/>
  </si>
  <si>
    <t>13000080</t>
    <phoneticPr fontId="5" type="noConversion"/>
  </si>
  <si>
    <t>13000090</t>
    <phoneticPr fontId="3" type="noConversion"/>
  </si>
  <si>
    <r>
      <rPr>
        <b/>
        <u/>
        <sz val="14"/>
        <color rgb="FFFF0000"/>
        <rFont val="標楷體"/>
        <family val="4"/>
        <charset val="136"/>
      </rPr>
      <t>財團法人、社團法人宗教團體之董</t>
    </r>
    <r>
      <rPr>
        <b/>
        <u/>
        <sz val="14"/>
        <color rgb="FFFF0000"/>
        <rFont val="Times New Roman"/>
        <family val="1"/>
      </rPr>
      <t>/</t>
    </r>
    <r>
      <rPr>
        <b/>
        <u/>
        <sz val="14"/>
        <color rgb="FFFF0000"/>
        <rFont val="標楷體"/>
        <family val="4"/>
        <charset val="136"/>
      </rPr>
      <t>監事、總經理</t>
    </r>
    <phoneticPr fontId="5" type="noConversion"/>
  </si>
  <si>
    <r>
      <rPr>
        <sz val="14"/>
        <color theme="1"/>
        <rFont val="標楷體"/>
        <family val="4"/>
        <charset val="136"/>
      </rPr>
      <t>因應現行實務，建議新增並比照</t>
    </r>
    <r>
      <rPr>
        <sz val="14"/>
        <color theme="1"/>
        <rFont val="Times New Roman"/>
        <family val="1"/>
      </rPr>
      <t>"13000010"</t>
    </r>
    <r>
      <rPr>
        <sz val="14"/>
        <color theme="1"/>
        <rFont val="標楷體"/>
        <family val="4"/>
        <charset val="136"/>
      </rPr>
      <t>管理人員，職業等級為</t>
    </r>
    <r>
      <rPr>
        <sz val="14"/>
        <color theme="1"/>
        <rFont val="Times New Roman"/>
        <family val="1"/>
      </rPr>
      <t>1</t>
    </r>
    <r>
      <rPr>
        <sz val="14"/>
        <color theme="1"/>
        <rFont val="標楷體"/>
        <family val="4"/>
        <charset val="136"/>
      </rPr>
      <t>級。</t>
    </r>
    <phoneticPr fontId="3" type="noConversion"/>
  </si>
  <si>
    <r>
      <t xml:space="preserve">14      
</t>
    </r>
    <r>
      <rPr>
        <sz val="14"/>
        <rFont val="標楷體"/>
        <family val="4"/>
        <charset val="136"/>
      </rPr>
      <t>公共
事業</t>
    </r>
    <phoneticPr fontId="3" type="noConversion"/>
  </si>
  <si>
    <r>
      <t xml:space="preserve">1401  </t>
    </r>
    <r>
      <rPr>
        <sz val="14"/>
        <rFont val="標楷體"/>
        <family val="4"/>
        <charset val="136"/>
      </rPr>
      <t>郵政</t>
    </r>
    <phoneticPr fontId="3" type="noConversion"/>
  </si>
  <si>
    <t>14010010</t>
    <phoneticPr fontId="3" type="noConversion"/>
  </si>
  <si>
    <t>14010020</t>
    <phoneticPr fontId="3" type="noConversion"/>
  </si>
  <si>
    <t>14010030</t>
    <phoneticPr fontId="3" type="noConversion"/>
  </si>
  <si>
    <r>
      <t xml:space="preserve">1402  </t>
    </r>
    <r>
      <rPr>
        <sz val="14"/>
        <rFont val="標楷體"/>
        <family val="4"/>
        <charset val="136"/>
      </rPr>
      <t>電信及電力</t>
    </r>
    <phoneticPr fontId="3" type="noConversion"/>
  </si>
  <si>
    <t>14020010</t>
    <phoneticPr fontId="3" type="noConversion"/>
  </si>
  <si>
    <t>14020020</t>
    <phoneticPr fontId="3" type="noConversion"/>
  </si>
  <si>
    <t>14020030</t>
    <phoneticPr fontId="3" type="noConversion"/>
  </si>
  <si>
    <t>14020031</t>
    <phoneticPr fontId="3" type="noConversion"/>
  </si>
  <si>
    <t>14020040</t>
    <phoneticPr fontId="3" type="noConversion"/>
  </si>
  <si>
    <t>14020041</t>
    <phoneticPr fontId="3" type="noConversion"/>
  </si>
  <si>
    <t>14020050</t>
    <phoneticPr fontId="3" type="noConversion"/>
  </si>
  <si>
    <t>14020060</t>
    <phoneticPr fontId="3" type="noConversion"/>
  </si>
  <si>
    <t>14020080</t>
  </si>
  <si>
    <t>14020090</t>
  </si>
  <si>
    <r>
      <rPr>
        <b/>
        <u/>
        <sz val="14"/>
        <color rgb="FFFF0000"/>
        <rFont val="標楷體"/>
        <family val="4"/>
        <charset val="136"/>
      </rPr>
      <t>電信及電力</t>
    </r>
    <r>
      <rPr>
        <b/>
        <sz val="14"/>
        <color theme="1"/>
        <rFont val="標楷體"/>
        <family val="4"/>
        <charset val="136"/>
      </rPr>
      <t>設計工程師（含現場監工）</t>
    </r>
    <phoneticPr fontId="5" type="noConversion"/>
  </si>
  <si>
    <t>14020100</t>
  </si>
  <si>
    <t>14020110</t>
    <phoneticPr fontId="5" type="noConversion"/>
  </si>
  <si>
    <t>14020120</t>
    <phoneticPr fontId="5" type="noConversion"/>
  </si>
  <si>
    <r>
      <t xml:space="preserve">1403  
</t>
    </r>
    <r>
      <rPr>
        <sz val="14"/>
        <rFont val="標楷體"/>
        <family val="4"/>
        <charset val="136"/>
      </rPr>
      <t>自來水水利</t>
    </r>
    <phoneticPr fontId="3" type="noConversion"/>
  </si>
  <si>
    <t>14030010</t>
    <phoneticPr fontId="3" type="noConversion"/>
  </si>
  <si>
    <r>
      <rPr>
        <b/>
        <u/>
        <sz val="14"/>
        <color rgb="FFFF0000"/>
        <rFont val="標楷體"/>
        <family val="4"/>
        <charset val="136"/>
      </rPr>
      <t>自來水水利</t>
    </r>
    <r>
      <rPr>
        <b/>
        <sz val="14"/>
        <color theme="1"/>
        <rFont val="標楷體"/>
        <family val="4"/>
        <charset val="136"/>
      </rPr>
      <t>工程師</t>
    </r>
    <phoneticPr fontId="5" type="noConversion"/>
  </si>
  <si>
    <t>14030020</t>
    <phoneticPr fontId="3" type="noConversion"/>
  </si>
  <si>
    <t>14030030</t>
    <phoneticPr fontId="3" type="noConversion"/>
  </si>
  <si>
    <t>14030040</t>
  </si>
  <si>
    <t>14030050</t>
  </si>
  <si>
    <t>14030060</t>
  </si>
  <si>
    <t>14030070</t>
  </si>
  <si>
    <r>
      <t xml:space="preserve">1404  </t>
    </r>
    <r>
      <rPr>
        <sz val="14"/>
        <rFont val="標楷體"/>
        <family val="4"/>
        <charset val="136"/>
      </rPr>
      <t>瓦斯</t>
    </r>
    <phoneticPr fontId="3" type="noConversion"/>
  </si>
  <si>
    <t>14040010</t>
    <phoneticPr fontId="3" type="noConversion"/>
  </si>
  <si>
    <r>
      <rPr>
        <b/>
        <u/>
        <sz val="14"/>
        <color rgb="FFFF0000"/>
        <rFont val="標楷體"/>
        <family val="4"/>
        <charset val="136"/>
      </rPr>
      <t>瓦斯業</t>
    </r>
    <r>
      <rPr>
        <b/>
        <sz val="14"/>
        <color theme="1"/>
        <rFont val="標楷體"/>
        <family val="4"/>
        <charset val="136"/>
      </rPr>
      <t>工程師</t>
    </r>
    <phoneticPr fontId="5" type="noConversion"/>
  </si>
  <si>
    <t>14040020</t>
    <phoneticPr fontId="3" type="noConversion"/>
  </si>
  <si>
    <t>14040030</t>
    <phoneticPr fontId="3" type="noConversion"/>
  </si>
  <si>
    <t>14040040</t>
  </si>
  <si>
    <t>14040050</t>
  </si>
  <si>
    <r>
      <t xml:space="preserve">1405  </t>
    </r>
    <r>
      <rPr>
        <sz val="14"/>
        <rFont val="標楷體"/>
        <family val="4"/>
        <charset val="136"/>
      </rPr>
      <t>環境保護</t>
    </r>
    <phoneticPr fontId="3" type="noConversion"/>
  </si>
  <si>
    <t>14050010</t>
    <phoneticPr fontId="3" type="noConversion"/>
  </si>
  <si>
    <t>14050020</t>
    <phoneticPr fontId="3" type="noConversion"/>
  </si>
  <si>
    <r>
      <rPr>
        <b/>
        <u/>
        <sz val="14"/>
        <color rgb="FFFF0000"/>
        <rFont val="標楷體"/>
        <family val="4"/>
        <charset val="136"/>
      </rPr>
      <t>環境保護</t>
    </r>
    <r>
      <rPr>
        <b/>
        <sz val="14"/>
        <color theme="1"/>
        <rFont val="標楷體"/>
        <family val="4"/>
        <charset val="136"/>
      </rPr>
      <t>技師</t>
    </r>
    <phoneticPr fontId="5" type="noConversion"/>
  </si>
  <si>
    <t>14050030</t>
    <phoneticPr fontId="3" type="noConversion"/>
  </si>
  <si>
    <t>14050040</t>
  </si>
  <si>
    <r>
      <rPr>
        <b/>
        <sz val="14"/>
        <color theme="1"/>
        <rFont val="標楷體"/>
        <family val="4"/>
        <charset val="136"/>
      </rPr>
      <t>道路清潔</t>
    </r>
    <r>
      <rPr>
        <b/>
        <u/>
        <sz val="14"/>
        <color rgb="FFFF0000"/>
        <rFont val="標楷體"/>
        <family val="4"/>
        <charset val="136"/>
      </rPr>
      <t>人員</t>
    </r>
    <phoneticPr fontId="5" type="noConversion"/>
  </si>
  <si>
    <t>14050050</t>
  </si>
  <si>
    <t>14050060</t>
  </si>
  <si>
    <t>14050070</t>
  </si>
  <si>
    <t>14050080</t>
  </si>
  <si>
    <r>
      <rPr>
        <b/>
        <sz val="14"/>
        <color theme="1"/>
        <rFont val="標楷體"/>
        <family val="4"/>
        <charset val="136"/>
      </rPr>
      <t>下水道清潔</t>
    </r>
    <r>
      <rPr>
        <b/>
        <u/>
        <sz val="14"/>
        <color rgb="FFFF0000"/>
        <rFont val="標楷體"/>
        <family val="4"/>
        <charset val="136"/>
      </rPr>
      <t>人員</t>
    </r>
    <phoneticPr fontId="5" type="noConversion"/>
  </si>
  <si>
    <t>14050090</t>
  </si>
  <si>
    <t>14050100</t>
  </si>
  <si>
    <t>14050110</t>
  </si>
  <si>
    <t>14050120</t>
    <phoneticPr fontId="3" type="noConversion"/>
  </si>
  <si>
    <r>
      <rPr>
        <b/>
        <sz val="14"/>
        <color theme="1"/>
        <rFont val="標楷體"/>
        <family val="4"/>
        <charset val="136"/>
      </rPr>
      <t>環境噴灑</t>
    </r>
    <r>
      <rPr>
        <b/>
        <u/>
        <sz val="14"/>
        <color rgb="FFFF0000"/>
        <rFont val="標楷體"/>
        <family val="4"/>
        <charset val="136"/>
      </rPr>
      <t>人員</t>
    </r>
    <phoneticPr fontId="5" type="noConversion"/>
  </si>
  <si>
    <t>14050130</t>
    <phoneticPr fontId="3" type="noConversion"/>
  </si>
  <si>
    <t>14050140</t>
    <phoneticPr fontId="3" type="noConversion"/>
  </si>
  <si>
    <t>14050150</t>
    <phoneticPr fontId="3" type="noConversion"/>
  </si>
  <si>
    <t>14050160</t>
  </si>
  <si>
    <t>14050170</t>
    <phoneticPr fontId="3" type="noConversion"/>
  </si>
  <si>
    <r>
      <rPr>
        <b/>
        <u/>
        <sz val="14"/>
        <color rgb="FFFF0000"/>
        <rFont val="標楷體"/>
        <family val="4"/>
        <charset val="136"/>
      </rPr>
      <t>環境衛生管理師</t>
    </r>
    <phoneticPr fontId="5" type="noConversion"/>
  </si>
  <si>
    <r>
      <rPr>
        <sz val="14"/>
        <color theme="1"/>
        <rFont val="標楷體"/>
        <family val="4"/>
        <charset val="136"/>
      </rPr>
      <t>因應新興職業新增，環境衛生管理師工作內容為從事職業衛生、安全相關作業程序、標準及方法之規劃與執行工作，建議比照一般外勤人員，職業等級為</t>
    </r>
    <r>
      <rPr>
        <sz val="14"/>
        <color theme="1"/>
        <rFont val="Times New Roman"/>
        <family val="1"/>
      </rPr>
      <t>2</t>
    </r>
    <r>
      <rPr>
        <sz val="14"/>
        <color theme="1"/>
        <rFont val="標楷體"/>
        <family val="4"/>
        <charset val="136"/>
      </rPr>
      <t>。</t>
    </r>
    <phoneticPr fontId="3" type="noConversion"/>
  </si>
  <si>
    <t>14050180</t>
    <phoneticPr fontId="3" type="noConversion"/>
  </si>
  <si>
    <r>
      <rPr>
        <b/>
        <u/>
        <sz val="14"/>
        <color rgb="FFFF0000"/>
        <rFont val="標楷體"/>
        <family val="4"/>
        <charset val="136"/>
      </rPr>
      <t>廢土場負責人</t>
    </r>
    <phoneticPr fontId="5" type="noConversion"/>
  </si>
  <si>
    <r>
      <rPr>
        <sz val="14"/>
        <color theme="1"/>
        <rFont val="標楷體"/>
        <family val="4"/>
        <charset val="136"/>
      </rPr>
      <t>因應現行實務新增，廢土場主要堆放建築物建造、拆除及公共工程施工所產生之廢土石方、磚瓦及混凝土塊等等，環境較為複雜，建議職業等級比一般行業負責人為高。</t>
    </r>
    <phoneticPr fontId="3" type="noConversion"/>
  </si>
  <si>
    <r>
      <t xml:space="preserve">1406  </t>
    </r>
    <r>
      <rPr>
        <sz val="14"/>
        <rFont val="標楷體"/>
        <family val="4"/>
        <charset val="136"/>
      </rPr>
      <t>石化工業</t>
    </r>
    <phoneticPr fontId="3" type="noConversion"/>
  </si>
  <si>
    <t>14060010</t>
    <phoneticPr fontId="3" type="noConversion"/>
  </si>
  <si>
    <t>14060020</t>
    <phoneticPr fontId="3" type="noConversion"/>
  </si>
  <si>
    <t>14060030</t>
    <phoneticPr fontId="3" type="noConversion"/>
  </si>
  <si>
    <t>14060040</t>
    <phoneticPr fontId="3" type="noConversion"/>
  </si>
  <si>
    <t>14060050</t>
    <phoneticPr fontId="3" type="noConversion"/>
  </si>
  <si>
    <t>14060060</t>
    <phoneticPr fontId="3" type="noConversion"/>
  </si>
  <si>
    <t>14060070</t>
    <phoneticPr fontId="3" type="noConversion"/>
  </si>
  <si>
    <t>14070010</t>
    <phoneticPr fontId="3" type="noConversion"/>
  </si>
  <si>
    <t>風塔維修人員</t>
    <phoneticPr fontId="3" type="noConversion"/>
  </si>
  <si>
    <r>
      <rPr>
        <sz val="14"/>
        <color theme="1"/>
        <rFont val="標楷體"/>
        <family val="4"/>
        <charset val="136"/>
      </rPr>
      <t>因應新興職業新增，風塔維修人員通常需攀爬風機進行高空作業，風機頂端通常很晃且狹窄，危險程度高，又離岸風塔建置在海上，危險程度更高，爰建議職業等級建議分別為</t>
    </r>
    <r>
      <rPr>
        <sz val="14"/>
        <color theme="1"/>
        <rFont val="Times New Roman"/>
        <family val="1"/>
      </rPr>
      <t>5</t>
    </r>
    <r>
      <rPr>
        <sz val="14"/>
        <color theme="1"/>
        <rFont val="標楷體"/>
        <family val="4"/>
        <charset val="136"/>
      </rPr>
      <t>級和</t>
    </r>
    <r>
      <rPr>
        <sz val="14"/>
        <color theme="1"/>
        <rFont val="Times New Roman"/>
        <family val="1"/>
      </rPr>
      <t>6</t>
    </r>
    <r>
      <rPr>
        <sz val="14"/>
        <color theme="1"/>
        <rFont val="標楷體"/>
        <family val="4"/>
        <charset val="136"/>
      </rPr>
      <t>級。</t>
    </r>
    <phoneticPr fontId="3" type="noConversion"/>
  </si>
  <si>
    <t>14070020</t>
    <phoneticPr fontId="3" type="noConversion"/>
  </si>
  <si>
    <r>
      <rPr>
        <b/>
        <u/>
        <sz val="14"/>
        <color rgb="FFFF0000"/>
        <rFont val="標楷體"/>
        <family val="4"/>
        <charset val="136"/>
      </rPr>
      <t>離岸風塔維修人員</t>
    </r>
    <phoneticPr fontId="3" type="noConversion"/>
  </si>
  <si>
    <t>14070030</t>
  </si>
  <si>
    <r>
      <rPr>
        <b/>
        <u/>
        <sz val="14"/>
        <color rgb="FFFF0000"/>
        <rFont val="標楷體"/>
        <family val="4"/>
        <charset val="136"/>
      </rPr>
      <t>風塔維修訓練人員</t>
    </r>
    <phoneticPr fontId="3" type="noConversion"/>
  </si>
  <si>
    <r>
      <rPr>
        <sz val="14"/>
        <color theme="1"/>
        <rFont val="標楷體"/>
        <family val="4"/>
        <charset val="136"/>
      </rPr>
      <t>因應新興職業新增，風塔維修訓練人員工作內容為教授實際作業維修之人，危險程度應比實際作業之維修人員為低，建議職業等級為</t>
    </r>
    <r>
      <rPr>
        <sz val="14"/>
        <color theme="1"/>
        <rFont val="Times New Roman"/>
        <family val="1"/>
      </rPr>
      <t>4</t>
    </r>
    <r>
      <rPr>
        <sz val="14"/>
        <color theme="1"/>
        <rFont val="標楷體"/>
        <family val="4"/>
        <charset val="136"/>
      </rPr>
      <t>級。</t>
    </r>
    <phoneticPr fontId="3" type="noConversion"/>
  </si>
  <si>
    <t>14070040</t>
  </si>
  <si>
    <r>
      <rPr>
        <b/>
        <u/>
        <sz val="14"/>
        <color rgb="FFFF0000"/>
        <rFont val="標楷體"/>
        <family val="4"/>
        <charset val="136"/>
      </rPr>
      <t>風力發電廠工作人員</t>
    </r>
    <phoneticPr fontId="5" type="noConversion"/>
  </si>
  <si>
    <r>
      <rPr>
        <sz val="14"/>
        <color theme="1"/>
        <rFont val="標楷體"/>
        <family val="4"/>
        <charset val="136"/>
      </rPr>
      <t>因應新興職業新增，風力發電廠皆設置於靠海且風力等級較強之地區，危險程度較高，建議職業等級為</t>
    </r>
    <r>
      <rPr>
        <sz val="14"/>
        <color theme="1"/>
        <rFont val="Times New Roman"/>
        <family val="1"/>
      </rPr>
      <t>5</t>
    </r>
    <r>
      <rPr>
        <sz val="14"/>
        <color theme="1"/>
        <rFont val="標楷體"/>
        <family val="4"/>
        <charset val="136"/>
      </rPr>
      <t>級。</t>
    </r>
    <phoneticPr fontId="3" type="noConversion"/>
  </si>
  <si>
    <t>14070050</t>
  </si>
  <si>
    <r>
      <rPr>
        <b/>
        <u/>
        <sz val="14"/>
        <color rgb="FFFF0000"/>
        <rFont val="標楷體"/>
        <family val="4"/>
        <charset val="136"/>
      </rPr>
      <t>風力發電廠架設人員</t>
    </r>
    <phoneticPr fontId="5" type="noConversion"/>
  </si>
  <si>
    <t>14070060</t>
  </si>
  <si>
    <r>
      <rPr>
        <b/>
        <u/>
        <sz val="14"/>
        <color rgb="FFFF0000"/>
        <rFont val="標楷體"/>
        <family val="4"/>
        <charset val="136"/>
      </rPr>
      <t>風電發電廠設計工程師</t>
    </r>
    <phoneticPr fontId="5" type="noConversion"/>
  </si>
  <si>
    <r>
      <rPr>
        <sz val="14"/>
        <color theme="1"/>
        <rFont val="標楷體"/>
        <family val="4"/>
        <charset val="136"/>
      </rPr>
      <t>因應新興職業新增，建議比一般電子業工程師職業等級為高。</t>
    </r>
  </si>
  <si>
    <r>
      <t xml:space="preserve">15     
 </t>
    </r>
    <r>
      <rPr>
        <sz val="14"/>
        <rFont val="標楷體"/>
        <family val="4"/>
        <charset val="136"/>
      </rPr>
      <t>一般
商業</t>
    </r>
    <phoneticPr fontId="3" type="noConversion"/>
  </si>
  <si>
    <r>
      <t xml:space="preserve">1500 </t>
    </r>
    <r>
      <rPr>
        <sz val="14"/>
        <rFont val="標楷體"/>
        <family val="4"/>
        <charset val="136"/>
      </rPr>
      <t>買賣</t>
    </r>
    <phoneticPr fontId="3" type="noConversion"/>
  </si>
  <si>
    <t>15000010</t>
    <phoneticPr fontId="5" type="noConversion"/>
  </si>
  <si>
    <t>15000020</t>
    <phoneticPr fontId="5" type="noConversion"/>
  </si>
  <si>
    <t>15000030</t>
    <phoneticPr fontId="5" type="noConversion"/>
  </si>
  <si>
    <r>
      <rPr>
        <b/>
        <sz val="14"/>
        <color theme="1"/>
        <rFont val="標楷體"/>
        <family val="4"/>
        <charset val="136"/>
      </rPr>
      <t>古董商</t>
    </r>
    <r>
      <rPr>
        <b/>
        <u/>
        <sz val="14"/>
        <color rgb="FFFF0000"/>
        <rFont val="標楷體"/>
        <family val="4"/>
        <charset val="136"/>
      </rPr>
      <t>（負責人）</t>
    </r>
    <phoneticPr fontId="5" type="noConversion"/>
  </si>
  <si>
    <t>將負責人與一般員工各獨立列為一工作性質。</t>
    <phoneticPr fontId="1" type="noConversion"/>
  </si>
  <si>
    <t>15000031</t>
    <phoneticPr fontId="3" type="noConversion"/>
  </si>
  <si>
    <r>
      <rPr>
        <b/>
        <u/>
        <sz val="14"/>
        <color rgb="FFFF0000"/>
        <rFont val="標楷體"/>
        <family val="4"/>
        <charset val="136"/>
      </rPr>
      <t>古董商</t>
    </r>
    <r>
      <rPr>
        <b/>
        <u/>
        <sz val="14"/>
        <color rgb="FFFF0000"/>
        <rFont val="Times New Roman"/>
        <family val="1"/>
      </rPr>
      <t>(</t>
    </r>
    <r>
      <rPr>
        <b/>
        <u/>
        <sz val="14"/>
        <color rgb="FFFF0000"/>
        <rFont val="標楷體"/>
        <family val="4"/>
        <charset val="136"/>
      </rPr>
      <t>行</t>
    </r>
    <r>
      <rPr>
        <b/>
        <u/>
        <sz val="14"/>
        <color rgb="FFFF0000"/>
        <rFont val="Times New Roman"/>
        <family val="1"/>
      </rPr>
      <t>)</t>
    </r>
    <r>
      <rPr>
        <b/>
        <u/>
        <sz val="14"/>
        <color rgb="FFFF0000"/>
        <rFont val="標楷體"/>
        <family val="4"/>
        <charset val="136"/>
      </rPr>
      <t>一般員工</t>
    </r>
    <phoneticPr fontId="5" type="noConversion"/>
  </si>
  <si>
    <t>15000040</t>
    <phoneticPr fontId="5" type="noConversion"/>
  </si>
  <si>
    <t>15000050</t>
    <phoneticPr fontId="5" type="noConversion"/>
  </si>
  <si>
    <t>15000060</t>
    <phoneticPr fontId="5" type="noConversion"/>
  </si>
  <si>
    <t>15000070</t>
    <phoneticPr fontId="5" type="noConversion"/>
  </si>
  <si>
    <t>15000080</t>
    <phoneticPr fontId="5" type="noConversion"/>
  </si>
  <si>
    <t>15000090</t>
    <phoneticPr fontId="5" type="noConversion"/>
  </si>
  <si>
    <t>15000100</t>
    <phoneticPr fontId="5" type="noConversion"/>
  </si>
  <si>
    <t>15000110</t>
    <phoneticPr fontId="5" type="noConversion"/>
  </si>
  <si>
    <t>15000120</t>
    <phoneticPr fontId="5" type="noConversion"/>
  </si>
  <si>
    <t>15000130</t>
    <phoneticPr fontId="5" type="noConversion"/>
  </si>
  <si>
    <t>15000140</t>
    <phoneticPr fontId="5" type="noConversion"/>
  </si>
  <si>
    <t>15000150</t>
    <phoneticPr fontId="5" type="noConversion"/>
  </si>
  <si>
    <t>15000160</t>
    <phoneticPr fontId="5" type="noConversion"/>
  </si>
  <si>
    <t>15000170</t>
    <phoneticPr fontId="5" type="noConversion"/>
  </si>
  <si>
    <t>15000180</t>
    <phoneticPr fontId="5" type="noConversion"/>
  </si>
  <si>
    <t>15000190</t>
    <phoneticPr fontId="5" type="noConversion"/>
  </si>
  <si>
    <t>15000200</t>
    <phoneticPr fontId="5" type="noConversion"/>
  </si>
  <si>
    <t>15000210</t>
    <phoneticPr fontId="5" type="noConversion"/>
  </si>
  <si>
    <t>15000220</t>
    <phoneticPr fontId="5" type="noConversion"/>
  </si>
  <si>
    <t>15000230</t>
    <phoneticPr fontId="5" type="noConversion"/>
  </si>
  <si>
    <r>
      <rPr>
        <b/>
        <sz val="14"/>
        <color theme="1"/>
        <rFont val="標楷體"/>
        <family val="4"/>
        <charset val="136"/>
      </rPr>
      <t>食品飲料商</t>
    </r>
    <r>
      <rPr>
        <b/>
        <u/>
        <sz val="14"/>
        <color rgb="FFFF0000"/>
        <rFont val="標楷體"/>
        <family val="4"/>
        <charset val="136"/>
      </rPr>
      <t>、茶葉商</t>
    </r>
    <phoneticPr fontId="5" type="noConversion"/>
  </si>
  <si>
    <t>15000240</t>
    <phoneticPr fontId="5" type="noConversion"/>
  </si>
  <si>
    <t>15000250</t>
    <phoneticPr fontId="5" type="noConversion"/>
  </si>
  <si>
    <t>15000260</t>
    <phoneticPr fontId="5" type="noConversion"/>
  </si>
  <si>
    <t>15000270</t>
    <phoneticPr fontId="5" type="noConversion"/>
  </si>
  <si>
    <t>15000280</t>
    <phoneticPr fontId="5" type="noConversion"/>
  </si>
  <si>
    <t>15000290</t>
    <phoneticPr fontId="5" type="noConversion"/>
  </si>
  <si>
    <t>15000300</t>
    <phoneticPr fontId="5" type="noConversion"/>
  </si>
  <si>
    <r>
      <rPr>
        <b/>
        <sz val="14"/>
        <color theme="1"/>
        <rFont val="標楷體"/>
        <family val="4"/>
        <charset val="136"/>
      </rPr>
      <t>化學原料商、肥料買賣商</t>
    </r>
    <r>
      <rPr>
        <b/>
        <u/>
        <sz val="14"/>
        <color rgb="FFFF0000"/>
        <rFont val="標楷體"/>
        <family val="4"/>
        <charset val="136"/>
      </rPr>
      <t>、農藥買賣商</t>
    </r>
    <phoneticPr fontId="5" type="noConversion"/>
  </si>
  <si>
    <t>15000310</t>
    <phoneticPr fontId="5" type="noConversion"/>
  </si>
  <si>
    <t>15000320</t>
    <phoneticPr fontId="5" type="noConversion"/>
  </si>
  <si>
    <t>15000330</t>
    <phoneticPr fontId="5" type="noConversion"/>
  </si>
  <si>
    <r>
      <rPr>
        <b/>
        <u/>
        <sz val="14"/>
        <color rgb="FFFF0000"/>
        <rFont val="標楷體"/>
        <family val="4"/>
        <charset val="136"/>
      </rPr>
      <t>瓦斯器具商</t>
    </r>
    <r>
      <rPr>
        <b/>
        <sz val="14"/>
        <color theme="1"/>
        <rFont val="標楷體"/>
        <family val="4"/>
        <charset val="136"/>
      </rPr>
      <t>負責人</t>
    </r>
    <phoneticPr fontId="5" type="noConversion"/>
  </si>
  <si>
    <t>15000340</t>
    <phoneticPr fontId="5" type="noConversion"/>
  </si>
  <si>
    <r>
      <rPr>
        <b/>
        <u/>
        <sz val="14"/>
        <color rgb="FFFF0000"/>
        <rFont val="標楷體"/>
        <family val="4"/>
        <charset val="136"/>
      </rPr>
      <t>瓦斯器具商</t>
    </r>
    <r>
      <rPr>
        <b/>
        <sz val="14"/>
        <rFont val="標楷體"/>
        <family val="4"/>
        <charset val="136"/>
      </rPr>
      <t>店員</t>
    </r>
    <phoneticPr fontId="5" type="noConversion"/>
  </si>
  <si>
    <t>15000350</t>
    <phoneticPr fontId="5" type="noConversion"/>
  </si>
  <si>
    <r>
      <rPr>
        <b/>
        <u/>
        <sz val="14"/>
        <color rgb="FFFF0000"/>
        <rFont val="標楷體"/>
        <family val="4"/>
        <charset val="136"/>
      </rPr>
      <t>瓦斯器具商</t>
    </r>
    <r>
      <rPr>
        <b/>
        <sz val="14"/>
        <rFont val="標楷體"/>
        <family val="4"/>
        <charset val="136"/>
      </rPr>
      <t>送貨員</t>
    </r>
    <phoneticPr fontId="5" type="noConversion"/>
  </si>
  <si>
    <t>15000360</t>
    <phoneticPr fontId="5" type="noConversion"/>
  </si>
  <si>
    <r>
      <rPr>
        <b/>
        <u/>
        <sz val="14"/>
        <color rgb="FFFF0000"/>
        <rFont val="標楷體"/>
        <family val="4"/>
        <charset val="136"/>
      </rPr>
      <t>瓦斯器具商</t>
    </r>
    <r>
      <rPr>
        <b/>
        <sz val="14"/>
        <rFont val="標楷體"/>
        <family val="4"/>
        <charset val="136"/>
      </rPr>
      <t>裝設工</t>
    </r>
    <phoneticPr fontId="5" type="noConversion"/>
  </si>
  <si>
    <t>15000370</t>
    <phoneticPr fontId="5" type="noConversion"/>
  </si>
  <si>
    <r>
      <rPr>
        <b/>
        <u/>
        <sz val="14"/>
        <color rgb="FFFF0000"/>
        <rFont val="標楷體"/>
        <family val="4"/>
        <charset val="136"/>
      </rPr>
      <t>液化瓦斯零售商</t>
    </r>
    <r>
      <rPr>
        <b/>
        <sz val="14"/>
        <rFont val="標楷體"/>
        <family val="4"/>
        <charset val="136"/>
      </rPr>
      <t>負責人</t>
    </r>
    <phoneticPr fontId="5" type="noConversion"/>
  </si>
  <si>
    <t>15000380</t>
    <phoneticPr fontId="5" type="noConversion"/>
  </si>
  <si>
    <r>
      <rPr>
        <b/>
        <u/>
        <sz val="14"/>
        <color rgb="FFFF0000"/>
        <rFont val="標楷體"/>
        <family val="4"/>
        <charset val="136"/>
      </rPr>
      <t>液化瓦斯零售商</t>
    </r>
    <r>
      <rPr>
        <b/>
        <sz val="14"/>
        <rFont val="標楷體"/>
        <family val="4"/>
        <charset val="136"/>
      </rPr>
      <t>店員</t>
    </r>
    <phoneticPr fontId="5" type="noConversion"/>
  </si>
  <si>
    <t>15000390</t>
    <phoneticPr fontId="5" type="noConversion"/>
  </si>
  <si>
    <r>
      <rPr>
        <b/>
        <u/>
        <sz val="14"/>
        <color rgb="FFFF0000"/>
        <rFont val="標楷體"/>
        <family val="4"/>
        <charset val="136"/>
      </rPr>
      <t>液化瓦斯零售商</t>
    </r>
    <r>
      <rPr>
        <b/>
        <sz val="14"/>
        <rFont val="標楷體"/>
        <family val="4"/>
        <charset val="136"/>
      </rPr>
      <t>送貨員</t>
    </r>
    <phoneticPr fontId="5" type="noConversion"/>
  </si>
  <si>
    <t>15000400</t>
    <phoneticPr fontId="5" type="noConversion"/>
  </si>
  <si>
    <r>
      <rPr>
        <b/>
        <u/>
        <sz val="14"/>
        <color rgb="FFFF0000"/>
        <rFont val="標楷體"/>
        <family val="4"/>
        <charset val="136"/>
      </rPr>
      <t>液化瓦斯零售商</t>
    </r>
    <r>
      <rPr>
        <b/>
        <sz val="14"/>
        <rFont val="標楷體"/>
        <family val="4"/>
        <charset val="136"/>
      </rPr>
      <t>瓦斯分裝工</t>
    </r>
    <phoneticPr fontId="5" type="noConversion"/>
  </si>
  <si>
    <t>15000410</t>
    <phoneticPr fontId="5" type="noConversion"/>
  </si>
  <si>
    <t>15000420</t>
    <phoneticPr fontId="5" type="noConversion"/>
  </si>
  <si>
    <r>
      <rPr>
        <b/>
        <sz val="14"/>
        <rFont val="標楷體"/>
        <family val="4"/>
        <charset val="136"/>
      </rPr>
      <t>超市、便利商店店員</t>
    </r>
    <r>
      <rPr>
        <b/>
        <u/>
        <sz val="14"/>
        <color rgb="FFFF0000"/>
        <rFont val="標楷體"/>
        <family val="4"/>
        <charset val="136"/>
      </rPr>
      <t>、藥妝店服務人員</t>
    </r>
    <phoneticPr fontId="3" type="noConversion"/>
  </si>
  <si>
    <r>
      <rPr>
        <sz val="14"/>
        <color theme="1"/>
        <rFont val="標楷體"/>
        <family val="4"/>
        <charset val="136"/>
      </rPr>
      <t>因應現行零售店實務，新增藥妝店服務人員。</t>
    </r>
    <phoneticPr fontId="3" type="noConversion"/>
  </si>
  <si>
    <t>15000421</t>
    <phoneticPr fontId="3" type="noConversion"/>
  </si>
  <si>
    <r>
      <rPr>
        <b/>
        <u/>
        <sz val="14"/>
        <color rgb="FFFF0000"/>
        <rFont val="標楷體"/>
        <family val="4"/>
        <charset val="136"/>
      </rPr>
      <t>大型超市量販店買賣</t>
    </r>
    <r>
      <rPr>
        <b/>
        <u/>
        <sz val="14"/>
        <color rgb="FFFF0000"/>
        <rFont val="Times New Roman"/>
        <family val="1"/>
      </rPr>
      <t>/</t>
    </r>
    <r>
      <rPr>
        <b/>
        <u/>
        <sz val="14"/>
        <color rgb="FFFF0000"/>
        <rFont val="標楷體"/>
        <family val="4"/>
        <charset val="136"/>
      </rPr>
      <t>理貨人員</t>
    </r>
    <r>
      <rPr>
        <b/>
        <u/>
        <sz val="14"/>
        <color rgb="FFFF0000"/>
        <rFont val="Times New Roman"/>
        <family val="1"/>
      </rPr>
      <t>(</t>
    </r>
    <r>
      <rPr>
        <b/>
        <u/>
        <sz val="14"/>
        <color rgb="FFFF0000"/>
        <rFont val="標楷體"/>
        <family val="4"/>
        <charset val="136"/>
      </rPr>
      <t>需操作堆高機等機械</t>
    </r>
    <r>
      <rPr>
        <b/>
        <u/>
        <sz val="14"/>
        <color rgb="FFFF0000"/>
        <rFont val="Times New Roman"/>
        <family val="1"/>
      </rPr>
      <t>)</t>
    </r>
    <phoneticPr fontId="5" type="noConversion"/>
  </si>
  <si>
    <r>
      <rPr>
        <sz val="14"/>
        <color theme="1"/>
        <rFont val="標楷體"/>
        <family val="4"/>
        <charset val="136"/>
      </rPr>
      <t>因應該行業實務作業，建議增列相關工作性質，且應須操作大型機械，危險等級應比一般理貨人員高，建議為</t>
    </r>
    <r>
      <rPr>
        <sz val="14"/>
        <color theme="1"/>
        <rFont val="Times New Roman"/>
        <family val="1"/>
      </rPr>
      <t>2</t>
    </r>
    <r>
      <rPr>
        <sz val="14"/>
        <color theme="1"/>
        <rFont val="標楷體"/>
        <family val="4"/>
        <charset val="136"/>
      </rPr>
      <t>級。</t>
    </r>
    <phoneticPr fontId="3" type="noConversion"/>
  </si>
  <si>
    <t>15000430</t>
    <phoneticPr fontId="5" type="noConversion"/>
  </si>
  <si>
    <r>
      <rPr>
        <b/>
        <sz val="14"/>
        <color theme="1"/>
        <rFont val="標楷體"/>
        <family val="4"/>
        <charset val="136"/>
      </rPr>
      <t>銀樓商</t>
    </r>
    <r>
      <rPr>
        <b/>
        <sz val="14"/>
        <color theme="1"/>
        <rFont val="Times New Roman"/>
        <family val="1"/>
      </rPr>
      <t>(</t>
    </r>
    <r>
      <rPr>
        <b/>
        <u/>
        <sz val="14"/>
        <color rgb="FFFF0000"/>
        <rFont val="標楷體"/>
        <family val="4"/>
        <charset val="136"/>
      </rPr>
      <t>負責人</t>
    </r>
    <r>
      <rPr>
        <b/>
        <u/>
        <sz val="14"/>
        <color rgb="FFFF0000"/>
        <rFont val="Times New Roman"/>
        <family val="1"/>
      </rPr>
      <t>)</t>
    </r>
    <phoneticPr fontId="5" type="noConversion"/>
  </si>
  <si>
    <r>
      <rPr>
        <sz val="14"/>
        <color theme="1"/>
        <rFont val="標楷體"/>
        <family val="4"/>
        <charset val="136"/>
      </rPr>
      <t>將負責人與一般員工各獨立列為一工作性質。</t>
    </r>
  </si>
  <si>
    <t>15000431</t>
    <phoneticPr fontId="5" type="noConversion"/>
  </si>
  <si>
    <r>
      <rPr>
        <b/>
        <u/>
        <sz val="14"/>
        <color rgb="FFFF0000"/>
        <rFont val="標楷體"/>
        <family val="4"/>
        <charset val="136"/>
      </rPr>
      <t>銀樓一般員工</t>
    </r>
    <phoneticPr fontId="5" type="noConversion"/>
  </si>
  <si>
    <t>15000440</t>
    <phoneticPr fontId="5" type="noConversion"/>
  </si>
  <si>
    <t>15000441</t>
    <phoneticPr fontId="5" type="noConversion"/>
  </si>
  <si>
    <r>
      <rPr>
        <b/>
        <u/>
        <sz val="14"/>
        <color rgb="FFFF0000"/>
        <rFont val="標楷體"/>
        <family val="4"/>
        <charset val="136"/>
      </rPr>
      <t>珠寶商</t>
    </r>
    <r>
      <rPr>
        <b/>
        <u/>
        <sz val="14"/>
        <color rgb="FFFF0000"/>
        <rFont val="Times New Roman"/>
        <family val="1"/>
      </rPr>
      <t>(</t>
    </r>
    <r>
      <rPr>
        <b/>
        <u/>
        <sz val="14"/>
        <color rgb="FFFF0000"/>
        <rFont val="標楷體"/>
        <family val="4"/>
        <charset val="136"/>
      </rPr>
      <t>負責人</t>
    </r>
    <r>
      <rPr>
        <b/>
        <u/>
        <sz val="14"/>
        <color rgb="FFFF0000"/>
        <rFont val="Times New Roman"/>
        <family val="1"/>
      </rPr>
      <t>)</t>
    </r>
    <r>
      <rPr>
        <b/>
        <u/>
        <sz val="14"/>
        <color rgb="FFFF0000"/>
        <rFont val="標楷體"/>
        <family val="4"/>
        <charset val="136"/>
      </rPr>
      <t>、珠寶公司負責人</t>
    </r>
    <phoneticPr fontId="5" type="noConversion"/>
  </si>
  <si>
    <r>
      <rPr>
        <sz val="14"/>
        <color theme="1"/>
        <rFont val="標楷體"/>
        <family val="4"/>
        <charset val="136"/>
      </rPr>
      <t>建議新增並比照一般行業負責人，職業等級為</t>
    </r>
    <r>
      <rPr>
        <sz val="14"/>
        <color theme="1"/>
        <rFont val="Times New Roman"/>
        <family val="1"/>
      </rPr>
      <t>1</t>
    </r>
    <r>
      <rPr>
        <sz val="14"/>
        <color theme="1"/>
        <rFont val="標楷體"/>
        <family val="4"/>
        <charset val="136"/>
      </rPr>
      <t>級。</t>
    </r>
    <phoneticPr fontId="3" type="noConversion"/>
  </si>
  <si>
    <t>15000450</t>
    <phoneticPr fontId="5" type="noConversion"/>
  </si>
  <si>
    <r>
      <rPr>
        <b/>
        <sz val="14"/>
        <rFont val="標楷體"/>
        <family val="4"/>
        <charset val="136"/>
      </rPr>
      <t>當鋪商</t>
    </r>
    <r>
      <rPr>
        <b/>
        <u/>
        <sz val="14"/>
        <color rgb="FFFF0000"/>
        <rFont val="Times New Roman"/>
        <family val="1"/>
      </rPr>
      <t>(</t>
    </r>
    <r>
      <rPr>
        <b/>
        <u/>
        <sz val="14"/>
        <color rgb="FFFF0000"/>
        <rFont val="標楷體"/>
        <family val="4"/>
        <charset val="136"/>
      </rPr>
      <t>負責人</t>
    </r>
    <r>
      <rPr>
        <b/>
        <u/>
        <sz val="14"/>
        <color rgb="FFFF0000"/>
        <rFont val="Times New Roman"/>
        <family val="1"/>
      </rPr>
      <t>)</t>
    </r>
    <phoneticPr fontId="3" type="noConversion"/>
  </si>
  <si>
    <r>
      <rPr>
        <sz val="14"/>
        <color theme="1"/>
        <rFont val="標楷體"/>
        <family val="4"/>
        <charset val="136"/>
      </rPr>
      <t>因應建議新增之當鋪一般員工，爰建議增加描述性文字說明本項工作性質。</t>
    </r>
    <phoneticPr fontId="3" type="noConversion"/>
  </si>
  <si>
    <t>15000451</t>
    <phoneticPr fontId="5" type="noConversion"/>
  </si>
  <si>
    <r>
      <rPr>
        <b/>
        <u/>
        <sz val="14"/>
        <color rgb="FFFF0000"/>
        <rFont val="標楷體"/>
        <family val="4"/>
        <charset val="136"/>
      </rPr>
      <t>當鋪一般內勤員工</t>
    </r>
    <phoneticPr fontId="5" type="noConversion"/>
  </si>
  <si>
    <r>
      <rPr>
        <sz val="14"/>
        <color theme="1"/>
        <rFont val="標楷體"/>
        <family val="4"/>
        <charset val="136"/>
      </rPr>
      <t>建議新增並比照一般內勤人員，職業等級為</t>
    </r>
    <r>
      <rPr>
        <sz val="14"/>
        <color theme="1"/>
        <rFont val="Times New Roman"/>
        <family val="1"/>
      </rPr>
      <t>1</t>
    </r>
    <r>
      <rPr>
        <sz val="14"/>
        <color theme="1"/>
        <rFont val="標楷體"/>
        <family val="4"/>
        <charset val="136"/>
      </rPr>
      <t>。</t>
    </r>
    <phoneticPr fontId="3" type="noConversion"/>
  </si>
  <si>
    <t>15000452</t>
  </si>
  <si>
    <r>
      <rPr>
        <b/>
        <u/>
        <sz val="14"/>
        <color rgb="FFFF0000"/>
        <rFont val="標楷體"/>
        <family val="4"/>
        <charset val="136"/>
      </rPr>
      <t>當鋪外勤業務</t>
    </r>
    <phoneticPr fontId="5" type="noConversion"/>
  </si>
  <si>
    <r>
      <rPr>
        <sz val="14"/>
        <color theme="1"/>
        <rFont val="標楷體"/>
        <family val="4"/>
        <charset val="136"/>
      </rPr>
      <t>建議新增並比照一般外勤人員，職業等級為</t>
    </r>
    <r>
      <rPr>
        <sz val="14"/>
        <color theme="1"/>
        <rFont val="Times New Roman"/>
        <family val="1"/>
      </rPr>
      <t>2</t>
    </r>
    <r>
      <rPr>
        <sz val="14"/>
        <color theme="1"/>
        <rFont val="標楷體"/>
        <family val="4"/>
        <charset val="136"/>
      </rPr>
      <t>。</t>
    </r>
    <phoneticPr fontId="3" type="noConversion"/>
  </si>
  <si>
    <t>15000460</t>
    <phoneticPr fontId="5" type="noConversion"/>
  </si>
  <si>
    <t>15000470</t>
    <phoneticPr fontId="5" type="noConversion"/>
  </si>
  <si>
    <r>
      <rPr>
        <b/>
        <sz val="14"/>
        <color theme="1"/>
        <rFont val="標楷體"/>
        <family val="4"/>
        <charset val="136"/>
      </rPr>
      <t>檳榔商</t>
    </r>
    <r>
      <rPr>
        <b/>
        <sz val="14"/>
        <color theme="1"/>
        <rFont val="Times New Roman"/>
        <family val="1"/>
      </rPr>
      <t>(</t>
    </r>
    <r>
      <rPr>
        <b/>
        <u/>
        <sz val="14"/>
        <color rgb="FFFF0000"/>
        <rFont val="標楷體"/>
        <family val="4"/>
        <charset val="136"/>
      </rPr>
      <t>負責人</t>
    </r>
    <r>
      <rPr>
        <b/>
        <u/>
        <sz val="14"/>
        <color rgb="FFFF0000"/>
        <rFont val="Times New Roman"/>
        <family val="1"/>
      </rPr>
      <t>)</t>
    </r>
    <phoneticPr fontId="3" type="noConversion"/>
  </si>
  <si>
    <r>
      <rPr>
        <sz val="14"/>
        <color theme="1"/>
        <rFont val="標楷體"/>
        <family val="4"/>
        <charset val="136"/>
      </rPr>
      <t>因應建議新增之當鋪一般員工，原建議增加描述性文字說明本項工作性質。</t>
    </r>
    <phoneticPr fontId="3" type="noConversion"/>
  </si>
  <si>
    <t>15000471</t>
    <phoneticPr fontId="5" type="noConversion"/>
  </si>
  <si>
    <r>
      <rPr>
        <b/>
        <u/>
        <sz val="14"/>
        <color rgb="FFFF0000"/>
        <rFont val="標楷體"/>
        <family val="4"/>
        <charset val="136"/>
      </rPr>
      <t>檳榔商</t>
    </r>
    <r>
      <rPr>
        <b/>
        <u/>
        <sz val="14"/>
        <color rgb="FFFF0000"/>
        <rFont val="Times New Roman"/>
        <family val="1"/>
      </rPr>
      <t>(</t>
    </r>
    <r>
      <rPr>
        <b/>
        <u/>
        <sz val="14"/>
        <color rgb="FFFF0000"/>
        <rFont val="標楷體"/>
        <family val="4"/>
        <charset val="136"/>
      </rPr>
      <t>攤</t>
    </r>
    <r>
      <rPr>
        <b/>
        <u/>
        <sz val="14"/>
        <color rgb="FFFF0000"/>
        <rFont val="Times New Roman"/>
        <family val="1"/>
      </rPr>
      <t>)</t>
    </r>
    <r>
      <rPr>
        <b/>
        <u/>
        <sz val="14"/>
        <color rgb="FFFF0000"/>
        <rFont val="標楷體"/>
        <family val="4"/>
        <charset val="136"/>
      </rPr>
      <t>一般員工</t>
    </r>
    <phoneticPr fontId="5" type="noConversion"/>
  </si>
  <si>
    <t>15000480</t>
    <phoneticPr fontId="5" type="noConversion"/>
  </si>
  <si>
    <t>15000490</t>
    <phoneticPr fontId="5" type="noConversion"/>
  </si>
  <si>
    <r>
      <rPr>
        <b/>
        <sz val="14"/>
        <color theme="1"/>
        <rFont val="標楷體"/>
        <family val="4"/>
        <charset val="136"/>
      </rPr>
      <t>廢五金買賣商</t>
    </r>
    <r>
      <rPr>
        <b/>
        <u/>
        <sz val="14"/>
        <color rgb="FFFF0000"/>
        <rFont val="Times New Roman"/>
        <family val="1"/>
      </rPr>
      <t>(</t>
    </r>
    <r>
      <rPr>
        <b/>
        <u/>
        <sz val="14"/>
        <color rgb="FFFF0000"/>
        <rFont val="標楷體"/>
        <family val="4"/>
        <charset val="136"/>
      </rPr>
      <t>不負責處理</t>
    </r>
    <r>
      <rPr>
        <b/>
        <u/>
        <sz val="14"/>
        <color rgb="FFFF0000"/>
        <rFont val="Times New Roman"/>
        <family val="1"/>
      </rPr>
      <t>)</t>
    </r>
    <phoneticPr fontId="5" type="noConversion"/>
  </si>
  <si>
    <r>
      <rPr>
        <sz val="14"/>
        <color theme="1"/>
        <rFont val="標楷體"/>
        <family val="4"/>
        <charset val="136"/>
      </rPr>
      <t>新增文字說明工作性質。</t>
    </r>
    <phoneticPr fontId="3" type="noConversion"/>
  </si>
  <si>
    <t>15000500</t>
  </si>
  <si>
    <t>15000510</t>
    <phoneticPr fontId="3" type="noConversion"/>
  </si>
  <si>
    <r>
      <rPr>
        <b/>
        <u/>
        <sz val="14"/>
        <color rgb="FFFF0000"/>
        <rFont val="標楷體"/>
        <family val="4"/>
        <charset val="136"/>
      </rPr>
      <t>軍火商</t>
    </r>
    <phoneticPr fontId="5" type="noConversion"/>
  </si>
  <si>
    <r>
      <rPr>
        <sz val="14"/>
        <color theme="1"/>
        <rFont val="標楷體"/>
        <family val="4"/>
        <charset val="136"/>
      </rPr>
      <t>建議增列軍火商。</t>
    </r>
    <phoneticPr fontId="3" type="noConversion"/>
  </si>
  <si>
    <t>15000520</t>
    <phoneticPr fontId="3" type="noConversion"/>
  </si>
  <si>
    <r>
      <rPr>
        <b/>
        <u/>
        <sz val="14"/>
        <color rgb="FFFF0000"/>
        <rFont val="標楷體"/>
        <family val="4"/>
        <charset val="136"/>
      </rPr>
      <t>鐘錶商</t>
    </r>
    <r>
      <rPr>
        <b/>
        <u/>
        <sz val="14"/>
        <color rgb="FFFF0000"/>
        <rFont val="Times New Roman"/>
        <family val="1"/>
      </rPr>
      <t>(</t>
    </r>
    <r>
      <rPr>
        <b/>
        <u/>
        <sz val="14"/>
        <color rgb="FFFF0000"/>
        <rFont val="標楷體"/>
        <family val="4"/>
        <charset val="136"/>
      </rPr>
      <t>負責人</t>
    </r>
    <r>
      <rPr>
        <b/>
        <u/>
        <sz val="14"/>
        <color rgb="FFFF0000"/>
        <rFont val="Times New Roman"/>
        <family val="1"/>
      </rPr>
      <t>)</t>
    </r>
  </si>
  <si>
    <r>
      <rPr>
        <sz val="14"/>
        <color theme="1"/>
        <rFont val="標楷體"/>
        <family val="4"/>
        <charset val="136"/>
      </rPr>
      <t>建議新增並比照一般行業負責人，職業等級為</t>
    </r>
    <r>
      <rPr>
        <sz val="14"/>
        <color theme="1"/>
        <rFont val="Times New Roman"/>
        <family val="1"/>
      </rPr>
      <t>1</t>
    </r>
    <r>
      <rPr>
        <sz val="14"/>
        <color theme="1"/>
        <rFont val="標楷體"/>
        <family val="4"/>
        <charset val="136"/>
      </rPr>
      <t>級。</t>
    </r>
  </si>
  <si>
    <t>15000521</t>
    <phoneticPr fontId="3" type="noConversion"/>
  </si>
  <si>
    <r>
      <rPr>
        <b/>
        <u/>
        <sz val="14"/>
        <color rgb="FFFF0000"/>
        <rFont val="標楷體"/>
        <family val="4"/>
        <charset val="136"/>
      </rPr>
      <t>鐘錶商</t>
    </r>
    <r>
      <rPr>
        <b/>
        <u/>
        <sz val="14"/>
        <color rgb="FFFF0000"/>
        <rFont val="Times New Roman"/>
        <family val="1"/>
      </rPr>
      <t>(</t>
    </r>
    <r>
      <rPr>
        <b/>
        <u/>
        <sz val="14"/>
        <color rgb="FFFF0000"/>
        <rFont val="標楷體"/>
        <family val="4"/>
        <charset val="136"/>
      </rPr>
      <t>行</t>
    </r>
    <r>
      <rPr>
        <b/>
        <u/>
        <sz val="14"/>
        <color rgb="FFFF0000"/>
        <rFont val="Times New Roman"/>
        <family val="1"/>
      </rPr>
      <t>)</t>
    </r>
    <r>
      <rPr>
        <b/>
        <u/>
        <sz val="14"/>
        <color rgb="FFFF0000"/>
        <rFont val="標楷體"/>
        <family val="4"/>
        <charset val="136"/>
      </rPr>
      <t>一般員工</t>
    </r>
  </si>
  <si>
    <r>
      <rPr>
        <sz val="14"/>
        <color theme="1"/>
        <rFont val="標楷體"/>
        <family val="4"/>
        <charset val="136"/>
      </rPr>
      <t>建議新增並比照一般內勤人員，職業等級為</t>
    </r>
    <r>
      <rPr>
        <sz val="14"/>
        <color theme="1"/>
        <rFont val="Times New Roman"/>
        <family val="1"/>
      </rPr>
      <t>1</t>
    </r>
    <r>
      <rPr>
        <sz val="14"/>
        <color theme="1"/>
        <rFont val="標楷體"/>
        <family val="4"/>
        <charset val="136"/>
      </rPr>
      <t>級。</t>
    </r>
  </si>
  <si>
    <t>15000530</t>
    <phoneticPr fontId="3" type="noConversion"/>
  </si>
  <si>
    <r>
      <rPr>
        <b/>
        <u/>
        <sz val="14"/>
        <color rgb="FFFF0000"/>
        <rFont val="標楷體"/>
        <family val="4"/>
        <charset val="136"/>
      </rPr>
      <t>彩券販售</t>
    </r>
    <r>
      <rPr>
        <b/>
        <u/>
        <sz val="14"/>
        <color rgb="FFFF0000"/>
        <rFont val="Times New Roman"/>
        <family val="1"/>
      </rPr>
      <t>(</t>
    </r>
    <r>
      <rPr>
        <b/>
        <u/>
        <sz val="14"/>
        <color rgb="FFFF0000"/>
        <rFont val="標楷體"/>
        <family val="4"/>
        <charset val="136"/>
      </rPr>
      <t>有店面</t>
    </r>
    <r>
      <rPr>
        <b/>
        <u/>
        <sz val="14"/>
        <color rgb="FFFF0000"/>
        <rFont val="Times New Roman"/>
        <family val="1"/>
      </rPr>
      <t>)</t>
    </r>
  </si>
  <si>
    <r>
      <rPr>
        <sz val="14"/>
        <color theme="1"/>
        <rFont val="標楷體"/>
        <family val="4"/>
        <charset val="136"/>
      </rPr>
      <t>因應新興職業新增，並區分有無店面，職業等級分別為</t>
    </r>
    <r>
      <rPr>
        <sz val="14"/>
        <color theme="1"/>
        <rFont val="Times New Roman"/>
        <family val="1"/>
      </rPr>
      <t>1</t>
    </r>
    <r>
      <rPr>
        <sz val="14"/>
        <color theme="1"/>
        <rFont val="標楷體"/>
        <family val="4"/>
        <charset val="136"/>
      </rPr>
      <t>和</t>
    </r>
    <r>
      <rPr>
        <sz val="14"/>
        <color theme="1"/>
        <rFont val="Times New Roman"/>
        <family val="1"/>
      </rPr>
      <t>2</t>
    </r>
    <r>
      <rPr>
        <sz val="14"/>
        <color theme="1"/>
        <rFont val="標楷體"/>
        <family val="4"/>
        <charset val="136"/>
      </rPr>
      <t>。</t>
    </r>
    <phoneticPr fontId="3" type="noConversion"/>
  </si>
  <si>
    <t>15000531</t>
    <phoneticPr fontId="3" type="noConversion"/>
  </si>
  <si>
    <r>
      <rPr>
        <b/>
        <u/>
        <sz val="14"/>
        <color rgb="FFFF0000"/>
        <rFont val="標楷體"/>
        <family val="4"/>
        <charset val="136"/>
      </rPr>
      <t>彩券販售</t>
    </r>
    <r>
      <rPr>
        <b/>
        <u/>
        <sz val="14"/>
        <color rgb="FFFF0000"/>
        <rFont val="Times New Roman"/>
        <family val="1"/>
      </rPr>
      <t>(</t>
    </r>
    <r>
      <rPr>
        <b/>
        <u/>
        <sz val="14"/>
        <color rgb="FFFF0000"/>
        <rFont val="標楷體"/>
        <family val="4"/>
        <charset val="136"/>
      </rPr>
      <t>無店面</t>
    </r>
    <r>
      <rPr>
        <b/>
        <u/>
        <sz val="14"/>
        <color rgb="FFFF0000"/>
        <rFont val="Times New Roman"/>
        <family val="1"/>
      </rPr>
      <t>)</t>
    </r>
  </si>
  <si>
    <t>15000540</t>
    <phoneticPr fontId="3" type="noConversion"/>
  </si>
  <si>
    <r>
      <rPr>
        <b/>
        <u/>
        <sz val="14"/>
        <color rgb="FFFF0000"/>
        <rFont val="標楷體"/>
        <family val="4"/>
        <charset val="136"/>
      </rPr>
      <t>藝術品拍賣業負責人</t>
    </r>
    <r>
      <rPr>
        <b/>
        <u/>
        <sz val="14"/>
        <color rgb="FFFF0000"/>
        <rFont val="Times New Roman"/>
        <family val="1"/>
      </rPr>
      <t/>
    </r>
    <phoneticPr fontId="3" type="noConversion"/>
  </si>
  <si>
    <r>
      <rPr>
        <sz val="14"/>
        <color theme="1"/>
        <rFont val="標楷體"/>
        <family val="4"/>
        <charset val="136"/>
      </rPr>
      <t>因應新興職業新增，比照一般行業負責人職業等級為</t>
    </r>
    <r>
      <rPr>
        <sz val="14"/>
        <color theme="1"/>
        <rFont val="Times New Roman"/>
        <family val="1"/>
      </rPr>
      <t>1</t>
    </r>
    <r>
      <rPr>
        <sz val="14"/>
        <color theme="1"/>
        <rFont val="標楷體"/>
        <family val="4"/>
        <charset val="136"/>
      </rPr>
      <t>級。</t>
    </r>
  </si>
  <si>
    <t>15000550</t>
    <phoneticPr fontId="3" type="noConversion"/>
  </si>
  <si>
    <r>
      <rPr>
        <b/>
        <u/>
        <sz val="14"/>
        <color rgb="FFFF0000"/>
        <rFont val="標楷體"/>
        <family val="4"/>
        <charset val="136"/>
      </rPr>
      <t>藝術品拍賣業行政工作人員</t>
    </r>
    <r>
      <rPr>
        <b/>
        <u/>
        <sz val="14"/>
        <color rgb="FFFF0000"/>
        <rFont val="Times New Roman"/>
        <family val="1"/>
      </rPr>
      <t>(</t>
    </r>
    <r>
      <rPr>
        <b/>
        <u/>
        <sz val="14"/>
        <color rgb="FFFF0000"/>
        <rFont val="標楷體"/>
        <family val="4"/>
        <charset val="136"/>
      </rPr>
      <t>於辦公室內且完全不參與勞務者</t>
    </r>
    <r>
      <rPr>
        <b/>
        <u/>
        <sz val="14"/>
        <color rgb="FFFF0000"/>
        <rFont val="Times New Roman"/>
        <family val="1"/>
      </rPr>
      <t>)</t>
    </r>
    <phoneticPr fontId="3" type="noConversion"/>
  </si>
  <si>
    <r>
      <rPr>
        <sz val="14"/>
        <color theme="1"/>
        <rFont val="標楷體"/>
        <family val="4"/>
        <charset val="136"/>
      </rPr>
      <t>因應新興職業新增，並比照一般內勤人員，職業等級為</t>
    </r>
    <r>
      <rPr>
        <sz val="14"/>
        <color theme="1"/>
        <rFont val="Times New Roman"/>
        <family val="1"/>
      </rPr>
      <t>1</t>
    </r>
    <r>
      <rPr>
        <sz val="14"/>
        <color theme="1"/>
        <rFont val="標楷體"/>
        <family val="4"/>
        <charset val="136"/>
      </rPr>
      <t>級。</t>
    </r>
  </si>
  <si>
    <t>15000560</t>
    <phoneticPr fontId="3" type="noConversion"/>
  </si>
  <si>
    <r>
      <rPr>
        <b/>
        <u/>
        <sz val="14"/>
        <color rgb="FFFF0000"/>
        <rFont val="標楷體"/>
        <family val="4"/>
        <charset val="136"/>
      </rPr>
      <t>藝術品拍賣外勤業務人員</t>
    </r>
  </si>
  <si>
    <r>
      <rPr>
        <sz val="14"/>
        <color theme="1"/>
        <rFont val="標楷體"/>
        <family val="4"/>
        <charset val="136"/>
      </rPr>
      <t>因應新興職業新增，比照一般外勤人員，職業等級為</t>
    </r>
    <r>
      <rPr>
        <sz val="14"/>
        <color theme="1"/>
        <rFont val="Times New Roman"/>
        <family val="1"/>
      </rPr>
      <t>2</t>
    </r>
    <r>
      <rPr>
        <sz val="14"/>
        <color theme="1"/>
        <rFont val="標楷體"/>
        <family val="4"/>
        <charset val="136"/>
      </rPr>
      <t>。</t>
    </r>
    <phoneticPr fontId="3" type="noConversion"/>
  </si>
  <si>
    <t>15000570</t>
  </si>
  <si>
    <r>
      <rPr>
        <b/>
        <u/>
        <sz val="14"/>
        <color rgb="FFFF0000"/>
        <rFont val="標楷體"/>
        <family val="4"/>
        <charset val="136"/>
      </rPr>
      <t>虛擬資產業負責人</t>
    </r>
    <r>
      <rPr>
        <b/>
        <u/>
        <sz val="14"/>
        <color rgb="FFFF0000"/>
        <rFont val="Times New Roman"/>
        <family val="1"/>
      </rPr>
      <t/>
    </r>
    <phoneticPr fontId="3" type="noConversion"/>
  </si>
  <si>
    <t>15000580</t>
  </si>
  <si>
    <r>
      <rPr>
        <b/>
        <u/>
        <sz val="14"/>
        <color rgb="FFFF0000"/>
        <rFont val="標楷體"/>
        <family val="4"/>
        <charset val="136"/>
      </rPr>
      <t>虛擬資產業行政工作人員</t>
    </r>
    <r>
      <rPr>
        <b/>
        <u/>
        <sz val="14"/>
        <color rgb="FFFF0000"/>
        <rFont val="Times New Roman"/>
        <family val="1"/>
      </rPr>
      <t>(</t>
    </r>
    <r>
      <rPr>
        <b/>
        <u/>
        <sz val="14"/>
        <color rgb="FFFF0000"/>
        <rFont val="標楷體"/>
        <family val="4"/>
        <charset val="136"/>
      </rPr>
      <t>於辦公室內且完全不參與勞務者</t>
    </r>
    <r>
      <rPr>
        <b/>
        <u/>
        <sz val="14"/>
        <color rgb="FFFF0000"/>
        <rFont val="Times New Roman"/>
        <family val="1"/>
      </rPr>
      <t>)</t>
    </r>
    <phoneticPr fontId="3" type="noConversion"/>
  </si>
  <si>
    <t>15000590</t>
  </si>
  <si>
    <r>
      <rPr>
        <b/>
        <u/>
        <sz val="14"/>
        <color rgb="FFFF0000"/>
        <rFont val="標楷體"/>
        <family val="4"/>
        <charset val="136"/>
      </rPr>
      <t>虛擬資產業外勤業務人員</t>
    </r>
  </si>
  <si>
    <r>
      <rPr>
        <sz val="14"/>
        <color theme="1"/>
        <rFont val="標楷體"/>
        <family val="4"/>
        <charset val="136"/>
      </rPr>
      <t>因應新興職業新增，比照一般外勤人員，職業等級為</t>
    </r>
    <r>
      <rPr>
        <sz val="14"/>
        <color theme="1"/>
        <rFont val="Times New Roman"/>
        <family val="1"/>
      </rPr>
      <t>2</t>
    </r>
    <r>
      <rPr>
        <sz val="14"/>
        <color theme="1"/>
        <rFont val="標楷體"/>
        <family val="4"/>
        <charset val="136"/>
      </rPr>
      <t>級。</t>
    </r>
    <phoneticPr fontId="3" type="noConversion"/>
  </si>
  <si>
    <t>15000600</t>
    <phoneticPr fontId="3" type="noConversion"/>
  </si>
  <si>
    <r>
      <rPr>
        <b/>
        <u/>
        <sz val="14"/>
        <color rgb="FFFF0000"/>
        <rFont val="標楷體"/>
        <family val="4"/>
        <charset val="136"/>
      </rPr>
      <t>百貨公司工作人員</t>
    </r>
    <r>
      <rPr>
        <b/>
        <u/>
        <sz val="14"/>
        <color rgb="FFFF0000"/>
        <rFont val="Times New Roman"/>
        <family val="1"/>
      </rPr>
      <t>(</t>
    </r>
    <r>
      <rPr>
        <b/>
        <u/>
        <sz val="14"/>
        <color rgb="FFFF0000"/>
        <rFont val="標楷體"/>
        <family val="4"/>
        <charset val="136"/>
      </rPr>
      <t>櫃檯人員、服務台、樓管、行政人員、專櫃人員</t>
    </r>
    <r>
      <rPr>
        <b/>
        <u/>
        <sz val="14"/>
        <color rgb="FFFF0000"/>
        <rFont val="Times New Roman"/>
        <family val="1"/>
      </rPr>
      <t>)</t>
    </r>
    <phoneticPr fontId="5" type="noConversion"/>
  </si>
  <si>
    <t>15000610</t>
  </si>
  <si>
    <r>
      <rPr>
        <b/>
        <u/>
        <sz val="14"/>
        <color rgb="FFFF0000"/>
        <rFont val="標楷體"/>
        <family val="4"/>
        <charset val="136"/>
      </rPr>
      <t>夾娃娃機台主</t>
    </r>
    <phoneticPr fontId="5" type="noConversion"/>
  </si>
  <si>
    <r>
      <rPr>
        <sz val="14"/>
        <color theme="1"/>
        <rFont val="標楷體"/>
        <family val="4"/>
        <charset val="136"/>
      </rPr>
      <t>因應新興職業，增列夾娃娃機台主，建議比照外勤人員，職業等級為</t>
    </r>
    <r>
      <rPr>
        <sz val="14"/>
        <color theme="1"/>
        <rFont val="Times New Roman"/>
        <family val="1"/>
      </rPr>
      <t>2</t>
    </r>
    <r>
      <rPr>
        <sz val="14"/>
        <color theme="1"/>
        <rFont val="標楷體"/>
        <family val="4"/>
        <charset val="136"/>
      </rPr>
      <t>級。</t>
    </r>
    <phoneticPr fontId="3" type="noConversion"/>
  </si>
  <si>
    <t>15000620</t>
    <phoneticPr fontId="5" type="noConversion"/>
  </si>
  <si>
    <r>
      <rPr>
        <b/>
        <u/>
        <sz val="14"/>
        <color rgb="FFFF0000"/>
        <rFont val="標楷體"/>
        <family val="4"/>
        <charset val="136"/>
      </rPr>
      <t>石化燃料貿易商負責人</t>
    </r>
    <phoneticPr fontId="5" type="noConversion"/>
  </si>
  <si>
    <r>
      <rPr>
        <sz val="14"/>
        <color theme="1"/>
        <rFont val="標楷體"/>
        <family val="4"/>
        <charset val="136"/>
      </rPr>
      <t>因應現行實務新增，貿易商負責人工作內容為拜訪石化燃料業客戶，危險性質相較一般負責人高，爰建議職業等級為</t>
    </r>
    <r>
      <rPr>
        <sz val="14"/>
        <color theme="1"/>
        <rFont val="Times New Roman"/>
        <family val="1"/>
      </rPr>
      <t>2</t>
    </r>
    <r>
      <rPr>
        <sz val="14"/>
        <color theme="1"/>
        <rFont val="標楷體"/>
        <family val="4"/>
        <charset val="136"/>
      </rPr>
      <t>級。</t>
    </r>
    <phoneticPr fontId="3" type="noConversion"/>
  </si>
  <si>
    <r>
      <t xml:space="preserve">16      
</t>
    </r>
    <r>
      <rPr>
        <sz val="14"/>
        <rFont val="標楷體"/>
        <family val="4"/>
        <charset val="136"/>
      </rPr>
      <t>服務業</t>
    </r>
    <phoneticPr fontId="3" type="noConversion"/>
  </si>
  <si>
    <r>
      <t xml:space="preserve">1601   </t>
    </r>
    <r>
      <rPr>
        <sz val="14"/>
        <rFont val="標楷體"/>
        <family val="4"/>
        <charset val="136"/>
      </rPr>
      <t>銀行、保險、
信託、租貸</t>
    </r>
    <phoneticPr fontId="3" type="noConversion"/>
  </si>
  <si>
    <t>16010010</t>
    <phoneticPr fontId="3" type="noConversion"/>
  </si>
  <si>
    <t>16010020</t>
    <phoneticPr fontId="3" type="noConversion"/>
  </si>
  <si>
    <t>16010030</t>
    <phoneticPr fontId="3" type="noConversion"/>
  </si>
  <si>
    <t>16010040</t>
  </si>
  <si>
    <t>16010050</t>
    <phoneticPr fontId="5" type="noConversion"/>
  </si>
  <si>
    <t>16010060</t>
    <phoneticPr fontId="3" type="noConversion"/>
  </si>
  <si>
    <r>
      <rPr>
        <b/>
        <u/>
        <sz val="14"/>
        <color rgb="FFFF0000"/>
        <rFont val="標楷體"/>
        <family val="4"/>
        <charset val="136"/>
      </rPr>
      <t>金融機構（銀行、合作社）駐衛警</t>
    </r>
    <phoneticPr fontId="3" type="noConversion"/>
  </si>
  <si>
    <r>
      <t>"16030091"</t>
    </r>
    <r>
      <rPr>
        <sz val="14"/>
        <color theme="1"/>
        <rFont val="標楷體"/>
        <family val="4"/>
        <charset val="136"/>
      </rPr>
      <t>警衛、保全人員（負有巡邏押運任務者）職業等級為</t>
    </r>
    <r>
      <rPr>
        <sz val="14"/>
        <color theme="1"/>
        <rFont val="Times New Roman"/>
        <family val="1"/>
      </rPr>
      <t>4</t>
    </r>
    <r>
      <rPr>
        <sz val="14"/>
        <color theme="1"/>
        <rFont val="標楷體"/>
        <family val="4"/>
        <charset val="136"/>
      </rPr>
      <t>，但金融機構駐衛警應無負責押運任務，危險程度較低，建議為</t>
    </r>
    <r>
      <rPr>
        <sz val="14"/>
        <color theme="1"/>
        <rFont val="Times New Roman"/>
        <family val="1"/>
      </rPr>
      <t>3</t>
    </r>
    <r>
      <rPr>
        <sz val="14"/>
        <color theme="1"/>
        <rFont val="標楷體"/>
        <family val="4"/>
        <charset val="136"/>
      </rPr>
      <t>級</t>
    </r>
    <phoneticPr fontId="3" type="noConversion"/>
  </si>
  <si>
    <t>16010070</t>
    <phoneticPr fontId="3" type="noConversion"/>
  </si>
  <si>
    <r>
      <rPr>
        <b/>
        <u/>
        <sz val="14"/>
        <color rgb="FFFF0000"/>
        <rFont val="標楷體"/>
        <family val="4"/>
        <charset val="136"/>
      </rPr>
      <t>銀行、保險、信託、租賃業公司負責人</t>
    </r>
    <phoneticPr fontId="5" type="noConversion"/>
  </si>
  <si>
    <r>
      <rPr>
        <sz val="14"/>
        <color theme="1"/>
        <rFont val="標楷體"/>
        <family val="4"/>
        <charset val="136"/>
      </rPr>
      <t>因應現行實務新增，並比照一般行業負責人，職業等級為</t>
    </r>
    <r>
      <rPr>
        <sz val="14"/>
        <color theme="1"/>
        <rFont val="Times New Roman"/>
        <family val="1"/>
      </rPr>
      <t>1</t>
    </r>
    <r>
      <rPr>
        <sz val="14"/>
        <color theme="1"/>
        <rFont val="標楷體"/>
        <family val="4"/>
        <charset val="136"/>
      </rPr>
      <t>。</t>
    </r>
    <phoneticPr fontId="3" type="noConversion"/>
  </si>
  <si>
    <t>16010080</t>
  </si>
  <si>
    <r>
      <rPr>
        <b/>
        <u/>
        <sz val="14"/>
        <color rgb="FFFF0000"/>
        <rFont val="標楷體"/>
        <family val="4"/>
        <charset val="136"/>
      </rPr>
      <t>顧問服務業公司負責人</t>
    </r>
  </si>
  <si>
    <r>
      <rPr>
        <sz val="14"/>
        <color theme="1"/>
        <rFont val="標楷體"/>
        <family val="4"/>
        <charset val="136"/>
      </rPr>
      <t>因應現行實務新增，並比照一般行業負責人，職業等級</t>
    </r>
    <r>
      <rPr>
        <sz val="14"/>
        <color theme="1"/>
        <rFont val="Times New Roman"/>
        <family val="1"/>
      </rPr>
      <t>1</t>
    </r>
    <r>
      <rPr>
        <sz val="14"/>
        <color theme="1"/>
        <rFont val="標楷體"/>
        <family val="4"/>
        <charset val="136"/>
      </rPr>
      <t>。</t>
    </r>
    <phoneticPr fontId="3" type="noConversion"/>
  </si>
  <si>
    <t>16010090</t>
  </si>
  <si>
    <r>
      <rPr>
        <b/>
        <u/>
        <sz val="14"/>
        <color rgb="FFFF0000"/>
        <rFont val="標楷體"/>
        <family val="4"/>
        <charset val="136"/>
      </rPr>
      <t>金融業電話行銷人員</t>
    </r>
    <phoneticPr fontId="3" type="noConversion"/>
  </si>
  <si>
    <r>
      <rPr>
        <sz val="14"/>
        <color theme="1"/>
        <rFont val="標楷體"/>
        <family val="4"/>
        <charset val="136"/>
      </rPr>
      <t>金融業電銷人員工作地點為室內，建議比照一般內勤人員，職業等級為</t>
    </r>
    <r>
      <rPr>
        <sz val="14"/>
        <color theme="1"/>
        <rFont val="Times New Roman"/>
        <family val="1"/>
      </rPr>
      <t>1</t>
    </r>
    <r>
      <rPr>
        <sz val="14"/>
        <color theme="1"/>
        <rFont val="標楷體"/>
        <family val="4"/>
        <charset val="136"/>
      </rPr>
      <t>。</t>
    </r>
    <phoneticPr fontId="3" type="noConversion"/>
  </si>
  <si>
    <t>16010100</t>
  </si>
  <si>
    <r>
      <rPr>
        <b/>
        <u/>
        <sz val="14"/>
        <color rgb="FFFF0000"/>
        <rFont val="標楷體"/>
        <family val="4"/>
        <charset val="136"/>
      </rPr>
      <t>證券、投資、信託公司內勤人員</t>
    </r>
    <phoneticPr fontId="5" type="noConversion"/>
  </si>
  <si>
    <r>
      <rPr>
        <sz val="14"/>
        <color theme="1"/>
        <rFont val="標楷體"/>
        <family val="4"/>
        <charset val="136"/>
      </rPr>
      <t>因應現行實務新增，並比照一般行業內勤人員，職業等級為</t>
    </r>
    <r>
      <rPr>
        <sz val="14"/>
        <color theme="1"/>
        <rFont val="Times New Roman"/>
        <family val="1"/>
      </rPr>
      <t>1</t>
    </r>
    <r>
      <rPr>
        <sz val="14"/>
        <color theme="1"/>
        <rFont val="標楷體"/>
        <family val="4"/>
        <charset val="136"/>
      </rPr>
      <t>。</t>
    </r>
    <phoneticPr fontId="3" type="noConversion"/>
  </si>
  <si>
    <t>16010110</t>
  </si>
  <si>
    <r>
      <rPr>
        <b/>
        <u/>
        <sz val="14"/>
        <color rgb="FFFF0000"/>
        <rFont val="標楷體"/>
        <family val="4"/>
        <charset val="136"/>
      </rPr>
      <t>票券公司內勤人員</t>
    </r>
    <phoneticPr fontId="5" type="noConversion"/>
  </si>
  <si>
    <r>
      <rPr>
        <sz val="14"/>
        <color theme="1"/>
        <rFont val="標楷體"/>
        <family val="4"/>
        <charset val="136"/>
      </rPr>
      <t>因應現行實務新增，並區分內外勤。</t>
    </r>
    <phoneticPr fontId="3" type="noConversion"/>
  </si>
  <si>
    <t>16010120</t>
  </si>
  <si>
    <r>
      <rPr>
        <b/>
        <u/>
        <sz val="14"/>
        <color rgb="FFFF0000"/>
        <rFont val="標楷體"/>
        <family val="4"/>
        <charset val="136"/>
      </rPr>
      <t>票券公司業務外勤人員</t>
    </r>
    <phoneticPr fontId="5" type="noConversion"/>
  </si>
  <si>
    <t>16010130</t>
  </si>
  <si>
    <r>
      <rPr>
        <b/>
        <u/>
        <sz val="14"/>
        <color rgb="FFFF0000"/>
        <rFont val="標楷體"/>
        <family val="4"/>
        <charset val="136"/>
      </rPr>
      <t>理財、管理顧問公司內勤人員</t>
    </r>
    <phoneticPr fontId="5" type="noConversion"/>
  </si>
  <si>
    <t>16010140</t>
  </si>
  <si>
    <r>
      <rPr>
        <b/>
        <u/>
        <sz val="14"/>
        <color rgb="FFFF0000"/>
        <rFont val="標楷體"/>
        <family val="4"/>
        <charset val="136"/>
      </rPr>
      <t>理財、管理顧問公司業務外勤人員</t>
    </r>
    <phoneticPr fontId="5" type="noConversion"/>
  </si>
  <si>
    <r>
      <t xml:space="preserve">1602  </t>
    </r>
    <r>
      <rPr>
        <sz val="14"/>
        <rFont val="標楷體"/>
        <family val="4"/>
        <charset val="136"/>
      </rPr>
      <t>自由業</t>
    </r>
    <phoneticPr fontId="3" type="noConversion"/>
  </si>
  <si>
    <t>16020010</t>
    <phoneticPr fontId="3" type="noConversion"/>
  </si>
  <si>
    <t>16020020</t>
    <phoneticPr fontId="3" type="noConversion"/>
  </si>
  <si>
    <t>16020030</t>
    <phoneticPr fontId="3" type="noConversion"/>
  </si>
  <si>
    <t>16020040</t>
  </si>
  <si>
    <t>16020050</t>
  </si>
  <si>
    <t>16020060</t>
    <phoneticPr fontId="5" type="noConversion"/>
  </si>
  <si>
    <t>16020070</t>
    <phoneticPr fontId="3" type="noConversion"/>
  </si>
  <si>
    <r>
      <rPr>
        <b/>
        <u/>
        <sz val="14"/>
        <color rgb="FFFF0000"/>
        <rFont val="標楷體"/>
        <family val="4"/>
        <charset val="136"/>
      </rPr>
      <t>記帳士、記帳及報稅代理人</t>
    </r>
    <phoneticPr fontId="5" type="noConversion"/>
  </si>
  <si>
    <r>
      <rPr>
        <sz val="14"/>
        <color theme="1"/>
        <rFont val="標楷體"/>
        <family val="4"/>
        <charset val="136"/>
      </rPr>
      <t>因應現行實務，建議新增並比照一般內勤人員，職業等級為</t>
    </r>
    <r>
      <rPr>
        <sz val="14"/>
        <color theme="1"/>
        <rFont val="Times New Roman"/>
        <family val="1"/>
      </rPr>
      <t>1</t>
    </r>
    <r>
      <rPr>
        <sz val="14"/>
        <color theme="1"/>
        <rFont val="標楷體"/>
        <family val="4"/>
        <charset val="136"/>
      </rPr>
      <t>級。</t>
    </r>
    <phoneticPr fontId="3" type="noConversion"/>
  </si>
  <si>
    <t>16020080</t>
    <phoneticPr fontId="3" type="noConversion"/>
  </si>
  <si>
    <r>
      <rPr>
        <b/>
        <u/>
        <sz val="14"/>
        <color rgb="FFFF0000"/>
        <rFont val="標楷體"/>
        <family val="4"/>
        <charset val="136"/>
      </rPr>
      <t>專業投資人、理財顧問、投資公司負責人</t>
    </r>
    <phoneticPr fontId="5" type="noConversion"/>
  </si>
  <si>
    <r>
      <rPr>
        <sz val="14"/>
        <color theme="1"/>
        <rFont val="標楷體"/>
        <family val="4"/>
        <charset val="136"/>
      </rPr>
      <t>因應現行實務新增，並比照一般行業負責人，職業等級</t>
    </r>
    <r>
      <rPr>
        <sz val="14"/>
        <color theme="1"/>
        <rFont val="Times New Roman"/>
        <family val="1"/>
      </rPr>
      <t>1</t>
    </r>
    <r>
      <rPr>
        <sz val="14"/>
        <color theme="1"/>
        <rFont val="標楷體"/>
        <family val="4"/>
        <charset val="136"/>
      </rPr>
      <t>級。</t>
    </r>
    <phoneticPr fontId="3" type="noConversion"/>
  </si>
  <si>
    <t>16020090</t>
    <phoneticPr fontId="5" type="noConversion"/>
  </si>
  <si>
    <r>
      <rPr>
        <b/>
        <u/>
        <sz val="14"/>
        <color rgb="FFFF0000"/>
        <rFont val="標楷體"/>
        <family val="4"/>
        <charset val="136"/>
      </rPr>
      <t>人力仲介</t>
    </r>
    <phoneticPr fontId="5" type="noConversion"/>
  </si>
  <si>
    <r>
      <rPr>
        <sz val="14"/>
        <color theme="1"/>
        <rFont val="標楷體"/>
        <family val="4"/>
        <charset val="136"/>
      </rPr>
      <t>因應新興職業新增，人力仲介常須帶外籍勞工體檢等等，建議比照一般外勤人員職業等級為</t>
    </r>
    <r>
      <rPr>
        <sz val="14"/>
        <color theme="1"/>
        <rFont val="Times New Roman"/>
        <family val="1"/>
      </rPr>
      <t>2</t>
    </r>
    <r>
      <rPr>
        <sz val="14"/>
        <color theme="1"/>
        <rFont val="標楷體"/>
        <family val="4"/>
        <charset val="136"/>
      </rPr>
      <t>級。</t>
    </r>
    <phoneticPr fontId="3" type="noConversion"/>
  </si>
  <si>
    <t>16020100</t>
    <phoneticPr fontId="5" type="noConversion"/>
  </si>
  <si>
    <r>
      <rPr>
        <b/>
        <u/>
        <sz val="14"/>
        <color rgb="FFFF0000"/>
        <rFont val="標楷體"/>
        <family val="4"/>
        <charset val="136"/>
      </rPr>
      <t>房屋仲介公司行政人員</t>
    </r>
    <phoneticPr fontId="5" type="noConversion"/>
  </si>
  <si>
    <t>16020110</t>
    <phoneticPr fontId="5" type="noConversion"/>
  </si>
  <si>
    <r>
      <rPr>
        <b/>
        <u/>
        <sz val="14"/>
        <color rgb="FFFF0000"/>
        <rFont val="標楷體"/>
        <family val="4"/>
        <charset val="136"/>
      </rPr>
      <t>預售屋房屋代銷人員</t>
    </r>
  </si>
  <si>
    <r>
      <rPr>
        <sz val="14"/>
        <color theme="1"/>
        <rFont val="標楷體"/>
        <family val="4"/>
        <charset val="136"/>
      </rPr>
      <t>因應現行實務新增，建議比照</t>
    </r>
    <r>
      <rPr>
        <sz val="14"/>
        <color theme="1"/>
        <rFont val="Times New Roman"/>
        <family val="1"/>
      </rPr>
      <t>"16020060"</t>
    </r>
    <r>
      <rPr>
        <sz val="14"/>
        <color theme="1"/>
        <rFont val="標楷體"/>
        <family val="4"/>
        <charset val="136"/>
      </rPr>
      <t>房屋土地仲介，職業等級</t>
    </r>
    <r>
      <rPr>
        <sz val="14"/>
        <color theme="1"/>
        <rFont val="Times New Roman"/>
        <family val="1"/>
      </rPr>
      <t>2</t>
    </r>
    <r>
      <rPr>
        <sz val="14"/>
        <color theme="1"/>
        <rFont val="標楷體"/>
        <family val="4"/>
        <charset val="136"/>
      </rPr>
      <t>級。</t>
    </r>
    <phoneticPr fontId="3" type="noConversion"/>
  </si>
  <si>
    <t>16020120</t>
    <phoneticPr fontId="5" type="noConversion"/>
  </si>
  <si>
    <r>
      <rPr>
        <b/>
        <u/>
        <sz val="14"/>
        <color rgb="FFFF0000"/>
        <rFont val="標楷體"/>
        <family val="4"/>
        <charset val="136"/>
      </rPr>
      <t>遺物清理師、家庭收納師、雜物整理師</t>
    </r>
    <phoneticPr fontId="5" type="noConversion"/>
  </si>
  <si>
    <r>
      <rPr>
        <sz val="14"/>
        <color theme="1"/>
        <rFont val="標楷體"/>
        <family val="4"/>
        <charset val="136"/>
      </rPr>
      <t>因應新興職業新增，其工作內容為外出到客戶指定地點整理收納，建議比照一般外勤人員職業等級為</t>
    </r>
    <r>
      <rPr>
        <sz val="14"/>
        <color theme="1"/>
        <rFont val="Times New Roman"/>
        <family val="1"/>
      </rPr>
      <t>2</t>
    </r>
    <r>
      <rPr>
        <sz val="14"/>
        <color theme="1"/>
        <rFont val="標楷體"/>
        <family val="4"/>
        <charset val="136"/>
      </rPr>
      <t>級。</t>
    </r>
    <phoneticPr fontId="3" type="noConversion"/>
  </si>
  <si>
    <t>16020130</t>
    <phoneticPr fontId="5" type="noConversion"/>
  </si>
  <si>
    <r>
      <rPr>
        <b/>
        <u/>
        <sz val="14"/>
        <color rgb="FFFF0000"/>
        <rFont val="標楷體"/>
        <family val="4"/>
        <charset val="136"/>
      </rPr>
      <t>新娘秘書</t>
    </r>
  </si>
  <si>
    <r>
      <rPr>
        <sz val="14"/>
        <color theme="1"/>
        <rFont val="標楷體"/>
        <family val="4"/>
        <charset val="136"/>
      </rPr>
      <t>因應新興職業新增，新娘秘書須到新娘指定地點工作，建議比照一般外勤人員職業等級為</t>
    </r>
    <r>
      <rPr>
        <sz val="14"/>
        <color theme="1"/>
        <rFont val="Times New Roman"/>
        <family val="1"/>
      </rPr>
      <t>2</t>
    </r>
    <r>
      <rPr>
        <sz val="14"/>
        <color theme="1"/>
        <rFont val="標楷體"/>
        <family val="4"/>
        <charset val="136"/>
      </rPr>
      <t>級。</t>
    </r>
    <phoneticPr fontId="3" type="noConversion"/>
  </si>
  <si>
    <t>16020140</t>
    <phoneticPr fontId="5" type="noConversion"/>
  </si>
  <si>
    <r>
      <rPr>
        <b/>
        <u/>
        <sz val="14"/>
        <color rgb="FFFF0000"/>
        <rFont val="標楷體"/>
        <family val="4"/>
        <charset val="136"/>
      </rPr>
      <t>美甲師</t>
    </r>
  </si>
  <si>
    <r>
      <rPr>
        <sz val="14"/>
        <color theme="1"/>
        <rFont val="標楷體"/>
        <family val="4"/>
        <charset val="136"/>
      </rPr>
      <t>因應新興職業新增，美甲師為室內靜態之工作內容，建議比照一般內勤人員，職業等級為</t>
    </r>
    <r>
      <rPr>
        <sz val="14"/>
        <color theme="1"/>
        <rFont val="Times New Roman"/>
        <family val="1"/>
      </rPr>
      <t>1</t>
    </r>
    <r>
      <rPr>
        <sz val="14"/>
        <color theme="1"/>
        <rFont val="標楷體"/>
        <family val="4"/>
        <charset val="136"/>
      </rPr>
      <t>級。</t>
    </r>
    <phoneticPr fontId="3" type="noConversion"/>
  </si>
  <si>
    <r>
      <t xml:space="preserve">1603  </t>
    </r>
    <r>
      <rPr>
        <sz val="14"/>
        <rFont val="標楷體"/>
        <family val="4"/>
        <charset val="136"/>
      </rPr>
      <t>其他</t>
    </r>
    <phoneticPr fontId="3" type="noConversion"/>
  </si>
  <si>
    <t>16030010</t>
    <phoneticPr fontId="3" type="noConversion"/>
  </si>
  <si>
    <t>16030011</t>
    <phoneticPr fontId="5" type="noConversion"/>
  </si>
  <si>
    <r>
      <rPr>
        <b/>
        <u/>
        <sz val="14"/>
        <color rgb="FFFF0000"/>
        <rFont val="標楷體"/>
        <family val="4"/>
        <charset val="136"/>
      </rPr>
      <t>公證人</t>
    </r>
    <r>
      <rPr>
        <b/>
        <u/>
        <sz val="14"/>
        <color rgb="FFFF0000"/>
        <rFont val="Times New Roman"/>
        <family val="1"/>
      </rPr>
      <t>(</t>
    </r>
    <r>
      <rPr>
        <b/>
        <u/>
        <sz val="14"/>
        <color rgb="FFFF0000"/>
        <rFont val="標楷體"/>
        <family val="4"/>
        <charset val="136"/>
      </rPr>
      <t>內勤</t>
    </r>
    <r>
      <rPr>
        <b/>
        <u/>
        <sz val="14"/>
        <color rgb="FFFF0000"/>
        <rFont val="Times New Roman"/>
        <family val="1"/>
      </rPr>
      <t>)</t>
    </r>
    <phoneticPr fontId="5" type="noConversion"/>
  </si>
  <si>
    <r>
      <rPr>
        <sz val="14"/>
        <color theme="1"/>
        <rFont val="標楷體"/>
        <family val="4"/>
        <charset val="136"/>
      </rPr>
      <t>新增工作性質，並區分內外勤。</t>
    </r>
    <phoneticPr fontId="3" type="noConversion"/>
  </si>
  <si>
    <t>16030012</t>
    <phoneticPr fontId="5" type="noConversion"/>
  </si>
  <si>
    <r>
      <rPr>
        <b/>
        <u/>
        <sz val="14"/>
        <color rgb="FFFF0000"/>
        <rFont val="標楷體"/>
        <family val="4"/>
        <charset val="136"/>
      </rPr>
      <t>公證人</t>
    </r>
    <r>
      <rPr>
        <b/>
        <u/>
        <sz val="14"/>
        <color rgb="FFFF0000"/>
        <rFont val="Times New Roman"/>
        <family val="1"/>
      </rPr>
      <t>(</t>
    </r>
    <r>
      <rPr>
        <b/>
        <u/>
        <sz val="14"/>
        <color rgb="FFFF0000"/>
        <rFont val="標楷體"/>
        <family val="4"/>
        <charset val="136"/>
      </rPr>
      <t>外勤</t>
    </r>
    <r>
      <rPr>
        <b/>
        <u/>
        <sz val="14"/>
        <color rgb="FFFF0000"/>
        <rFont val="Times New Roman"/>
        <family val="1"/>
      </rPr>
      <t>)</t>
    </r>
    <phoneticPr fontId="5" type="noConversion"/>
  </si>
  <si>
    <t>16030020</t>
    <phoneticPr fontId="3" type="noConversion"/>
  </si>
  <si>
    <t>16030030</t>
    <phoneticPr fontId="3" type="noConversion"/>
  </si>
  <si>
    <t>16030040</t>
    <phoneticPr fontId="3" type="noConversion"/>
  </si>
  <si>
    <t>16030041</t>
    <phoneticPr fontId="3" type="noConversion"/>
  </si>
  <si>
    <r>
      <rPr>
        <b/>
        <sz val="14"/>
        <color theme="1"/>
        <rFont val="標楷體"/>
        <family val="4"/>
        <charset val="136"/>
      </rPr>
      <t>寵物美容師</t>
    </r>
    <r>
      <rPr>
        <b/>
        <u/>
        <sz val="14"/>
        <color rgb="FFFF0000"/>
        <rFont val="標楷體"/>
        <family val="4"/>
        <charset val="136"/>
      </rPr>
      <t>、溝通師、寵物褓姆、寵物用品店店員</t>
    </r>
    <phoneticPr fontId="5" type="noConversion"/>
  </si>
  <si>
    <r>
      <rPr>
        <sz val="14"/>
        <color theme="1"/>
        <rFont val="標楷體"/>
        <family val="4"/>
        <charset val="136"/>
      </rPr>
      <t>因應新興職業增列類似之工作性質。</t>
    </r>
    <phoneticPr fontId="3" type="noConversion"/>
  </si>
  <si>
    <t>16030050</t>
  </si>
  <si>
    <t>16030060</t>
  </si>
  <si>
    <t>16030070</t>
  </si>
  <si>
    <r>
      <rPr>
        <b/>
        <sz val="14"/>
        <color theme="1"/>
        <rFont val="標楷體"/>
        <family val="4"/>
        <charset val="136"/>
      </rPr>
      <t>洗衣店</t>
    </r>
    <r>
      <rPr>
        <b/>
        <u/>
        <sz val="14"/>
        <color rgb="FFFF0000"/>
        <rFont val="標楷體"/>
        <family val="4"/>
        <charset val="136"/>
      </rPr>
      <t>人員</t>
    </r>
    <phoneticPr fontId="5" type="noConversion"/>
  </si>
  <si>
    <t>16030090</t>
  </si>
  <si>
    <t>16030091</t>
    <phoneticPr fontId="3" type="noConversion"/>
  </si>
  <si>
    <r>
      <rPr>
        <b/>
        <sz val="14"/>
        <color theme="1"/>
        <rFont val="標楷體"/>
        <family val="4"/>
        <charset val="136"/>
      </rPr>
      <t>警衛、保全人員</t>
    </r>
    <r>
      <rPr>
        <b/>
        <u/>
        <sz val="14"/>
        <color rgb="FFFF0000"/>
        <rFont val="標楷體"/>
        <family val="4"/>
        <charset val="136"/>
      </rPr>
      <t>、港口警衛及安全人員、機場警衛及安全人員（負有巡邏押運任務者）</t>
    </r>
    <phoneticPr fontId="5" type="noConversion"/>
  </si>
  <si>
    <t>16030100</t>
  </si>
  <si>
    <t>16030110</t>
  </si>
  <si>
    <r>
      <rPr>
        <b/>
        <sz val="14"/>
        <rFont val="標楷體"/>
        <family val="4"/>
        <charset val="136"/>
      </rPr>
      <t>攝影師</t>
    </r>
    <r>
      <rPr>
        <b/>
        <u/>
        <sz val="14"/>
        <color rgb="FFFF0000"/>
        <rFont val="Times New Roman"/>
        <family val="1"/>
      </rPr>
      <t>(</t>
    </r>
    <r>
      <rPr>
        <b/>
        <u/>
        <sz val="14"/>
        <color rgb="FFFF0000"/>
        <rFont val="標楷體"/>
        <family val="4"/>
        <charset val="136"/>
      </rPr>
      <t>無外拍</t>
    </r>
    <r>
      <rPr>
        <b/>
        <u/>
        <sz val="14"/>
        <color rgb="FFFF0000"/>
        <rFont val="Times New Roman"/>
        <family val="1"/>
      </rPr>
      <t>)</t>
    </r>
    <phoneticPr fontId="5" type="noConversion"/>
  </si>
  <si>
    <r>
      <rPr>
        <sz val="14"/>
        <color theme="1"/>
        <rFont val="標楷體"/>
        <family val="4"/>
        <charset val="136"/>
      </rPr>
      <t>將原攝影師區分有無外拍，分別列示。</t>
    </r>
    <phoneticPr fontId="3" type="noConversion"/>
  </si>
  <si>
    <t>16030111</t>
    <phoneticPr fontId="5" type="noConversion"/>
  </si>
  <si>
    <r>
      <rPr>
        <b/>
        <u/>
        <sz val="14"/>
        <color rgb="FFFF0000"/>
        <rFont val="標楷體"/>
        <family val="4"/>
        <charset val="136"/>
      </rPr>
      <t>攝影師</t>
    </r>
    <r>
      <rPr>
        <b/>
        <u/>
        <sz val="14"/>
        <color rgb="FFFF0000"/>
        <rFont val="Times New Roman"/>
        <family val="1"/>
      </rPr>
      <t>(</t>
    </r>
    <r>
      <rPr>
        <b/>
        <u/>
        <sz val="14"/>
        <color rgb="FFFF0000"/>
        <rFont val="標楷體"/>
        <family val="4"/>
        <charset val="136"/>
      </rPr>
      <t>有外拍</t>
    </r>
    <r>
      <rPr>
        <b/>
        <u/>
        <sz val="14"/>
        <color rgb="FFFF0000"/>
        <rFont val="Times New Roman"/>
        <family val="1"/>
      </rPr>
      <t>)</t>
    </r>
    <phoneticPr fontId="5" type="noConversion"/>
  </si>
  <si>
    <t>16030140</t>
  </si>
  <si>
    <r>
      <rPr>
        <b/>
        <sz val="14"/>
        <rFont val="標楷體"/>
        <family val="4"/>
        <charset val="136"/>
      </rPr>
      <t>清潔、打蠟、消毒、除蟲</t>
    </r>
    <r>
      <rPr>
        <b/>
        <u/>
        <sz val="14"/>
        <color rgb="FFFF0000"/>
        <rFont val="標楷體"/>
        <family val="4"/>
        <charset val="136"/>
      </rPr>
      <t>人員</t>
    </r>
    <phoneticPr fontId="3" type="noConversion"/>
  </si>
  <si>
    <t>16030150</t>
  </si>
  <si>
    <r>
      <rPr>
        <b/>
        <sz val="14"/>
        <rFont val="標楷體"/>
        <family val="4"/>
        <charset val="136"/>
      </rPr>
      <t>高樓外部清潔</t>
    </r>
    <r>
      <rPr>
        <b/>
        <u/>
        <sz val="14"/>
        <color rgb="FFFF0000"/>
        <rFont val="標楷體"/>
        <family val="4"/>
        <charset val="136"/>
      </rPr>
      <t>人員</t>
    </r>
    <phoneticPr fontId="3" type="noConversion"/>
  </si>
  <si>
    <t>16030160</t>
  </si>
  <si>
    <t>16030170</t>
  </si>
  <si>
    <t>16030180</t>
  </si>
  <si>
    <t>16030190</t>
  </si>
  <si>
    <r>
      <rPr>
        <b/>
        <sz val="14"/>
        <color theme="1"/>
        <rFont val="標楷體"/>
        <family val="4"/>
        <charset val="136"/>
      </rPr>
      <t>煙囪清潔</t>
    </r>
    <r>
      <rPr>
        <b/>
        <u/>
        <sz val="14"/>
        <color rgb="FFFF0000"/>
        <rFont val="標楷體"/>
        <family val="4"/>
        <charset val="136"/>
      </rPr>
      <t>人員</t>
    </r>
    <phoneticPr fontId="5" type="noConversion"/>
  </si>
  <si>
    <t>16030200</t>
  </si>
  <si>
    <t>16030210</t>
  </si>
  <si>
    <r>
      <rPr>
        <b/>
        <sz val="14"/>
        <color theme="1"/>
        <rFont val="標楷體"/>
        <family val="4"/>
        <charset val="136"/>
      </rPr>
      <t>三溫暖業櫃</t>
    </r>
    <r>
      <rPr>
        <b/>
        <u/>
        <sz val="14"/>
        <color rgb="FFFF0000"/>
        <rFont val="標楷體"/>
        <family val="4"/>
        <charset val="136"/>
      </rPr>
      <t>檯</t>
    </r>
    <r>
      <rPr>
        <b/>
        <sz val="14"/>
        <color theme="1"/>
        <rFont val="標楷體"/>
        <family val="4"/>
        <charset val="136"/>
      </rPr>
      <t>人員</t>
    </r>
  </si>
  <si>
    <t>16030220</t>
  </si>
  <si>
    <t>16030230</t>
    <phoneticPr fontId="5" type="noConversion"/>
  </si>
  <si>
    <t>16030240</t>
    <phoneticPr fontId="5" type="noConversion"/>
  </si>
  <si>
    <r>
      <rPr>
        <b/>
        <sz val="14"/>
        <color theme="1"/>
        <rFont val="標楷體"/>
        <family val="4"/>
        <charset val="136"/>
      </rPr>
      <t>汽車洗車、打臘美容</t>
    </r>
    <r>
      <rPr>
        <b/>
        <u/>
        <sz val="14"/>
        <color rgb="FFFF0000"/>
        <rFont val="標楷體"/>
        <family val="4"/>
        <charset val="136"/>
      </rPr>
      <t>人員</t>
    </r>
    <phoneticPr fontId="5" type="noConversion"/>
  </si>
  <si>
    <t>16030250</t>
    <phoneticPr fontId="5" type="noConversion"/>
  </si>
  <si>
    <t>16030260</t>
    <phoneticPr fontId="5" type="noConversion"/>
  </si>
  <si>
    <t>16030280</t>
    <phoneticPr fontId="5" type="noConversion"/>
  </si>
  <si>
    <r>
      <rPr>
        <b/>
        <sz val="14"/>
        <color theme="1"/>
        <rFont val="標楷體"/>
        <family val="4"/>
        <charset val="136"/>
      </rPr>
      <t>搬家</t>
    </r>
    <r>
      <rPr>
        <b/>
        <u/>
        <sz val="14"/>
        <color rgb="FFFF0000"/>
        <rFont val="標楷體"/>
        <family val="4"/>
        <charset val="136"/>
      </rPr>
      <t>人員</t>
    </r>
    <phoneticPr fontId="5" type="noConversion"/>
  </si>
  <si>
    <t>16030290</t>
    <phoneticPr fontId="5" type="noConversion"/>
  </si>
  <si>
    <t>16030300</t>
    <phoneticPr fontId="5" type="noConversion"/>
  </si>
  <si>
    <r>
      <rPr>
        <b/>
        <sz val="14"/>
        <rFont val="標楷體"/>
        <family val="4"/>
        <charset val="136"/>
      </rPr>
      <t>保全設備裝設人員</t>
    </r>
    <r>
      <rPr>
        <b/>
        <u/>
        <sz val="14"/>
        <color rgb="FFFF0000"/>
        <rFont val="標楷體"/>
        <family val="4"/>
        <charset val="136"/>
      </rPr>
      <t>、大樓機電人員</t>
    </r>
    <phoneticPr fontId="5" type="noConversion"/>
  </si>
  <si>
    <t>16030310</t>
    <phoneticPr fontId="5" type="noConversion"/>
  </si>
  <si>
    <t>16030320</t>
    <phoneticPr fontId="5" type="noConversion"/>
  </si>
  <si>
    <t>16030330</t>
    <phoneticPr fontId="5" type="noConversion"/>
  </si>
  <si>
    <r>
      <rPr>
        <b/>
        <sz val="14"/>
        <color theme="1"/>
        <rFont val="標楷體"/>
        <family val="4"/>
        <charset val="136"/>
      </rPr>
      <t>水電</t>
    </r>
    <r>
      <rPr>
        <b/>
        <sz val="14"/>
        <color rgb="FFFF0000"/>
        <rFont val="標楷體"/>
        <family val="4"/>
        <charset val="136"/>
      </rPr>
      <t>工</t>
    </r>
    <phoneticPr fontId="5" type="noConversion"/>
  </si>
  <si>
    <r>
      <rPr>
        <sz val="14"/>
        <color theme="1"/>
        <rFont val="標楷體"/>
        <family val="4"/>
        <charset val="136"/>
      </rPr>
      <t>因應該職業屬性並配合一般大眾對該工作性質之稱謂，擬將工人修正為「工」。</t>
    </r>
    <phoneticPr fontId="3" type="noConversion"/>
  </si>
  <si>
    <t>16030340</t>
    <phoneticPr fontId="3" type="noConversion"/>
  </si>
  <si>
    <r>
      <rPr>
        <b/>
        <sz val="14"/>
        <color theme="1"/>
        <rFont val="標楷體"/>
        <family val="4"/>
        <charset val="136"/>
      </rPr>
      <t>紋身藝術人員</t>
    </r>
    <r>
      <rPr>
        <b/>
        <u/>
        <sz val="14"/>
        <color rgb="FFFF0000"/>
        <rFont val="標楷體"/>
        <family val="4"/>
        <charset val="136"/>
      </rPr>
      <t>、刺青師</t>
    </r>
    <phoneticPr fontId="5" type="noConversion"/>
  </si>
  <si>
    <t>16030350</t>
    <phoneticPr fontId="3" type="noConversion"/>
  </si>
  <si>
    <r>
      <rPr>
        <b/>
        <sz val="14"/>
        <color theme="1"/>
        <rFont val="標楷體"/>
        <family val="4"/>
        <charset val="136"/>
      </rPr>
      <t>民意代表、監立委、省縣市議員</t>
    </r>
    <r>
      <rPr>
        <b/>
        <u/>
        <sz val="14"/>
        <color rgb="FFFF0000"/>
        <rFont val="標楷體"/>
        <family val="4"/>
        <charset val="136"/>
      </rPr>
      <t>、外交人員</t>
    </r>
    <phoneticPr fontId="5" type="noConversion"/>
  </si>
  <si>
    <t>16030360</t>
    <phoneticPr fontId="3" type="noConversion"/>
  </si>
  <si>
    <t>16030370</t>
    <phoneticPr fontId="5" type="noConversion"/>
  </si>
  <si>
    <t>16030380</t>
    <phoneticPr fontId="3" type="noConversion"/>
  </si>
  <si>
    <r>
      <rPr>
        <b/>
        <u/>
        <sz val="14"/>
        <color rgb="FFFF0000"/>
        <rFont val="標楷體"/>
        <family val="4"/>
        <charset val="136"/>
      </rPr>
      <t>直銷商、傳銷商</t>
    </r>
  </si>
  <si>
    <r>
      <rPr>
        <sz val="14"/>
        <color theme="1"/>
        <rFont val="標楷體"/>
        <family val="4"/>
        <charset val="136"/>
      </rPr>
      <t>建議比照一般外勤人員，職業等級為</t>
    </r>
    <r>
      <rPr>
        <sz val="14"/>
        <color theme="1"/>
        <rFont val="Times New Roman"/>
        <family val="1"/>
      </rPr>
      <t>2</t>
    </r>
    <r>
      <rPr>
        <sz val="14"/>
        <color theme="1"/>
        <rFont val="標楷體"/>
        <family val="4"/>
        <charset val="136"/>
      </rPr>
      <t>級。</t>
    </r>
  </si>
  <si>
    <t>16030390</t>
    <phoneticPr fontId="3" type="noConversion"/>
  </si>
  <si>
    <r>
      <rPr>
        <b/>
        <u/>
        <sz val="14"/>
        <color rgb="FFFF0000"/>
        <rFont val="標楷體"/>
        <family val="4"/>
        <charset val="136"/>
      </rPr>
      <t>民意代表助理</t>
    </r>
  </si>
  <si>
    <r>
      <rPr>
        <sz val="14"/>
        <color theme="1"/>
        <rFont val="標楷體"/>
        <family val="4"/>
        <charset val="136"/>
      </rPr>
      <t>因應現行實物新增，其工作內容需經常在外協助民眾服務，建議比照一般外勤人員，職業等級為</t>
    </r>
    <r>
      <rPr>
        <sz val="14"/>
        <color theme="1"/>
        <rFont val="Times New Roman"/>
        <family val="1"/>
      </rPr>
      <t>2</t>
    </r>
    <r>
      <rPr>
        <sz val="14"/>
        <color theme="1"/>
        <rFont val="標楷體"/>
        <family val="4"/>
        <charset val="136"/>
      </rPr>
      <t>級。</t>
    </r>
  </si>
  <si>
    <t>16030400</t>
  </si>
  <si>
    <r>
      <rPr>
        <b/>
        <u/>
        <sz val="14"/>
        <color rgb="FFFF0000"/>
        <rFont val="標楷體"/>
        <family val="4"/>
        <charset val="136"/>
      </rPr>
      <t>形象管理師</t>
    </r>
    <phoneticPr fontId="5" type="noConversion"/>
  </si>
  <si>
    <r>
      <rPr>
        <sz val="14"/>
        <color theme="1"/>
        <rFont val="標楷體"/>
        <family val="4"/>
        <charset val="136"/>
      </rPr>
      <t>因應新興行業新增，其工作內容類似造型化妝師，建議職業等級</t>
    </r>
    <r>
      <rPr>
        <sz val="14"/>
        <color theme="1"/>
        <rFont val="Times New Roman"/>
        <family val="1"/>
      </rPr>
      <t>1</t>
    </r>
    <r>
      <rPr>
        <sz val="14"/>
        <color theme="1"/>
        <rFont val="標楷體"/>
        <family val="4"/>
        <charset val="136"/>
      </rPr>
      <t>級。</t>
    </r>
    <phoneticPr fontId="3" type="noConversion"/>
  </si>
  <si>
    <t>16030410</t>
  </si>
  <si>
    <r>
      <rPr>
        <b/>
        <u/>
        <sz val="14"/>
        <color rgb="FFFF0000"/>
        <rFont val="標楷體"/>
        <family val="4"/>
        <charset val="136"/>
      </rPr>
      <t>市場調查人員</t>
    </r>
  </si>
  <si>
    <r>
      <rPr>
        <sz val="14"/>
        <color theme="1"/>
        <rFont val="標楷體"/>
        <family val="4"/>
        <charset val="136"/>
      </rPr>
      <t>因應現行實務，建議新增並比照一般內勤人員，職業等級為</t>
    </r>
    <r>
      <rPr>
        <sz val="14"/>
        <color theme="1"/>
        <rFont val="Times New Roman"/>
        <family val="1"/>
      </rPr>
      <t>1</t>
    </r>
    <r>
      <rPr>
        <sz val="14"/>
        <color theme="1"/>
        <rFont val="標楷體"/>
        <family val="4"/>
        <charset val="136"/>
      </rPr>
      <t>級。</t>
    </r>
  </si>
  <si>
    <t>16030420</t>
  </si>
  <si>
    <r>
      <rPr>
        <b/>
        <u/>
        <sz val="14"/>
        <color rgb="FFFF0000"/>
        <rFont val="標楷體"/>
        <family val="4"/>
        <charset val="136"/>
      </rPr>
      <t>電訪</t>
    </r>
    <r>
      <rPr>
        <b/>
        <u/>
        <sz val="14"/>
        <color rgb="FFFF0000"/>
        <rFont val="Times New Roman"/>
        <family val="1"/>
      </rPr>
      <t>/</t>
    </r>
    <r>
      <rPr>
        <b/>
        <u/>
        <sz val="14"/>
        <color rgb="FFFF0000"/>
        <rFont val="標楷體"/>
        <family val="4"/>
        <charset val="136"/>
      </rPr>
      <t>電銷人員</t>
    </r>
  </si>
  <si>
    <t>16030430</t>
  </si>
  <si>
    <r>
      <rPr>
        <b/>
        <u/>
        <sz val="14"/>
        <color rgb="FFFF0000"/>
        <rFont val="標楷體"/>
        <family val="4"/>
        <charset val="136"/>
      </rPr>
      <t>芳療師</t>
    </r>
    <phoneticPr fontId="5" type="noConversion"/>
  </si>
  <si>
    <t>16030440</t>
  </si>
  <si>
    <r>
      <rPr>
        <b/>
        <u/>
        <sz val="14"/>
        <color rgb="FFFF0000"/>
        <rFont val="標楷體"/>
        <family val="4"/>
        <charset val="136"/>
      </rPr>
      <t>冷氣、洗衣機清洗人員</t>
    </r>
    <phoneticPr fontId="3" type="noConversion"/>
  </si>
  <si>
    <r>
      <rPr>
        <sz val="14"/>
        <color theme="1"/>
        <rFont val="標楷體"/>
        <family val="4"/>
        <charset val="136"/>
      </rPr>
      <t>因應現行實務，建議新增並比照一般外勤人員，職業等級為</t>
    </r>
    <r>
      <rPr>
        <sz val="14"/>
        <color theme="1"/>
        <rFont val="Times New Roman"/>
        <family val="1"/>
      </rPr>
      <t>2</t>
    </r>
    <r>
      <rPr>
        <sz val="14"/>
        <color theme="1"/>
        <rFont val="標楷體"/>
        <family val="4"/>
        <charset val="136"/>
      </rPr>
      <t>級。</t>
    </r>
  </si>
  <si>
    <t>16030450</t>
  </si>
  <si>
    <r>
      <rPr>
        <b/>
        <u/>
        <sz val="14"/>
        <color rgb="FFFF0000"/>
        <rFont val="標楷體"/>
        <family val="4"/>
        <charset val="136"/>
      </rPr>
      <t>保全公司負責人</t>
    </r>
    <phoneticPr fontId="5" type="noConversion"/>
  </si>
  <si>
    <t>16030460</t>
  </si>
  <si>
    <r>
      <rPr>
        <b/>
        <u/>
        <sz val="14"/>
        <color rgb="FFFF0000"/>
        <rFont val="標楷體"/>
        <family val="4"/>
        <charset val="136"/>
      </rPr>
      <t>按摩師</t>
    </r>
    <r>
      <rPr>
        <b/>
        <u/>
        <sz val="14"/>
        <color rgb="FFFF0000"/>
        <rFont val="Times New Roman"/>
        <family val="1"/>
      </rPr>
      <t>(</t>
    </r>
    <r>
      <rPr>
        <b/>
        <u/>
        <sz val="14"/>
        <color rgb="FFFF0000"/>
        <rFont val="標楷體"/>
        <family val="4"/>
        <charset val="136"/>
      </rPr>
      <t>腳底按摩、推拿</t>
    </r>
    <r>
      <rPr>
        <b/>
        <u/>
        <sz val="14"/>
        <color rgb="FFFF0000"/>
        <rFont val="Times New Roman"/>
        <family val="1"/>
      </rPr>
      <t>)</t>
    </r>
    <phoneticPr fontId="5" type="noConversion"/>
  </si>
  <si>
    <r>
      <rPr>
        <sz val="14"/>
        <color theme="1"/>
        <rFont val="標楷體"/>
        <family val="4"/>
        <charset val="136"/>
      </rPr>
      <t>因應新興職業新增，其工作內容屬勞力性質，且可能外出，建議比照一般外勤人員，職業等級為</t>
    </r>
    <r>
      <rPr>
        <sz val="14"/>
        <color theme="1"/>
        <rFont val="Times New Roman"/>
        <family val="1"/>
      </rPr>
      <t>2</t>
    </r>
    <r>
      <rPr>
        <sz val="14"/>
        <color theme="1"/>
        <rFont val="標楷體"/>
        <family val="4"/>
        <charset val="136"/>
      </rPr>
      <t>級。</t>
    </r>
  </si>
  <si>
    <t>16030470</t>
  </si>
  <si>
    <r>
      <rPr>
        <b/>
        <u/>
        <sz val="14"/>
        <color rgb="FFFF0000"/>
        <rFont val="標楷體"/>
        <family val="4"/>
        <charset val="136"/>
      </rPr>
      <t>大樓管理總幹事、行政人員</t>
    </r>
    <phoneticPr fontId="5" type="noConversion"/>
  </si>
  <si>
    <r>
      <t xml:space="preserve">1604  </t>
    </r>
    <r>
      <rPr>
        <sz val="14"/>
        <rFont val="標楷體"/>
        <family val="4"/>
        <charset val="136"/>
      </rPr>
      <t>殯葬業</t>
    </r>
  </si>
  <si>
    <t>16040010</t>
    <phoneticPr fontId="3" type="noConversion"/>
  </si>
  <si>
    <t>16040020</t>
    <phoneticPr fontId="3" type="noConversion"/>
  </si>
  <si>
    <t>16040030</t>
    <phoneticPr fontId="3" type="noConversion"/>
  </si>
  <si>
    <r>
      <rPr>
        <b/>
        <sz val="14"/>
        <color theme="1"/>
        <rFont val="標楷體"/>
        <family val="4"/>
        <charset val="136"/>
      </rPr>
      <t>司儀</t>
    </r>
    <phoneticPr fontId="5" type="noConversion"/>
  </si>
  <si>
    <r>
      <rPr>
        <sz val="14"/>
        <color theme="1"/>
        <rFont val="標楷體"/>
        <family val="4"/>
        <charset val="136"/>
      </rPr>
      <t>殯葬業之司儀常須配合更換工作地點，因工作場所不固定，危險性較高，建議比照一般外勤，調升職業等級為</t>
    </r>
    <r>
      <rPr>
        <sz val="14"/>
        <color theme="1"/>
        <rFont val="Times New Roman"/>
        <family val="1"/>
      </rPr>
      <t>2</t>
    </r>
    <r>
      <rPr>
        <sz val="14"/>
        <color theme="1"/>
        <rFont val="標楷體"/>
        <family val="4"/>
        <charset val="136"/>
      </rPr>
      <t>級。</t>
    </r>
    <phoneticPr fontId="3" type="noConversion"/>
  </si>
  <si>
    <t>16040040</t>
  </si>
  <si>
    <t>16040050</t>
  </si>
  <si>
    <t>16040060</t>
  </si>
  <si>
    <t>16040070</t>
  </si>
  <si>
    <t>16040080</t>
  </si>
  <si>
    <t>16040090</t>
  </si>
  <si>
    <t>16040100</t>
    <phoneticPr fontId="5" type="noConversion"/>
  </si>
  <si>
    <t>16040110</t>
    <phoneticPr fontId="3" type="noConversion"/>
  </si>
  <si>
    <t>16040120</t>
    <phoneticPr fontId="3" type="noConversion"/>
  </si>
  <si>
    <t>16050010</t>
    <phoneticPr fontId="3" type="noConversion"/>
  </si>
  <si>
    <r>
      <rPr>
        <b/>
        <u/>
        <sz val="14"/>
        <color rgb="FFFF0000"/>
        <rFont val="標楷體"/>
        <family val="4"/>
        <charset val="136"/>
      </rPr>
      <t>第三方支付服務業、電子票證業、電子支付業、外籍移工匯兌業虛擬通貨平台及交易服務業公司負責人</t>
    </r>
    <phoneticPr fontId="5" type="noConversion"/>
  </si>
  <si>
    <r>
      <rPr>
        <sz val="14"/>
        <color theme="1"/>
        <rFont val="標楷體"/>
        <family val="4"/>
        <charset val="136"/>
      </rPr>
      <t>因應新興行業新增；負責人比照一般行業負責人職業等級</t>
    </r>
    <r>
      <rPr>
        <sz val="14"/>
        <color theme="1"/>
        <rFont val="Times New Roman"/>
        <family val="1"/>
      </rPr>
      <t>1</t>
    </r>
    <r>
      <rPr>
        <sz val="14"/>
        <color theme="1"/>
        <rFont val="標楷體"/>
        <family val="4"/>
        <charset val="136"/>
      </rPr>
      <t>，外勤職業等級</t>
    </r>
    <r>
      <rPr>
        <sz val="14"/>
        <color theme="1"/>
        <rFont val="Times New Roman"/>
        <family val="1"/>
      </rPr>
      <t>2</t>
    </r>
    <r>
      <rPr>
        <sz val="14"/>
        <color theme="1"/>
        <rFont val="標楷體"/>
        <family val="4"/>
        <charset val="136"/>
      </rPr>
      <t>。</t>
    </r>
    <phoneticPr fontId="3" type="noConversion"/>
  </si>
  <si>
    <t>16050020</t>
    <phoneticPr fontId="5" type="noConversion"/>
  </si>
  <si>
    <r>
      <rPr>
        <b/>
        <u/>
        <sz val="14"/>
        <color rgb="FFFF0000"/>
        <rFont val="標楷體"/>
        <family val="4"/>
        <charset val="136"/>
      </rPr>
      <t>電子票證業、電子支付業、外籍移工匯兌業之公司負責人</t>
    </r>
    <phoneticPr fontId="5" type="noConversion"/>
  </si>
  <si>
    <t>16050030</t>
    <phoneticPr fontId="5" type="noConversion"/>
  </si>
  <si>
    <t>16050040</t>
    <phoneticPr fontId="5" type="noConversion"/>
  </si>
  <si>
    <r>
      <t xml:space="preserve">17  
</t>
    </r>
    <r>
      <rPr>
        <sz val="14"/>
        <rFont val="標楷體"/>
        <family val="4"/>
        <charset val="136"/>
      </rPr>
      <t>家庭
管理</t>
    </r>
    <phoneticPr fontId="3" type="noConversion"/>
  </si>
  <si>
    <r>
      <t xml:space="preserve">1700  </t>
    </r>
    <r>
      <rPr>
        <sz val="14"/>
        <rFont val="標楷體"/>
        <family val="4"/>
        <charset val="136"/>
      </rPr>
      <t>家庭管理</t>
    </r>
    <phoneticPr fontId="3" type="noConversion"/>
  </si>
  <si>
    <t>17000010</t>
    <phoneticPr fontId="3" type="noConversion"/>
  </si>
  <si>
    <t>17000020</t>
    <phoneticPr fontId="3" type="noConversion"/>
  </si>
  <si>
    <t>17000030</t>
    <phoneticPr fontId="3" type="noConversion"/>
  </si>
  <si>
    <t>17000040</t>
  </si>
  <si>
    <t>17000050</t>
  </si>
  <si>
    <t>17000060</t>
    <phoneticPr fontId="3" type="noConversion"/>
  </si>
  <si>
    <r>
      <rPr>
        <b/>
        <u/>
        <sz val="14"/>
        <color rgb="FFFF0000"/>
        <rFont val="標楷體"/>
        <family val="4"/>
        <charset val="136"/>
      </rPr>
      <t>房東</t>
    </r>
    <phoneticPr fontId="5" type="noConversion"/>
  </si>
  <si>
    <r>
      <rPr>
        <sz val="14"/>
        <color theme="1"/>
        <rFont val="標楷體"/>
        <family val="4"/>
        <charset val="136"/>
      </rPr>
      <t>依據現行實務，無業者可能為房東，負責收租金等，原建議新增工作性質。</t>
    </r>
    <phoneticPr fontId="3" type="noConversion"/>
  </si>
  <si>
    <r>
      <t xml:space="preserve">18 
</t>
    </r>
    <r>
      <rPr>
        <sz val="14"/>
        <rFont val="標楷體"/>
        <family val="4"/>
        <charset val="136"/>
      </rPr>
      <t>治安
人員</t>
    </r>
    <phoneticPr fontId="3" type="noConversion"/>
  </si>
  <si>
    <r>
      <t xml:space="preserve">1801  </t>
    </r>
    <r>
      <rPr>
        <sz val="14"/>
        <rFont val="標楷體"/>
        <family val="4"/>
        <charset val="136"/>
      </rPr>
      <t>治安人員</t>
    </r>
    <phoneticPr fontId="3" type="noConversion"/>
  </si>
  <si>
    <t>18010010</t>
    <phoneticPr fontId="3" type="noConversion"/>
  </si>
  <si>
    <t>18010020</t>
    <phoneticPr fontId="3" type="noConversion"/>
  </si>
  <si>
    <r>
      <rPr>
        <b/>
        <sz val="14"/>
        <color theme="1"/>
        <rFont val="標楷體"/>
        <family val="4"/>
        <charset val="136"/>
      </rPr>
      <t>警察</t>
    </r>
    <r>
      <rPr>
        <b/>
        <u/>
        <sz val="14"/>
        <color rgb="FFFF0000"/>
        <rFont val="標楷體"/>
        <family val="4"/>
        <charset val="136"/>
      </rPr>
      <t>、警官、警員、電信警察、港警所警察（負有巡邏任務者）</t>
    </r>
    <phoneticPr fontId="5" type="noConversion"/>
  </si>
  <si>
    <t>18010030</t>
    <phoneticPr fontId="3" type="noConversion"/>
  </si>
  <si>
    <t>18010040</t>
    <phoneticPr fontId="5" type="noConversion"/>
  </si>
  <si>
    <t>18010050</t>
    <phoneticPr fontId="5" type="noConversion"/>
  </si>
  <si>
    <t>18010060</t>
    <phoneticPr fontId="5" type="noConversion"/>
  </si>
  <si>
    <t>18010061</t>
    <phoneticPr fontId="5" type="noConversion"/>
  </si>
  <si>
    <t>4</t>
    <phoneticPr fontId="5" type="noConversion"/>
  </si>
  <si>
    <t>18010070</t>
    <phoneticPr fontId="5" type="noConversion"/>
  </si>
  <si>
    <t>18010080</t>
    <phoneticPr fontId="5" type="noConversion"/>
  </si>
  <si>
    <t>18010090</t>
    <phoneticPr fontId="5" type="noConversion"/>
  </si>
  <si>
    <t>18010100</t>
    <phoneticPr fontId="5" type="noConversion"/>
  </si>
  <si>
    <r>
      <rPr>
        <sz val="14"/>
        <rFont val="標楷體"/>
        <family val="4"/>
        <charset val="136"/>
      </rPr>
      <t>拒保</t>
    </r>
    <phoneticPr fontId="5" type="noConversion"/>
  </si>
  <si>
    <t>18010110</t>
    <phoneticPr fontId="3" type="noConversion"/>
  </si>
  <si>
    <t>18010120</t>
    <phoneticPr fontId="3" type="noConversion"/>
  </si>
  <si>
    <t>18010130</t>
    <phoneticPr fontId="3" type="noConversion"/>
  </si>
  <si>
    <t>18010140</t>
    <phoneticPr fontId="3" type="noConversion"/>
  </si>
  <si>
    <t>18010150</t>
    <phoneticPr fontId="3" type="noConversion"/>
  </si>
  <si>
    <t>18010160</t>
    <phoneticPr fontId="3" type="noConversion"/>
  </si>
  <si>
    <r>
      <t xml:space="preserve">1802   </t>
    </r>
    <r>
      <rPr>
        <sz val="14"/>
        <rFont val="標楷體"/>
        <family val="4"/>
        <charset val="136"/>
      </rPr>
      <t>海巡署</t>
    </r>
    <phoneticPr fontId="3" type="noConversion"/>
  </si>
  <si>
    <t>18020010</t>
    <phoneticPr fontId="3" type="noConversion"/>
  </si>
  <si>
    <t>18020020</t>
    <phoneticPr fontId="3" type="noConversion"/>
  </si>
  <si>
    <t>18020030</t>
    <phoneticPr fontId="3" type="noConversion"/>
  </si>
  <si>
    <r>
      <t xml:space="preserve">1803  </t>
    </r>
    <r>
      <rPr>
        <sz val="14"/>
        <rFont val="標楷體"/>
        <family val="4"/>
        <charset val="136"/>
      </rPr>
      <t>法務人員</t>
    </r>
    <phoneticPr fontId="3" type="noConversion"/>
  </si>
  <si>
    <t>18030010</t>
    <phoneticPr fontId="3" type="noConversion"/>
  </si>
  <si>
    <r>
      <rPr>
        <b/>
        <u/>
        <sz val="14"/>
        <color rgb="FFFF0000"/>
        <rFont val="標楷體"/>
        <family val="4"/>
        <charset val="136"/>
      </rPr>
      <t>法官、檢察官</t>
    </r>
    <phoneticPr fontId="5" type="noConversion"/>
  </si>
  <si>
    <r>
      <rPr>
        <sz val="14"/>
        <color theme="1"/>
        <rFont val="標楷體"/>
        <family val="4"/>
        <charset val="136"/>
      </rPr>
      <t>建議將原並列工作性質拆分獨立。</t>
    </r>
    <phoneticPr fontId="3" type="noConversion"/>
  </si>
  <si>
    <t>18030011</t>
    <phoneticPr fontId="3" type="noConversion"/>
  </si>
  <si>
    <r>
      <rPr>
        <b/>
        <u/>
        <sz val="14"/>
        <color rgb="FFFF0000"/>
        <rFont val="標楷體"/>
        <family val="4"/>
        <charset val="136"/>
      </rPr>
      <t>書記官</t>
    </r>
    <phoneticPr fontId="5" type="noConversion"/>
  </si>
  <si>
    <t>18030020</t>
    <phoneticPr fontId="3" type="noConversion"/>
  </si>
  <si>
    <r>
      <t xml:space="preserve">19      
</t>
    </r>
    <r>
      <rPr>
        <sz val="14"/>
        <rFont val="標楷體"/>
        <family val="4"/>
        <charset val="136"/>
      </rPr>
      <t>軍人</t>
    </r>
    <phoneticPr fontId="3" type="noConversion"/>
  </si>
  <si>
    <r>
      <t xml:space="preserve">1900  </t>
    </r>
    <r>
      <rPr>
        <sz val="14"/>
        <rFont val="標楷體"/>
        <family val="4"/>
        <charset val="136"/>
      </rPr>
      <t>現役軍人</t>
    </r>
    <phoneticPr fontId="3" type="noConversion"/>
  </si>
  <si>
    <t>19000010</t>
    <phoneticPr fontId="3" type="noConversion"/>
  </si>
  <si>
    <t>19000020</t>
    <phoneticPr fontId="3" type="noConversion"/>
  </si>
  <si>
    <t>19000030</t>
    <phoneticPr fontId="3" type="noConversion"/>
  </si>
  <si>
    <t>19000040</t>
    <phoneticPr fontId="3" type="noConversion"/>
  </si>
  <si>
    <t>19000050</t>
    <phoneticPr fontId="3" type="noConversion"/>
  </si>
  <si>
    <t>19000060</t>
    <phoneticPr fontId="3" type="noConversion"/>
  </si>
  <si>
    <r>
      <rPr>
        <b/>
        <sz val="14"/>
        <color theme="1"/>
        <rFont val="標楷體"/>
        <family val="4"/>
        <charset val="136"/>
      </rPr>
      <t>軍校教官</t>
    </r>
    <r>
      <rPr>
        <b/>
        <u/>
        <sz val="14"/>
        <color rgb="FFFF0000"/>
        <rFont val="標楷體"/>
        <family val="4"/>
        <charset val="136"/>
      </rPr>
      <t>、軍訓教官</t>
    </r>
    <phoneticPr fontId="5" type="noConversion"/>
  </si>
  <si>
    <t>19000070</t>
    <phoneticPr fontId="3" type="noConversion"/>
  </si>
  <si>
    <t>19000080</t>
    <phoneticPr fontId="3" type="noConversion"/>
  </si>
  <si>
    <t>19000090</t>
    <phoneticPr fontId="3" type="noConversion"/>
  </si>
  <si>
    <t>19000100</t>
    <phoneticPr fontId="3" type="noConversion"/>
  </si>
  <si>
    <t>19000110</t>
    <phoneticPr fontId="3" type="noConversion"/>
  </si>
  <si>
    <t>19000120</t>
    <phoneticPr fontId="3" type="noConversion"/>
  </si>
  <si>
    <r>
      <rPr>
        <b/>
        <u/>
        <sz val="14"/>
        <color rgb="FFFF0000"/>
        <rFont val="標楷體"/>
        <family val="4"/>
        <charset val="136"/>
      </rPr>
      <t>軍用車駕駛人員</t>
    </r>
    <phoneticPr fontId="3" type="noConversion"/>
  </si>
  <si>
    <r>
      <rPr>
        <sz val="14"/>
        <color theme="1"/>
        <rFont val="標楷體"/>
        <family val="4"/>
        <charset val="136"/>
      </rPr>
      <t>因應現行實務新增，並建議比照一般軍人，職業等級為</t>
    </r>
    <r>
      <rPr>
        <sz val="14"/>
        <color theme="1"/>
        <rFont val="Times New Roman"/>
        <family val="1"/>
      </rPr>
      <t>3</t>
    </r>
    <r>
      <rPr>
        <sz val="14"/>
        <color theme="1"/>
        <rFont val="標楷體"/>
        <family val="4"/>
        <charset val="136"/>
      </rPr>
      <t>。</t>
    </r>
    <phoneticPr fontId="3" type="noConversion"/>
  </si>
  <si>
    <r>
      <t xml:space="preserve">20 
</t>
    </r>
    <r>
      <rPr>
        <sz val="14"/>
        <rFont val="標楷體"/>
        <family val="4"/>
        <charset val="136"/>
      </rPr>
      <t>資訊業</t>
    </r>
    <phoneticPr fontId="3" type="noConversion"/>
  </si>
  <si>
    <r>
      <t xml:space="preserve">2000  </t>
    </r>
    <r>
      <rPr>
        <sz val="14"/>
        <rFont val="標楷體"/>
        <family val="4"/>
        <charset val="136"/>
      </rPr>
      <t>資訊業</t>
    </r>
    <phoneticPr fontId="3" type="noConversion"/>
  </si>
  <si>
    <t>20000010</t>
    <phoneticPr fontId="3" type="noConversion"/>
  </si>
  <si>
    <r>
      <rPr>
        <b/>
        <u/>
        <sz val="14"/>
        <color rgb="FFFF0000"/>
        <rFont val="標楷體"/>
        <family val="4"/>
        <charset val="136"/>
      </rPr>
      <t>資訊業</t>
    </r>
    <r>
      <rPr>
        <b/>
        <sz val="14"/>
        <rFont val="標楷體"/>
        <family val="4"/>
        <charset val="136"/>
      </rPr>
      <t>維護工程師</t>
    </r>
    <phoneticPr fontId="5" type="noConversion"/>
  </si>
  <si>
    <t>20000020</t>
    <phoneticPr fontId="3" type="noConversion"/>
  </si>
  <si>
    <r>
      <rPr>
        <b/>
        <u/>
        <sz val="14"/>
        <color rgb="FFFF0000"/>
        <rFont val="標楷體"/>
        <family val="4"/>
        <charset val="136"/>
      </rPr>
      <t>資訊業</t>
    </r>
    <r>
      <rPr>
        <b/>
        <sz val="14"/>
        <rFont val="標楷體"/>
        <family val="4"/>
        <charset val="136"/>
      </rPr>
      <t>系統工程師</t>
    </r>
    <phoneticPr fontId="5" type="noConversion"/>
  </si>
  <si>
    <t>20000030</t>
    <phoneticPr fontId="3" type="noConversion"/>
  </si>
  <si>
    <r>
      <rPr>
        <b/>
        <u/>
        <sz val="14"/>
        <color rgb="FFFF0000"/>
        <rFont val="標楷體"/>
        <family val="4"/>
        <charset val="136"/>
      </rPr>
      <t>資訊業</t>
    </r>
    <r>
      <rPr>
        <b/>
        <sz val="14"/>
        <rFont val="標楷體"/>
        <family val="4"/>
        <charset val="136"/>
      </rPr>
      <t>銷售工程師</t>
    </r>
    <r>
      <rPr>
        <b/>
        <sz val="14"/>
        <rFont val="Times New Roman"/>
        <family val="1"/>
      </rPr>
      <t xml:space="preserve"> (</t>
    </r>
    <r>
      <rPr>
        <b/>
        <sz val="14"/>
        <rFont val="標楷體"/>
        <family val="4"/>
        <charset val="136"/>
      </rPr>
      <t>內勤</t>
    </r>
    <r>
      <rPr>
        <b/>
        <sz val="14"/>
        <rFont val="Times New Roman"/>
        <family val="1"/>
      </rPr>
      <t xml:space="preserve">)     </t>
    </r>
    <phoneticPr fontId="3" type="noConversion"/>
  </si>
  <si>
    <t>20000031</t>
    <phoneticPr fontId="3" type="noConversion"/>
  </si>
  <si>
    <r>
      <rPr>
        <b/>
        <u/>
        <sz val="14"/>
        <color rgb="FFFF0000"/>
        <rFont val="標楷體"/>
        <family val="4"/>
        <charset val="136"/>
      </rPr>
      <t>資訊業</t>
    </r>
    <r>
      <rPr>
        <b/>
        <sz val="14"/>
        <rFont val="標楷體"/>
        <family val="4"/>
        <charset val="136"/>
      </rPr>
      <t>銷售工程師</t>
    </r>
    <r>
      <rPr>
        <b/>
        <sz val="14"/>
        <rFont val="Times New Roman"/>
        <family val="1"/>
      </rPr>
      <t xml:space="preserve"> (</t>
    </r>
    <r>
      <rPr>
        <b/>
        <sz val="14"/>
        <rFont val="標楷體"/>
        <family val="4"/>
        <charset val="136"/>
      </rPr>
      <t>外務</t>
    </r>
    <r>
      <rPr>
        <b/>
        <sz val="14"/>
        <rFont val="Times New Roman"/>
        <family val="1"/>
      </rPr>
      <t xml:space="preserve">)     </t>
    </r>
    <phoneticPr fontId="3" type="noConversion"/>
  </si>
  <si>
    <t>20000040</t>
  </si>
  <si>
    <t>20000050</t>
  </si>
  <si>
    <r>
      <rPr>
        <b/>
        <sz val="14"/>
        <color theme="1"/>
        <rFont val="標楷體"/>
        <family val="4"/>
        <charset val="136"/>
      </rPr>
      <t>通信器材買賣商</t>
    </r>
    <r>
      <rPr>
        <b/>
        <u/>
        <sz val="14"/>
        <color rgb="FFFF0000"/>
        <rFont val="Times New Roman"/>
        <family val="1"/>
      </rPr>
      <t>(</t>
    </r>
    <r>
      <rPr>
        <b/>
        <u/>
        <sz val="14"/>
        <color rgb="FFFF0000"/>
        <rFont val="標楷體"/>
        <family val="4"/>
        <charset val="136"/>
      </rPr>
      <t>負責人</t>
    </r>
    <r>
      <rPr>
        <b/>
        <u/>
        <sz val="14"/>
        <color rgb="FFFF0000"/>
        <rFont val="Times New Roman"/>
        <family val="1"/>
      </rPr>
      <t>)</t>
    </r>
    <phoneticPr fontId="5" type="noConversion"/>
  </si>
  <si>
    <r>
      <rPr>
        <sz val="14"/>
        <color theme="1"/>
        <rFont val="標楷體"/>
        <family val="4"/>
        <charset val="136"/>
      </rPr>
      <t>因應建議新增之通信器材買賣</t>
    </r>
    <r>
      <rPr>
        <sz val="14"/>
        <color theme="1"/>
        <rFont val="Times New Roman"/>
        <family val="1"/>
      </rPr>
      <t>(</t>
    </r>
    <r>
      <rPr>
        <sz val="14"/>
        <color theme="1"/>
        <rFont val="標楷體"/>
        <family val="4"/>
        <charset val="136"/>
      </rPr>
      <t>行</t>
    </r>
    <r>
      <rPr>
        <sz val="14"/>
        <color theme="1"/>
        <rFont val="Times New Roman"/>
        <family val="1"/>
      </rPr>
      <t>)</t>
    </r>
    <r>
      <rPr>
        <sz val="14"/>
        <color theme="1"/>
        <rFont val="標楷體"/>
        <family val="4"/>
        <charset val="136"/>
      </rPr>
      <t>一般員工，爰建議增加描述性文字說明本項工作性質。</t>
    </r>
    <phoneticPr fontId="3" type="noConversion"/>
  </si>
  <si>
    <t>20000051</t>
    <phoneticPr fontId="3" type="noConversion"/>
  </si>
  <si>
    <r>
      <rPr>
        <b/>
        <u/>
        <sz val="14"/>
        <color rgb="FFFF0000"/>
        <rFont val="標楷體"/>
        <family val="4"/>
        <charset val="136"/>
      </rPr>
      <t>通信器材買賣</t>
    </r>
    <r>
      <rPr>
        <b/>
        <u/>
        <sz val="14"/>
        <color rgb="FFFF0000"/>
        <rFont val="Times New Roman"/>
        <family val="1"/>
      </rPr>
      <t>(</t>
    </r>
    <r>
      <rPr>
        <b/>
        <u/>
        <sz val="14"/>
        <color rgb="FFFF0000"/>
        <rFont val="標楷體"/>
        <family val="4"/>
        <charset val="136"/>
      </rPr>
      <t>行</t>
    </r>
    <r>
      <rPr>
        <b/>
        <u/>
        <sz val="14"/>
        <color rgb="FFFF0000"/>
        <rFont val="Times New Roman"/>
        <family val="1"/>
      </rPr>
      <t>)</t>
    </r>
    <r>
      <rPr>
        <b/>
        <u/>
        <sz val="14"/>
        <color rgb="FFFF0000"/>
        <rFont val="標楷體"/>
        <family val="4"/>
        <charset val="136"/>
      </rPr>
      <t>一般員工</t>
    </r>
    <phoneticPr fontId="5" type="noConversion"/>
  </si>
  <si>
    <r>
      <rPr>
        <sz val="14"/>
        <color theme="1"/>
        <rFont val="標楷體"/>
        <family val="4"/>
        <charset val="136"/>
      </rPr>
      <t>因應現行實務，建議新增並比照一般內勤人員，職業等級為</t>
    </r>
    <r>
      <rPr>
        <sz val="14"/>
        <color theme="1"/>
        <rFont val="Times New Roman"/>
        <family val="1"/>
      </rPr>
      <t>1</t>
    </r>
    <r>
      <rPr>
        <sz val="14"/>
        <color theme="1"/>
        <rFont val="標楷體"/>
        <family val="4"/>
        <charset val="136"/>
      </rPr>
      <t>。</t>
    </r>
    <phoneticPr fontId="3" type="noConversion"/>
  </si>
  <si>
    <t>20000052</t>
    <phoneticPr fontId="3" type="noConversion"/>
  </si>
  <si>
    <r>
      <rPr>
        <b/>
        <u/>
        <sz val="14"/>
        <color rgb="FFFF0000"/>
        <rFont val="標楷體"/>
        <family val="4"/>
        <charset val="136"/>
      </rPr>
      <t>通信器材維修人員</t>
    </r>
    <r>
      <rPr>
        <b/>
        <u/>
        <sz val="14"/>
        <color rgb="FFFF0000"/>
        <rFont val="Times New Roman"/>
        <family val="1"/>
      </rPr>
      <t>(</t>
    </r>
    <r>
      <rPr>
        <b/>
        <u/>
        <sz val="14"/>
        <color rgb="FFFF0000"/>
        <rFont val="標楷體"/>
        <family val="4"/>
        <charset val="136"/>
      </rPr>
      <t>含</t>
    </r>
    <r>
      <rPr>
        <b/>
        <u/>
        <sz val="14"/>
        <color rgb="FFFF0000"/>
        <rFont val="Times New Roman"/>
        <family val="1"/>
      </rPr>
      <t>3C</t>
    </r>
    <r>
      <rPr>
        <b/>
        <u/>
        <sz val="14"/>
        <color rgb="FFFF0000"/>
        <rFont val="標楷體"/>
        <family val="4"/>
        <charset val="136"/>
      </rPr>
      <t>維修</t>
    </r>
    <r>
      <rPr>
        <b/>
        <u/>
        <sz val="14"/>
        <color rgb="FFFF0000"/>
        <rFont val="Times New Roman"/>
        <family val="1"/>
      </rPr>
      <t>)</t>
    </r>
    <phoneticPr fontId="3" type="noConversion"/>
  </si>
  <si>
    <r>
      <rPr>
        <sz val="14"/>
        <color theme="1"/>
        <rFont val="標楷體"/>
        <family val="4"/>
        <charset val="136"/>
      </rPr>
      <t>因應現行實務新增，因通訊器材行比電子業規模要小，應不致如</t>
    </r>
    <r>
      <rPr>
        <sz val="14"/>
        <color theme="1"/>
        <rFont val="Times New Roman"/>
        <family val="1"/>
      </rPr>
      <t>"08030010"</t>
    </r>
    <r>
      <rPr>
        <sz val="14"/>
        <color theme="1"/>
        <rFont val="標楷體"/>
        <family val="4"/>
        <charset val="136"/>
      </rPr>
      <t>電子業工程師職業等級到</t>
    </r>
    <r>
      <rPr>
        <sz val="14"/>
        <color theme="1"/>
        <rFont val="Times New Roman"/>
        <family val="1"/>
      </rPr>
      <t>2</t>
    </r>
    <r>
      <rPr>
        <sz val="14"/>
        <color theme="1"/>
        <rFont val="標楷體"/>
        <family val="4"/>
        <charset val="136"/>
      </rPr>
      <t>，故建議比照新增之電子業軟體工程師，職業等級</t>
    </r>
    <r>
      <rPr>
        <sz val="14"/>
        <color theme="1"/>
        <rFont val="Times New Roman"/>
        <family val="1"/>
      </rPr>
      <t>1</t>
    </r>
    <r>
      <rPr>
        <sz val="14"/>
        <color theme="1"/>
        <rFont val="標楷體"/>
        <family val="4"/>
        <charset val="136"/>
      </rPr>
      <t>。</t>
    </r>
    <phoneticPr fontId="3" type="noConversion"/>
  </si>
  <si>
    <t>20000060</t>
    <phoneticPr fontId="5" type="noConversion"/>
  </si>
  <si>
    <t>20000070</t>
    <phoneticPr fontId="5" type="noConversion"/>
  </si>
  <si>
    <t>20000080</t>
    <phoneticPr fontId="5" type="noConversion"/>
  </si>
  <si>
    <t>20000090</t>
    <phoneticPr fontId="3" type="noConversion"/>
  </si>
  <si>
    <r>
      <rPr>
        <b/>
        <u/>
        <sz val="14"/>
        <color rgb="FFFF0000"/>
        <rFont val="標楷體"/>
        <family val="4"/>
        <charset val="136"/>
      </rPr>
      <t>智慧居家管理師、數位轉型專家、數位鑑識分析師、醫療</t>
    </r>
    <r>
      <rPr>
        <b/>
        <u/>
        <sz val="14"/>
        <color rgb="FFFF0000"/>
        <rFont val="Times New Roman"/>
        <family val="1"/>
      </rPr>
      <t>AI</t>
    </r>
    <r>
      <rPr>
        <b/>
        <u/>
        <sz val="14"/>
        <color rgb="FFFF0000"/>
        <rFont val="標楷體"/>
        <family val="4"/>
        <charset val="136"/>
      </rPr>
      <t>資料科學家</t>
    </r>
    <phoneticPr fontId="5" type="noConversion"/>
  </si>
  <si>
    <r>
      <rPr>
        <sz val="14"/>
        <color theme="1"/>
        <rFont val="標楷體"/>
        <family val="4"/>
        <charset val="136"/>
      </rPr>
      <t>新興職業，建議比照資訊業工程師，職業等級</t>
    </r>
    <r>
      <rPr>
        <sz val="14"/>
        <color theme="1"/>
        <rFont val="Times New Roman"/>
        <family val="1"/>
      </rPr>
      <t>1</t>
    </r>
    <r>
      <rPr>
        <sz val="14"/>
        <color theme="1"/>
        <rFont val="標楷體"/>
        <family val="4"/>
        <charset val="136"/>
      </rPr>
      <t>級。</t>
    </r>
    <phoneticPr fontId="3" type="noConversion"/>
  </si>
  <si>
    <t>20000100</t>
    <phoneticPr fontId="3" type="noConversion"/>
  </si>
  <si>
    <r>
      <t>AR(</t>
    </r>
    <r>
      <rPr>
        <b/>
        <u/>
        <sz val="14"/>
        <color rgb="FFFF0000"/>
        <rFont val="標楷體"/>
        <family val="4"/>
        <charset val="136"/>
      </rPr>
      <t>擴增實境</t>
    </r>
    <r>
      <rPr>
        <b/>
        <u/>
        <sz val="14"/>
        <color rgb="FFFF0000"/>
        <rFont val="Times New Roman"/>
        <family val="1"/>
      </rPr>
      <t>)</t>
    </r>
    <r>
      <rPr>
        <b/>
        <u/>
        <sz val="14"/>
        <color rgb="FFFF0000"/>
        <rFont val="標楷體"/>
        <family val="4"/>
        <charset val="136"/>
      </rPr>
      <t>、</t>
    </r>
    <r>
      <rPr>
        <b/>
        <u/>
        <sz val="14"/>
        <color rgb="FFFF0000"/>
        <rFont val="Times New Roman"/>
        <family val="1"/>
      </rPr>
      <t>VR</t>
    </r>
    <r>
      <rPr>
        <b/>
        <u/>
        <sz val="14"/>
        <color rgb="FFFF0000"/>
        <rFont val="標楷體"/>
        <family val="4"/>
        <charset val="136"/>
      </rPr>
      <t>（虛擬實境）、元宇宙工程師</t>
    </r>
    <phoneticPr fontId="5" type="noConversion"/>
  </si>
  <si>
    <t>20000110</t>
    <phoneticPr fontId="3" type="noConversion"/>
  </si>
  <si>
    <r>
      <rPr>
        <b/>
        <u/>
        <sz val="14"/>
        <color rgb="FFFF0000"/>
        <rFont val="標楷體"/>
        <family val="4"/>
        <charset val="136"/>
      </rPr>
      <t>社群網站小編</t>
    </r>
  </si>
  <si>
    <r>
      <rPr>
        <sz val="14"/>
        <color theme="1"/>
        <rFont val="標楷體"/>
        <family val="4"/>
        <charset val="136"/>
      </rPr>
      <t>新興職業，工作內容為使用網路於社群發文，多為內勤性質，建議職業等級比照一般內勤人員，職業等級</t>
    </r>
    <r>
      <rPr>
        <sz val="14"/>
        <color theme="1"/>
        <rFont val="Times New Roman"/>
        <family val="1"/>
      </rPr>
      <t>1</t>
    </r>
    <r>
      <rPr>
        <sz val="14"/>
        <color theme="1"/>
        <rFont val="標楷體"/>
        <family val="4"/>
        <charset val="136"/>
      </rPr>
      <t>級。</t>
    </r>
    <phoneticPr fontId="3" type="noConversion"/>
  </si>
  <si>
    <r>
      <t xml:space="preserve">21      
</t>
    </r>
    <r>
      <rPr>
        <sz val="14"/>
        <rFont val="標楷體"/>
        <family val="4"/>
        <charset val="136"/>
      </rPr>
      <t>職業運動人員</t>
    </r>
    <phoneticPr fontId="3" type="noConversion"/>
  </si>
  <si>
    <r>
      <t xml:space="preserve">2101  </t>
    </r>
    <r>
      <rPr>
        <sz val="14"/>
        <rFont val="標楷體"/>
        <family val="4"/>
        <charset val="136"/>
      </rPr>
      <t>高爾夫球</t>
    </r>
    <phoneticPr fontId="3" type="noConversion"/>
  </si>
  <si>
    <t>21010010</t>
    <phoneticPr fontId="3" type="noConversion"/>
  </si>
  <si>
    <t>21010011</t>
    <phoneticPr fontId="3" type="noConversion"/>
  </si>
  <si>
    <r>
      <rPr>
        <b/>
        <u/>
        <sz val="14"/>
        <color rgb="FFFF0000"/>
        <rFont val="標楷體"/>
        <family val="4"/>
        <charset val="136"/>
      </rPr>
      <t>裁判</t>
    </r>
    <phoneticPr fontId="5" type="noConversion"/>
  </si>
  <si>
    <r>
      <rPr>
        <sz val="14"/>
        <color theme="1"/>
        <rFont val="標楷體"/>
        <family val="4"/>
        <charset val="136"/>
      </rPr>
      <t>因應該行業實務作業，新增裁判，職業等級比照教練，職業等級為</t>
    </r>
    <r>
      <rPr>
        <sz val="14"/>
        <color theme="1"/>
        <rFont val="Times New Roman"/>
        <family val="1"/>
      </rPr>
      <t>2</t>
    </r>
    <r>
      <rPr>
        <sz val="14"/>
        <color theme="1"/>
        <rFont val="標楷體"/>
        <family val="4"/>
        <charset val="136"/>
      </rPr>
      <t>。</t>
    </r>
    <phoneticPr fontId="3" type="noConversion"/>
  </si>
  <si>
    <t>21010020</t>
    <phoneticPr fontId="3" type="noConversion"/>
  </si>
  <si>
    <t>21010030</t>
    <phoneticPr fontId="3" type="noConversion"/>
  </si>
  <si>
    <r>
      <t xml:space="preserve">2102  </t>
    </r>
    <r>
      <rPr>
        <sz val="14"/>
        <rFont val="標楷體"/>
        <family val="4"/>
        <charset val="136"/>
      </rPr>
      <t>保齡球</t>
    </r>
    <phoneticPr fontId="3" type="noConversion"/>
  </si>
  <si>
    <t>21020010</t>
    <phoneticPr fontId="3" type="noConversion"/>
  </si>
  <si>
    <t>21020011</t>
    <phoneticPr fontId="3" type="noConversion"/>
  </si>
  <si>
    <t>21020020</t>
    <phoneticPr fontId="3" type="noConversion"/>
  </si>
  <si>
    <r>
      <t xml:space="preserve">2103  </t>
    </r>
    <r>
      <rPr>
        <sz val="14"/>
        <rFont val="標楷體"/>
        <family val="4"/>
        <charset val="136"/>
      </rPr>
      <t>桌球</t>
    </r>
    <phoneticPr fontId="3" type="noConversion"/>
  </si>
  <si>
    <t>21030010</t>
    <phoneticPr fontId="3" type="noConversion"/>
  </si>
  <si>
    <t>21030011</t>
    <phoneticPr fontId="3" type="noConversion"/>
  </si>
  <si>
    <t>21030020</t>
    <phoneticPr fontId="3" type="noConversion"/>
  </si>
  <si>
    <r>
      <t xml:space="preserve">2104  </t>
    </r>
    <r>
      <rPr>
        <sz val="14"/>
        <rFont val="標楷體"/>
        <family val="4"/>
        <charset val="136"/>
      </rPr>
      <t>羽球</t>
    </r>
    <phoneticPr fontId="3" type="noConversion"/>
  </si>
  <si>
    <t>21040010</t>
    <phoneticPr fontId="3" type="noConversion"/>
  </si>
  <si>
    <t>21040011</t>
    <phoneticPr fontId="3" type="noConversion"/>
  </si>
  <si>
    <t>21040020</t>
    <phoneticPr fontId="3" type="noConversion"/>
  </si>
  <si>
    <r>
      <t xml:space="preserve">2105  </t>
    </r>
    <r>
      <rPr>
        <sz val="14"/>
        <rFont val="標楷體"/>
        <family val="4"/>
        <charset val="136"/>
      </rPr>
      <t>游泳</t>
    </r>
    <phoneticPr fontId="3" type="noConversion"/>
  </si>
  <si>
    <t>21050010</t>
    <phoneticPr fontId="3" type="noConversion"/>
  </si>
  <si>
    <t>21050011</t>
    <phoneticPr fontId="3" type="noConversion"/>
  </si>
  <si>
    <t>21050020</t>
    <phoneticPr fontId="3" type="noConversion"/>
  </si>
  <si>
    <r>
      <t xml:space="preserve">2106  </t>
    </r>
    <r>
      <rPr>
        <sz val="14"/>
        <rFont val="標楷體"/>
        <family val="4"/>
        <charset val="136"/>
      </rPr>
      <t>射箭</t>
    </r>
    <r>
      <rPr>
        <sz val="14"/>
        <rFont val="Times New Roman"/>
        <family val="1"/>
      </rPr>
      <t xml:space="preserve">  </t>
    </r>
    <phoneticPr fontId="3" type="noConversion"/>
  </si>
  <si>
    <t>21060010</t>
    <phoneticPr fontId="3" type="noConversion"/>
  </si>
  <si>
    <t>21060011</t>
    <phoneticPr fontId="3" type="noConversion"/>
  </si>
  <si>
    <t>21060020</t>
    <phoneticPr fontId="3" type="noConversion"/>
  </si>
  <si>
    <r>
      <t xml:space="preserve">2107  </t>
    </r>
    <r>
      <rPr>
        <sz val="14"/>
        <rFont val="標楷體"/>
        <family val="4"/>
        <charset val="136"/>
      </rPr>
      <t>網球</t>
    </r>
    <phoneticPr fontId="3" type="noConversion"/>
  </si>
  <si>
    <t>21070010</t>
    <phoneticPr fontId="3" type="noConversion"/>
  </si>
  <si>
    <t>21070011</t>
    <phoneticPr fontId="3" type="noConversion"/>
  </si>
  <si>
    <t>21070020</t>
    <phoneticPr fontId="3" type="noConversion"/>
  </si>
  <si>
    <r>
      <t xml:space="preserve">2108  </t>
    </r>
    <r>
      <rPr>
        <sz val="14"/>
        <rFont val="標楷體"/>
        <family val="4"/>
        <charset val="136"/>
      </rPr>
      <t>壘球</t>
    </r>
    <phoneticPr fontId="3" type="noConversion"/>
  </si>
  <si>
    <t>21080010</t>
    <phoneticPr fontId="3" type="noConversion"/>
  </si>
  <si>
    <t>21080011</t>
    <phoneticPr fontId="3" type="noConversion"/>
  </si>
  <si>
    <t>21080020</t>
    <phoneticPr fontId="3" type="noConversion"/>
  </si>
  <si>
    <r>
      <t xml:space="preserve">2109  </t>
    </r>
    <r>
      <rPr>
        <sz val="14"/>
        <rFont val="標楷體"/>
        <family val="4"/>
        <charset val="136"/>
      </rPr>
      <t>溜冰</t>
    </r>
    <phoneticPr fontId="3" type="noConversion"/>
  </si>
  <si>
    <t>21090010</t>
    <phoneticPr fontId="3" type="noConversion"/>
  </si>
  <si>
    <t>21090011</t>
    <phoneticPr fontId="3" type="noConversion"/>
  </si>
  <si>
    <t>21090020</t>
    <phoneticPr fontId="3" type="noConversion"/>
  </si>
  <si>
    <r>
      <t xml:space="preserve">2110  </t>
    </r>
    <r>
      <rPr>
        <sz val="14"/>
        <rFont val="標楷體"/>
        <family val="4"/>
        <charset val="136"/>
      </rPr>
      <t>射擊</t>
    </r>
    <phoneticPr fontId="3" type="noConversion"/>
  </si>
  <si>
    <t>21100010</t>
    <phoneticPr fontId="3" type="noConversion"/>
  </si>
  <si>
    <t>21100011</t>
    <phoneticPr fontId="3" type="noConversion"/>
  </si>
  <si>
    <t>21100020</t>
    <phoneticPr fontId="3" type="noConversion"/>
  </si>
  <si>
    <t>21110010</t>
    <phoneticPr fontId="3" type="noConversion"/>
  </si>
  <si>
    <t>21110011</t>
    <phoneticPr fontId="3" type="noConversion"/>
  </si>
  <si>
    <t>21110020</t>
    <phoneticPr fontId="3" type="noConversion"/>
  </si>
  <si>
    <r>
      <t xml:space="preserve">2112  </t>
    </r>
    <r>
      <rPr>
        <sz val="14"/>
        <rFont val="標楷體"/>
        <family val="4"/>
        <charset val="136"/>
      </rPr>
      <t>舉重</t>
    </r>
    <phoneticPr fontId="3" type="noConversion"/>
  </si>
  <si>
    <t>21120010</t>
    <phoneticPr fontId="3" type="noConversion"/>
  </si>
  <si>
    <t>21120011</t>
    <phoneticPr fontId="3" type="noConversion"/>
  </si>
  <si>
    <t>21120020</t>
    <phoneticPr fontId="3" type="noConversion"/>
  </si>
  <si>
    <r>
      <t xml:space="preserve">2113  </t>
    </r>
    <r>
      <rPr>
        <sz val="14"/>
        <rFont val="標楷體"/>
        <family val="4"/>
        <charset val="136"/>
      </rPr>
      <t>籃球</t>
    </r>
    <phoneticPr fontId="3" type="noConversion"/>
  </si>
  <si>
    <t>21130010</t>
    <phoneticPr fontId="3" type="noConversion"/>
  </si>
  <si>
    <t>21130011</t>
    <phoneticPr fontId="3" type="noConversion"/>
  </si>
  <si>
    <t>21130020</t>
    <phoneticPr fontId="3" type="noConversion"/>
  </si>
  <si>
    <r>
      <t xml:space="preserve">2114  </t>
    </r>
    <r>
      <rPr>
        <sz val="14"/>
        <rFont val="標楷體"/>
        <family val="4"/>
        <charset val="136"/>
      </rPr>
      <t>排球</t>
    </r>
    <phoneticPr fontId="3" type="noConversion"/>
  </si>
  <si>
    <t>21140010</t>
    <phoneticPr fontId="3" type="noConversion"/>
  </si>
  <si>
    <t>21140011</t>
    <phoneticPr fontId="3" type="noConversion"/>
  </si>
  <si>
    <t>21140020</t>
    <phoneticPr fontId="3" type="noConversion"/>
  </si>
  <si>
    <r>
      <t xml:space="preserve">2115  </t>
    </r>
    <r>
      <rPr>
        <sz val="14"/>
        <rFont val="標楷體"/>
        <family val="4"/>
        <charset val="136"/>
      </rPr>
      <t>棒球</t>
    </r>
    <phoneticPr fontId="3" type="noConversion"/>
  </si>
  <si>
    <t>21150010</t>
    <phoneticPr fontId="3" type="noConversion"/>
  </si>
  <si>
    <t>21150011</t>
    <phoneticPr fontId="3" type="noConversion"/>
  </si>
  <si>
    <t>21150020</t>
    <phoneticPr fontId="3" type="noConversion"/>
  </si>
  <si>
    <r>
      <t xml:space="preserve">2116  </t>
    </r>
    <r>
      <rPr>
        <sz val="14"/>
        <rFont val="標楷體"/>
        <family val="4"/>
        <charset val="136"/>
      </rPr>
      <t>田徑</t>
    </r>
    <phoneticPr fontId="3" type="noConversion"/>
  </si>
  <si>
    <t>21160010</t>
    <phoneticPr fontId="3" type="noConversion"/>
  </si>
  <si>
    <t>21160011</t>
    <phoneticPr fontId="3" type="noConversion"/>
  </si>
  <si>
    <t>21160020</t>
    <phoneticPr fontId="3" type="noConversion"/>
  </si>
  <si>
    <r>
      <t xml:space="preserve">2117  </t>
    </r>
    <r>
      <rPr>
        <sz val="14"/>
        <rFont val="標楷體"/>
        <family val="4"/>
        <charset val="136"/>
      </rPr>
      <t>體操</t>
    </r>
    <phoneticPr fontId="3" type="noConversion"/>
  </si>
  <si>
    <t>21170010</t>
    <phoneticPr fontId="3" type="noConversion"/>
  </si>
  <si>
    <t>21170011</t>
    <phoneticPr fontId="3" type="noConversion"/>
  </si>
  <si>
    <t>21170020</t>
    <phoneticPr fontId="3" type="noConversion"/>
  </si>
  <si>
    <r>
      <t xml:space="preserve">2118  </t>
    </r>
    <r>
      <rPr>
        <sz val="14"/>
        <rFont val="標楷體"/>
        <family val="4"/>
        <charset val="136"/>
      </rPr>
      <t>滑草</t>
    </r>
    <phoneticPr fontId="3" type="noConversion"/>
  </si>
  <si>
    <t>21180010</t>
    <phoneticPr fontId="3" type="noConversion"/>
  </si>
  <si>
    <t>21180011</t>
    <phoneticPr fontId="3" type="noConversion"/>
  </si>
  <si>
    <r>
      <rPr>
        <sz val="14"/>
        <color theme="1"/>
        <rFont val="標楷體"/>
        <family val="4"/>
        <charset val="136"/>
      </rPr>
      <t>因應該行業實務作業，新增裁判，職業等級比照教練，職業等級為</t>
    </r>
    <r>
      <rPr>
        <sz val="14"/>
        <color theme="1"/>
        <rFont val="Times New Roman"/>
        <family val="1"/>
      </rPr>
      <t>3</t>
    </r>
    <r>
      <rPr>
        <sz val="14"/>
        <color theme="1"/>
        <rFont val="標楷體"/>
        <family val="4"/>
        <charset val="136"/>
      </rPr>
      <t>。</t>
    </r>
    <phoneticPr fontId="3" type="noConversion"/>
  </si>
  <si>
    <t>21180020</t>
    <phoneticPr fontId="3" type="noConversion"/>
  </si>
  <si>
    <r>
      <t xml:space="preserve">2119  </t>
    </r>
    <r>
      <rPr>
        <sz val="14"/>
        <rFont val="標楷體"/>
        <family val="4"/>
        <charset val="136"/>
      </rPr>
      <t>帆船</t>
    </r>
    <phoneticPr fontId="3" type="noConversion"/>
  </si>
  <si>
    <t>21190010</t>
    <phoneticPr fontId="3" type="noConversion"/>
  </si>
  <si>
    <t>21190011</t>
    <phoneticPr fontId="3" type="noConversion"/>
  </si>
  <si>
    <t>21190020</t>
    <phoneticPr fontId="3" type="noConversion"/>
  </si>
  <si>
    <r>
      <t xml:space="preserve">2120  </t>
    </r>
    <r>
      <rPr>
        <sz val="14"/>
        <rFont val="標楷體"/>
        <family val="4"/>
        <charset val="136"/>
      </rPr>
      <t>划船</t>
    </r>
    <phoneticPr fontId="3" type="noConversion"/>
  </si>
  <si>
    <t>21200010</t>
    <phoneticPr fontId="3" type="noConversion"/>
  </si>
  <si>
    <t>21200011</t>
    <phoneticPr fontId="3" type="noConversion"/>
  </si>
  <si>
    <t>21200020</t>
    <phoneticPr fontId="3" type="noConversion"/>
  </si>
  <si>
    <r>
      <t xml:space="preserve">2121  </t>
    </r>
    <r>
      <rPr>
        <sz val="14"/>
        <rFont val="標楷體"/>
        <family val="4"/>
        <charset val="136"/>
      </rPr>
      <t>泛舟</t>
    </r>
    <phoneticPr fontId="3" type="noConversion"/>
  </si>
  <si>
    <t>21210010</t>
    <phoneticPr fontId="3" type="noConversion"/>
  </si>
  <si>
    <t>21210011</t>
    <phoneticPr fontId="3" type="noConversion"/>
  </si>
  <si>
    <t>21210020</t>
    <phoneticPr fontId="3" type="noConversion"/>
  </si>
  <si>
    <r>
      <t xml:space="preserve">2122  </t>
    </r>
    <r>
      <rPr>
        <sz val="14"/>
        <rFont val="標楷體"/>
        <family val="4"/>
        <charset val="136"/>
      </rPr>
      <t>巧固球</t>
    </r>
    <phoneticPr fontId="3" type="noConversion"/>
  </si>
  <si>
    <t>21220010</t>
    <phoneticPr fontId="3" type="noConversion"/>
  </si>
  <si>
    <t>21220011</t>
    <phoneticPr fontId="3" type="noConversion"/>
  </si>
  <si>
    <t>21220020</t>
    <phoneticPr fontId="3" type="noConversion"/>
  </si>
  <si>
    <r>
      <t xml:space="preserve">2123  </t>
    </r>
    <r>
      <rPr>
        <sz val="14"/>
        <rFont val="標楷體"/>
        <family val="4"/>
        <charset val="136"/>
      </rPr>
      <t>手球</t>
    </r>
    <phoneticPr fontId="3" type="noConversion"/>
  </si>
  <si>
    <t>21230010</t>
    <phoneticPr fontId="3" type="noConversion"/>
  </si>
  <si>
    <t>21230011</t>
    <phoneticPr fontId="3" type="noConversion"/>
  </si>
  <si>
    <t>21230020</t>
    <phoneticPr fontId="3" type="noConversion"/>
  </si>
  <si>
    <r>
      <t xml:space="preserve">2124  </t>
    </r>
    <r>
      <rPr>
        <sz val="14"/>
        <rFont val="標楷體"/>
        <family val="4"/>
        <charset val="136"/>
      </rPr>
      <t>風浪板</t>
    </r>
    <phoneticPr fontId="3" type="noConversion"/>
  </si>
  <si>
    <t>21240010</t>
    <phoneticPr fontId="3" type="noConversion"/>
  </si>
  <si>
    <t>21240011</t>
    <phoneticPr fontId="3" type="noConversion"/>
  </si>
  <si>
    <r>
      <rPr>
        <sz val="14"/>
        <color theme="1"/>
        <rFont val="標楷體"/>
        <family val="4"/>
        <charset val="136"/>
      </rPr>
      <t>因應該行業實務作業，新增裁判，職業等級比照教練，職業等級為</t>
    </r>
    <r>
      <rPr>
        <sz val="14"/>
        <color theme="1"/>
        <rFont val="Times New Roman"/>
        <family val="1"/>
      </rPr>
      <t>4</t>
    </r>
    <r>
      <rPr>
        <sz val="14"/>
        <color theme="1"/>
        <rFont val="標楷體"/>
        <family val="4"/>
        <charset val="136"/>
      </rPr>
      <t>。</t>
    </r>
    <phoneticPr fontId="3" type="noConversion"/>
  </si>
  <si>
    <t>21240020</t>
    <phoneticPr fontId="3" type="noConversion"/>
  </si>
  <si>
    <r>
      <t xml:space="preserve">2125  </t>
    </r>
    <r>
      <rPr>
        <sz val="14"/>
        <rFont val="標楷體"/>
        <family val="4"/>
        <charset val="136"/>
      </rPr>
      <t>水上摩托車</t>
    </r>
    <phoneticPr fontId="3" type="noConversion"/>
  </si>
  <si>
    <t>21250010</t>
    <phoneticPr fontId="3" type="noConversion"/>
  </si>
  <si>
    <t>21250011</t>
    <phoneticPr fontId="3" type="noConversion"/>
  </si>
  <si>
    <t>21250020</t>
    <phoneticPr fontId="3" type="noConversion"/>
  </si>
  <si>
    <r>
      <t xml:space="preserve">2126  </t>
    </r>
    <r>
      <rPr>
        <sz val="14"/>
        <rFont val="標楷體"/>
        <family val="4"/>
        <charset val="136"/>
      </rPr>
      <t>足球</t>
    </r>
    <phoneticPr fontId="3" type="noConversion"/>
  </si>
  <si>
    <t>21260010</t>
    <phoneticPr fontId="3" type="noConversion"/>
  </si>
  <si>
    <t>21260011</t>
    <phoneticPr fontId="3" type="noConversion"/>
  </si>
  <si>
    <t>21260020</t>
    <phoneticPr fontId="3" type="noConversion"/>
  </si>
  <si>
    <r>
      <t xml:space="preserve">2127  </t>
    </r>
    <r>
      <rPr>
        <sz val="14"/>
        <rFont val="標楷體"/>
        <family val="4"/>
        <charset val="136"/>
      </rPr>
      <t>曲棍球</t>
    </r>
    <phoneticPr fontId="3" type="noConversion"/>
  </si>
  <si>
    <t>21270010</t>
    <phoneticPr fontId="3" type="noConversion"/>
  </si>
  <si>
    <t>21270011</t>
    <phoneticPr fontId="3" type="noConversion"/>
  </si>
  <si>
    <t>21270020</t>
    <phoneticPr fontId="3" type="noConversion"/>
  </si>
  <si>
    <r>
      <t xml:space="preserve">2128  </t>
    </r>
    <r>
      <rPr>
        <sz val="14"/>
        <rFont val="標楷體"/>
        <family val="4"/>
        <charset val="136"/>
      </rPr>
      <t>冰上曲棍球</t>
    </r>
    <phoneticPr fontId="3" type="noConversion"/>
  </si>
  <si>
    <t>21280010</t>
    <phoneticPr fontId="3" type="noConversion"/>
  </si>
  <si>
    <t>21280011</t>
    <phoneticPr fontId="3" type="noConversion"/>
  </si>
  <si>
    <t>21280020</t>
    <phoneticPr fontId="3" type="noConversion"/>
  </si>
  <si>
    <r>
      <t xml:space="preserve">2129  </t>
    </r>
    <r>
      <rPr>
        <sz val="14"/>
        <rFont val="標楷體"/>
        <family val="4"/>
        <charset val="136"/>
      </rPr>
      <t>橄欖球</t>
    </r>
    <phoneticPr fontId="3" type="noConversion"/>
  </si>
  <si>
    <t>21290010</t>
    <phoneticPr fontId="3" type="noConversion"/>
  </si>
  <si>
    <t>21290011</t>
    <phoneticPr fontId="3" type="noConversion"/>
  </si>
  <si>
    <t>21290020</t>
    <phoneticPr fontId="3" type="noConversion"/>
  </si>
  <si>
    <r>
      <t xml:space="preserve">2130  </t>
    </r>
    <r>
      <rPr>
        <sz val="14"/>
        <rFont val="標楷體"/>
        <family val="4"/>
        <charset val="136"/>
      </rPr>
      <t>自由車</t>
    </r>
    <phoneticPr fontId="3" type="noConversion"/>
  </si>
  <si>
    <t>21300010</t>
    <phoneticPr fontId="3" type="noConversion"/>
  </si>
  <si>
    <t>21300011</t>
    <phoneticPr fontId="3" type="noConversion"/>
  </si>
  <si>
    <t>21300020</t>
    <phoneticPr fontId="3" type="noConversion"/>
  </si>
  <si>
    <r>
      <rPr>
        <sz val="14"/>
        <rFont val="標楷體"/>
        <family val="4"/>
        <charset val="136"/>
      </rPr>
      <t>適用特別費率</t>
    </r>
    <phoneticPr fontId="5" type="noConversion"/>
  </si>
  <si>
    <r>
      <t xml:space="preserve">2131  </t>
    </r>
    <r>
      <rPr>
        <sz val="14"/>
        <rFont val="標楷體"/>
        <family val="4"/>
        <charset val="136"/>
      </rPr>
      <t>角力</t>
    </r>
    <phoneticPr fontId="3" type="noConversion"/>
  </si>
  <si>
    <t>21310010</t>
    <phoneticPr fontId="3" type="noConversion"/>
  </si>
  <si>
    <t>21310011</t>
    <phoneticPr fontId="3" type="noConversion"/>
  </si>
  <si>
    <t>21310020</t>
    <phoneticPr fontId="3" type="noConversion"/>
  </si>
  <si>
    <r>
      <t xml:space="preserve">2132  </t>
    </r>
    <r>
      <rPr>
        <sz val="14"/>
        <rFont val="標楷體"/>
        <family val="4"/>
        <charset val="136"/>
      </rPr>
      <t>摔角</t>
    </r>
    <phoneticPr fontId="3" type="noConversion"/>
  </si>
  <si>
    <t>21320010</t>
    <phoneticPr fontId="3" type="noConversion"/>
  </si>
  <si>
    <t>21320011</t>
    <phoneticPr fontId="3" type="noConversion"/>
  </si>
  <si>
    <t>21320020</t>
    <phoneticPr fontId="3" type="noConversion"/>
  </si>
  <si>
    <r>
      <t xml:space="preserve">2133  </t>
    </r>
    <r>
      <rPr>
        <sz val="14"/>
        <rFont val="標楷體"/>
        <family val="4"/>
        <charset val="136"/>
      </rPr>
      <t>柔道</t>
    </r>
    <phoneticPr fontId="3" type="noConversion"/>
  </si>
  <si>
    <t>21330010</t>
    <phoneticPr fontId="3" type="noConversion"/>
  </si>
  <si>
    <t>21330011</t>
    <phoneticPr fontId="3" type="noConversion"/>
  </si>
  <si>
    <t>21330020</t>
    <phoneticPr fontId="3" type="noConversion"/>
  </si>
  <si>
    <r>
      <t xml:space="preserve">2134  </t>
    </r>
    <r>
      <rPr>
        <sz val="14"/>
        <rFont val="標楷體"/>
        <family val="4"/>
        <charset val="136"/>
      </rPr>
      <t>空手道</t>
    </r>
    <phoneticPr fontId="3" type="noConversion"/>
  </si>
  <si>
    <t>21340010</t>
    <phoneticPr fontId="3" type="noConversion"/>
  </si>
  <si>
    <t>21340011</t>
    <phoneticPr fontId="3" type="noConversion"/>
  </si>
  <si>
    <t>21340020</t>
    <phoneticPr fontId="3" type="noConversion"/>
  </si>
  <si>
    <r>
      <t xml:space="preserve">2135  </t>
    </r>
    <r>
      <rPr>
        <sz val="14"/>
        <rFont val="標楷體"/>
        <family val="4"/>
        <charset val="136"/>
      </rPr>
      <t>跆拳道</t>
    </r>
    <phoneticPr fontId="3" type="noConversion"/>
  </si>
  <si>
    <t>21350010</t>
    <phoneticPr fontId="3" type="noConversion"/>
  </si>
  <si>
    <t>21350011</t>
    <phoneticPr fontId="3" type="noConversion"/>
  </si>
  <si>
    <t>21350020</t>
    <phoneticPr fontId="3" type="noConversion"/>
  </si>
  <si>
    <r>
      <t xml:space="preserve">2136  </t>
    </r>
    <r>
      <rPr>
        <sz val="14"/>
        <rFont val="標楷體"/>
        <family val="4"/>
        <charset val="136"/>
      </rPr>
      <t>國術</t>
    </r>
    <phoneticPr fontId="3" type="noConversion"/>
  </si>
  <si>
    <t>21360010</t>
    <phoneticPr fontId="3" type="noConversion"/>
  </si>
  <si>
    <t>21360011</t>
    <phoneticPr fontId="3" type="noConversion"/>
  </si>
  <si>
    <t>21360020</t>
    <phoneticPr fontId="3" type="noConversion"/>
  </si>
  <si>
    <r>
      <t xml:space="preserve">2137  </t>
    </r>
    <r>
      <rPr>
        <sz val="14"/>
        <rFont val="標楷體"/>
        <family val="4"/>
        <charset val="136"/>
      </rPr>
      <t>拳擊</t>
    </r>
    <phoneticPr fontId="3" type="noConversion"/>
  </si>
  <si>
    <t>21370010</t>
    <phoneticPr fontId="3" type="noConversion"/>
  </si>
  <si>
    <t>21370011</t>
    <phoneticPr fontId="3" type="noConversion"/>
  </si>
  <si>
    <t>21370020</t>
    <phoneticPr fontId="3" type="noConversion"/>
  </si>
  <si>
    <r>
      <t xml:space="preserve">2138  </t>
    </r>
    <r>
      <rPr>
        <sz val="14"/>
        <rFont val="標楷體"/>
        <family val="4"/>
        <charset val="136"/>
      </rPr>
      <t>潛水</t>
    </r>
    <phoneticPr fontId="3" type="noConversion"/>
  </si>
  <si>
    <t>21380010</t>
    <phoneticPr fontId="3" type="noConversion"/>
  </si>
  <si>
    <t>21380011</t>
    <phoneticPr fontId="3" type="noConversion"/>
  </si>
  <si>
    <r>
      <rPr>
        <b/>
        <u/>
        <sz val="14"/>
        <color rgb="FFFF0000"/>
        <rFont val="標楷體"/>
        <family val="4"/>
        <charset val="136"/>
      </rPr>
      <t>適用特別費率</t>
    </r>
    <phoneticPr fontId="3" type="noConversion"/>
  </si>
  <si>
    <r>
      <rPr>
        <sz val="14"/>
        <color theme="1"/>
        <rFont val="標楷體"/>
        <family val="4"/>
        <charset val="136"/>
      </rPr>
      <t>因應該行業實務作業，新增裁判，職業等級比照教練，適用特別費率。</t>
    </r>
    <phoneticPr fontId="3" type="noConversion"/>
  </si>
  <si>
    <t>21380020</t>
    <phoneticPr fontId="3" type="noConversion"/>
  </si>
  <si>
    <r>
      <t xml:space="preserve">2139  </t>
    </r>
    <r>
      <rPr>
        <sz val="14"/>
        <rFont val="標楷體"/>
        <family val="4"/>
        <charset val="136"/>
      </rPr>
      <t>滑水</t>
    </r>
    <phoneticPr fontId="3" type="noConversion"/>
  </si>
  <si>
    <t>21390010</t>
    <phoneticPr fontId="3" type="noConversion"/>
  </si>
  <si>
    <t>21390011</t>
    <phoneticPr fontId="3" type="noConversion"/>
  </si>
  <si>
    <r>
      <rPr>
        <b/>
        <u/>
        <sz val="14"/>
        <color rgb="FFFF0000"/>
        <rFont val="標楷體"/>
        <family val="4"/>
        <charset val="136"/>
      </rPr>
      <t>適用特別費率</t>
    </r>
  </si>
  <si>
    <t>21390020</t>
    <phoneticPr fontId="3" type="noConversion"/>
  </si>
  <si>
    <r>
      <t xml:space="preserve">2140  </t>
    </r>
    <r>
      <rPr>
        <sz val="14"/>
        <rFont val="標楷體"/>
        <family val="4"/>
        <charset val="136"/>
      </rPr>
      <t>滑雪</t>
    </r>
    <phoneticPr fontId="3" type="noConversion"/>
  </si>
  <si>
    <t>21400010</t>
    <phoneticPr fontId="3" type="noConversion"/>
  </si>
  <si>
    <t>21400011</t>
    <phoneticPr fontId="3" type="noConversion"/>
  </si>
  <si>
    <t>21400020</t>
    <phoneticPr fontId="3" type="noConversion"/>
  </si>
  <si>
    <r>
      <t xml:space="preserve">2141  </t>
    </r>
    <r>
      <rPr>
        <sz val="14"/>
        <rFont val="標楷體"/>
        <family val="4"/>
        <charset val="136"/>
      </rPr>
      <t>馬術</t>
    </r>
    <phoneticPr fontId="3" type="noConversion"/>
  </si>
  <si>
    <t>21410010</t>
    <phoneticPr fontId="3" type="noConversion"/>
  </si>
  <si>
    <t>21410011</t>
    <phoneticPr fontId="3" type="noConversion"/>
  </si>
  <si>
    <t>21410020</t>
    <phoneticPr fontId="3" type="noConversion"/>
  </si>
  <si>
    <r>
      <t xml:space="preserve">2142  </t>
    </r>
    <r>
      <rPr>
        <sz val="14"/>
        <rFont val="標楷體"/>
        <family val="4"/>
        <charset val="136"/>
      </rPr>
      <t>特技表演</t>
    </r>
    <phoneticPr fontId="3" type="noConversion"/>
  </si>
  <si>
    <t>21420010</t>
    <phoneticPr fontId="3" type="noConversion"/>
  </si>
  <si>
    <t>21420011</t>
    <phoneticPr fontId="3" type="noConversion"/>
  </si>
  <si>
    <t>21420020</t>
    <phoneticPr fontId="3" type="noConversion"/>
  </si>
  <si>
    <r>
      <t xml:space="preserve">2143  </t>
    </r>
    <r>
      <rPr>
        <sz val="14"/>
        <rFont val="標楷體"/>
        <family val="4"/>
        <charset val="136"/>
      </rPr>
      <t>雪車</t>
    </r>
    <phoneticPr fontId="3" type="noConversion"/>
  </si>
  <si>
    <t>21430010</t>
    <phoneticPr fontId="3" type="noConversion"/>
  </si>
  <si>
    <t>21430011</t>
    <phoneticPr fontId="3" type="noConversion"/>
  </si>
  <si>
    <t>21430020</t>
    <phoneticPr fontId="3" type="noConversion"/>
  </si>
  <si>
    <r>
      <t xml:space="preserve">2144  </t>
    </r>
    <r>
      <rPr>
        <sz val="14"/>
        <rFont val="標楷體"/>
        <family val="4"/>
        <charset val="136"/>
      </rPr>
      <t>滑翔機具</t>
    </r>
    <phoneticPr fontId="3" type="noConversion"/>
  </si>
  <si>
    <t>21440010</t>
    <phoneticPr fontId="3" type="noConversion"/>
  </si>
  <si>
    <t>21440011</t>
    <phoneticPr fontId="5" type="noConversion"/>
  </si>
  <si>
    <t>21440020</t>
    <phoneticPr fontId="3" type="noConversion"/>
  </si>
  <si>
    <t>21450010</t>
    <phoneticPr fontId="3" type="noConversion"/>
  </si>
  <si>
    <t>21450011</t>
    <phoneticPr fontId="3" type="noConversion"/>
  </si>
  <si>
    <t>21450020</t>
    <phoneticPr fontId="3" type="noConversion"/>
  </si>
  <si>
    <r>
      <t xml:space="preserve">2146  </t>
    </r>
    <r>
      <rPr>
        <sz val="14"/>
        <rFont val="標楷體"/>
        <family val="4"/>
        <charset val="136"/>
      </rPr>
      <t>跳傘</t>
    </r>
    <phoneticPr fontId="3" type="noConversion"/>
  </si>
  <si>
    <t>21460010</t>
    <phoneticPr fontId="3" type="noConversion"/>
  </si>
  <si>
    <t>21460011</t>
    <phoneticPr fontId="3" type="noConversion"/>
  </si>
  <si>
    <r>
      <rPr>
        <b/>
        <u/>
        <sz val="14"/>
        <color rgb="FFFF0000"/>
        <rFont val="標楷體"/>
        <family val="4"/>
        <charset val="136"/>
      </rPr>
      <t>拒保</t>
    </r>
  </si>
  <si>
    <r>
      <rPr>
        <sz val="14"/>
        <color theme="1"/>
        <rFont val="標楷體"/>
        <family val="4"/>
        <charset val="136"/>
      </rPr>
      <t>因應該行業實務作業，新增裁判，職業等級比照教練，拒保。</t>
    </r>
    <phoneticPr fontId="3" type="noConversion"/>
  </si>
  <si>
    <t>21460020</t>
    <phoneticPr fontId="3" type="noConversion"/>
  </si>
  <si>
    <r>
      <t xml:space="preserve">2147 </t>
    </r>
    <r>
      <rPr>
        <sz val="14"/>
        <rFont val="標楷體"/>
        <family val="4"/>
        <charset val="136"/>
      </rPr>
      <t>動力及無動力飛行載具</t>
    </r>
    <phoneticPr fontId="3" type="noConversion"/>
  </si>
  <si>
    <t>21470010</t>
    <phoneticPr fontId="3" type="noConversion"/>
  </si>
  <si>
    <t>21470011</t>
    <phoneticPr fontId="3" type="noConversion"/>
  </si>
  <si>
    <t>21470020</t>
    <phoneticPr fontId="3" type="noConversion"/>
  </si>
  <si>
    <r>
      <t xml:space="preserve">2148  </t>
    </r>
    <r>
      <rPr>
        <sz val="14"/>
        <rFont val="標楷體"/>
        <family val="4"/>
        <charset val="136"/>
      </rPr>
      <t>撞球</t>
    </r>
    <phoneticPr fontId="3" type="noConversion"/>
  </si>
  <si>
    <t>21480010</t>
  </si>
  <si>
    <t>21480011</t>
    <phoneticPr fontId="3" type="noConversion"/>
  </si>
  <si>
    <r>
      <rPr>
        <sz val="14"/>
        <color theme="1"/>
        <rFont val="標楷體"/>
        <family val="4"/>
        <charset val="136"/>
      </rPr>
      <t>因應該行業實務作業，新增裁判，職業等級比照教練，職業等級為</t>
    </r>
    <r>
      <rPr>
        <sz val="14"/>
        <color theme="1"/>
        <rFont val="Times New Roman"/>
        <family val="1"/>
      </rPr>
      <t>1</t>
    </r>
    <r>
      <rPr>
        <sz val="14"/>
        <color theme="1"/>
        <rFont val="標楷體"/>
        <family val="4"/>
        <charset val="136"/>
      </rPr>
      <t>。</t>
    </r>
    <phoneticPr fontId="3" type="noConversion"/>
  </si>
  <si>
    <t>21480020</t>
  </si>
  <si>
    <r>
      <t xml:space="preserve">2149  </t>
    </r>
    <r>
      <rPr>
        <sz val="14"/>
        <rFont val="標楷體"/>
        <family val="4"/>
        <charset val="136"/>
      </rPr>
      <t xml:space="preserve">迴力球
</t>
    </r>
    <r>
      <rPr>
        <sz val="14"/>
        <rFont val="Times New Roman"/>
        <family val="1"/>
      </rPr>
      <t xml:space="preserve">         (</t>
    </r>
    <r>
      <rPr>
        <sz val="14"/>
        <rFont val="標楷體"/>
        <family val="4"/>
        <charset val="136"/>
      </rPr>
      <t>壁球</t>
    </r>
    <r>
      <rPr>
        <sz val="14"/>
        <rFont val="Times New Roman"/>
        <family val="1"/>
      </rPr>
      <t>)</t>
    </r>
    <phoneticPr fontId="3" type="noConversion"/>
  </si>
  <si>
    <t>21490010</t>
  </si>
  <si>
    <t>21490011</t>
    <phoneticPr fontId="3" type="noConversion"/>
  </si>
  <si>
    <t>21490020</t>
  </si>
  <si>
    <r>
      <t xml:space="preserve">2150 </t>
    </r>
    <r>
      <rPr>
        <sz val="14"/>
        <rFont val="標楷體"/>
        <family val="4"/>
        <charset val="136"/>
      </rPr>
      <t>滑板直排輪</t>
    </r>
    <phoneticPr fontId="3" type="noConversion"/>
  </si>
  <si>
    <t>21500010</t>
  </si>
  <si>
    <t>21500011</t>
    <phoneticPr fontId="3" type="noConversion"/>
  </si>
  <si>
    <t>21500020</t>
  </si>
  <si>
    <r>
      <t xml:space="preserve">2151 </t>
    </r>
    <r>
      <rPr>
        <sz val="14"/>
        <rFont val="標楷體"/>
        <family val="4"/>
        <charset val="136"/>
      </rPr>
      <t>鐵人三項</t>
    </r>
    <phoneticPr fontId="3" type="noConversion"/>
  </si>
  <si>
    <t>21510010</t>
  </si>
  <si>
    <t>21510011</t>
    <phoneticPr fontId="3" type="noConversion"/>
  </si>
  <si>
    <t>21510020</t>
  </si>
  <si>
    <r>
      <t xml:space="preserve">2152 </t>
    </r>
    <r>
      <rPr>
        <sz val="14"/>
        <rFont val="標楷體"/>
        <family val="4"/>
        <charset val="136"/>
      </rPr>
      <t>相撲</t>
    </r>
    <phoneticPr fontId="3" type="noConversion"/>
  </si>
  <si>
    <t>21520010</t>
  </si>
  <si>
    <t>21520011</t>
    <phoneticPr fontId="3" type="noConversion"/>
  </si>
  <si>
    <t>21520020</t>
  </si>
  <si>
    <r>
      <t xml:space="preserve">2153 </t>
    </r>
    <r>
      <rPr>
        <sz val="14"/>
        <rFont val="標楷體"/>
        <family val="4"/>
        <charset val="136"/>
      </rPr>
      <t>合氣道</t>
    </r>
    <phoneticPr fontId="3" type="noConversion"/>
  </si>
  <si>
    <t>21530010</t>
  </si>
  <si>
    <t>21530011</t>
    <phoneticPr fontId="3" type="noConversion"/>
  </si>
  <si>
    <t>21530020</t>
  </si>
  <si>
    <r>
      <t xml:space="preserve">2154 </t>
    </r>
    <r>
      <rPr>
        <sz val="14"/>
        <rFont val="標楷體"/>
        <family val="4"/>
        <charset val="136"/>
      </rPr>
      <t>衝浪</t>
    </r>
    <phoneticPr fontId="3" type="noConversion"/>
  </si>
  <si>
    <t>21540010</t>
  </si>
  <si>
    <t>21540011</t>
    <phoneticPr fontId="3" type="noConversion"/>
  </si>
  <si>
    <t>21540020</t>
  </si>
  <si>
    <r>
      <t xml:space="preserve">2155 </t>
    </r>
    <r>
      <rPr>
        <sz val="14"/>
        <rFont val="標楷體"/>
        <family val="4"/>
        <charset val="136"/>
      </rPr>
      <t>跳水</t>
    </r>
    <phoneticPr fontId="3" type="noConversion"/>
  </si>
  <si>
    <t>21550010</t>
  </si>
  <si>
    <t>21550011</t>
    <phoneticPr fontId="3" type="noConversion"/>
  </si>
  <si>
    <t>21550020</t>
  </si>
  <si>
    <r>
      <t xml:space="preserve">2156 </t>
    </r>
    <r>
      <rPr>
        <sz val="14"/>
        <rFont val="標楷體"/>
        <family val="4"/>
        <charset val="136"/>
      </rPr>
      <t>高空彈跳</t>
    </r>
    <phoneticPr fontId="3" type="noConversion"/>
  </si>
  <si>
    <t>21560010</t>
  </si>
  <si>
    <t>21560011</t>
    <phoneticPr fontId="3" type="noConversion"/>
  </si>
  <si>
    <t>21560020</t>
  </si>
  <si>
    <r>
      <t xml:space="preserve">2157 </t>
    </r>
    <r>
      <rPr>
        <sz val="14"/>
        <rFont val="標楷體"/>
        <family val="4"/>
        <charset val="136"/>
      </rPr>
      <t>攀岩</t>
    </r>
    <phoneticPr fontId="3" type="noConversion"/>
  </si>
  <si>
    <t>21570010</t>
  </si>
  <si>
    <t>21570011</t>
    <phoneticPr fontId="3" type="noConversion"/>
  </si>
  <si>
    <t>21570020</t>
  </si>
  <si>
    <r>
      <t xml:space="preserve">2158 </t>
    </r>
    <r>
      <rPr>
        <sz val="14"/>
        <rFont val="標楷體"/>
        <family val="4"/>
        <charset val="136"/>
      </rPr>
      <t>馬球</t>
    </r>
    <phoneticPr fontId="3" type="noConversion"/>
  </si>
  <si>
    <t>21580010</t>
  </si>
  <si>
    <t>21580011</t>
    <phoneticPr fontId="3" type="noConversion"/>
  </si>
  <si>
    <t>21580020</t>
  </si>
  <si>
    <r>
      <t xml:space="preserve">2159 </t>
    </r>
    <r>
      <rPr>
        <sz val="14"/>
        <rFont val="標楷體"/>
        <family val="4"/>
        <charset val="136"/>
      </rPr>
      <t>劍道</t>
    </r>
    <phoneticPr fontId="3" type="noConversion"/>
  </si>
  <si>
    <t>21590010</t>
  </si>
  <si>
    <t>21590011</t>
    <phoneticPr fontId="3" type="noConversion"/>
  </si>
  <si>
    <t>21590020</t>
  </si>
  <si>
    <r>
      <t xml:space="preserve">2160 </t>
    </r>
    <r>
      <rPr>
        <sz val="14"/>
        <rFont val="標楷體"/>
        <family val="4"/>
        <charset val="136"/>
      </rPr>
      <t>西洋劍</t>
    </r>
    <phoneticPr fontId="3" type="noConversion"/>
  </si>
  <si>
    <t>21600010</t>
  </si>
  <si>
    <t>21600011</t>
    <phoneticPr fontId="3" type="noConversion"/>
  </si>
  <si>
    <t>21600020</t>
  </si>
  <si>
    <r>
      <t>2161</t>
    </r>
    <r>
      <rPr>
        <sz val="14"/>
        <rFont val="標楷體"/>
        <family val="4"/>
        <charset val="136"/>
      </rPr>
      <t>槌球</t>
    </r>
    <phoneticPr fontId="3" type="noConversion"/>
  </si>
  <si>
    <t>21610010</t>
    <phoneticPr fontId="3" type="noConversion"/>
  </si>
  <si>
    <t>21610011</t>
    <phoneticPr fontId="3" type="noConversion"/>
  </si>
  <si>
    <t>21610020</t>
    <phoneticPr fontId="3" type="noConversion"/>
  </si>
  <si>
    <t>金管會函准備查</t>
    <phoneticPr fontId="3" type="noConversion"/>
  </si>
  <si>
    <t>屠宰場人員</t>
    <phoneticPr fontId="3" type="noConversion"/>
  </si>
  <si>
    <t>養殖人員（內陸）</t>
  </si>
  <si>
    <t>養殖人員（沿海）</t>
  </si>
  <si>
    <t>漁產加工業領班、工作人員</t>
  </si>
  <si>
    <t>工作性質</t>
  </si>
  <si>
    <t>內勤人員</t>
  </si>
  <si>
    <t>外勤人員</t>
  </si>
  <si>
    <t>農場經營者（不親自作業）</t>
  </si>
  <si>
    <t>農夫</t>
    <phoneticPr fontId="3" type="noConversion"/>
  </si>
  <si>
    <t>長短工</t>
    <phoneticPr fontId="3" type="noConversion"/>
  </si>
  <si>
    <t>果農</t>
    <phoneticPr fontId="3" type="noConversion"/>
  </si>
  <si>
    <t>苗圃栽培人員</t>
    <phoneticPr fontId="3" type="noConversion"/>
  </si>
  <si>
    <t>花圃栽培人員</t>
    <phoneticPr fontId="3" type="noConversion"/>
  </si>
  <si>
    <t>飼養家禽家畜人員</t>
    <phoneticPr fontId="3" type="noConversion"/>
  </si>
  <si>
    <t>農業技師、指導員</t>
    <phoneticPr fontId="3" type="noConversion"/>
  </si>
  <si>
    <t>農業機械之操作或修護人員</t>
    <phoneticPr fontId="3" type="noConversion"/>
  </si>
  <si>
    <t>農具商</t>
    <phoneticPr fontId="3" type="noConversion"/>
  </si>
  <si>
    <t xml:space="preserve">農產品加工業實驗人員   </t>
    <phoneticPr fontId="3" type="noConversion"/>
  </si>
  <si>
    <t xml:space="preserve">農產品加工業品管人員    </t>
    <phoneticPr fontId="5" type="noConversion"/>
  </si>
  <si>
    <t>茶農、製茶人員</t>
    <phoneticPr fontId="5" type="noConversion"/>
  </si>
  <si>
    <t>檳榔種植、採檳榔</t>
    <phoneticPr fontId="3" type="noConversion"/>
  </si>
  <si>
    <t>農會指導員、推廣員</t>
    <phoneticPr fontId="3" type="noConversion"/>
  </si>
  <si>
    <t>養鴿、放鴿人員</t>
    <phoneticPr fontId="3" type="noConversion"/>
  </si>
  <si>
    <t xml:space="preserve">農產品加工業領班、工人             </t>
    <phoneticPr fontId="3" type="noConversion"/>
  </si>
  <si>
    <t>昆蟲（蜜蜂）飼養人員</t>
    <phoneticPr fontId="3" type="noConversion"/>
  </si>
  <si>
    <t>病蟲害防治人員</t>
    <phoneticPr fontId="3" type="noConversion"/>
  </si>
  <si>
    <t>科技農夫(不親自作業)、生物科技工程師、飼料研究員</t>
    <phoneticPr fontId="3" type="noConversion"/>
  </si>
  <si>
    <t>畜牧場經營者（不親自作業）</t>
    <phoneticPr fontId="5" type="noConversion"/>
  </si>
  <si>
    <t>畜牧工作人員</t>
  </si>
  <si>
    <t>獸醫 (畜牧業、農業)</t>
    <phoneticPr fontId="3" type="noConversion"/>
  </si>
  <si>
    <t>訓犬人員</t>
    <phoneticPr fontId="3" type="noConversion"/>
  </si>
  <si>
    <t>動物養殖人員</t>
    <phoneticPr fontId="3" type="noConversion"/>
  </si>
  <si>
    <t>漁塭經營者（不親自作業）</t>
    <phoneticPr fontId="3" type="noConversion"/>
  </si>
  <si>
    <t>漁塭經營者（親自作業）</t>
    <phoneticPr fontId="3" type="noConversion"/>
  </si>
  <si>
    <t>水族館經營者</t>
    <phoneticPr fontId="3" type="noConversion"/>
  </si>
  <si>
    <t>捕魚人（內陸）</t>
    <phoneticPr fontId="3" type="noConversion"/>
  </si>
  <si>
    <t>捕魚人（沿海）</t>
    <phoneticPr fontId="3" type="noConversion"/>
  </si>
  <si>
    <t xml:space="preserve">水產實驗人員(室內)  </t>
    <phoneticPr fontId="3" type="noConversion"/>
  </si>
  <si>
    <t xml:space="preserve">水產實驗人員(室外)  </t>
    <phoneticPr fontId="3" type="noConversion"/>
  </si>
  <si>
    <t>海邊撈魚苗者</t>
    <phoneticPr fontId="3" type="noConversion"/>
  </si>
  <si>
    <t>漁產加工業實驗人員</t>
    <phoneticPr fontId="3" type="noConversion"/>
  </si>
  <si>
    <t>漁產加工業品管員</t>
    <phoneticPr fontId="5" type="noConversion"/>
  </si>
  <si>
    <t>釣魚、釣蝦場經營者、工作人員</t>
    <phoneticPr fontId="3" type="noConversion"/>
  </si>
  <si>
    <t>遠洋漁船船員</t>
  </si>
  <si>
    <t>近海漁船船員</t>
  </si>
  <si>
    <t>海釣船人員</t>
  </si>
  <si>
    <t>領班</t>
    <phoneticPr fontId="3" type="noConversion"/>
  </si>
  <si>
    <t>監工</t>
    <phoneticPr fontId="3" type="noConversion"/>
  </si>
  <si>
    <t>伐木工人</t>
    <phoneticPr fontId="3" type="noConversion"/>
  </si>
  <si>
    <t>鋸木工人</t>
    <phoneticPr fontId="3" type="noConversion"/>
  </si>
  <si>
    <t>運材車輛之司機及押運人員</t>
    <phoneticPr fontId="3" type="noConversion"/>
  </si>
  <si>
    <t>起重機之操作人員</t>
    <phoneticPr fontId="3" type="noConversion"/>
  </si>
  <si>
    <t>裝運工人</t>
    <phoneticPr fontId="3" type="noConversion"/>
  </si>
  <si>
    <t>木材工廠現場之職員</t>
    <phoneticPr fontId="3" type="noConversion"/>
  </si>
  <si>
    <t>分級員</t>
    <phoneticPr fontId="3" type="noConversion"/>
  </si>
  <si>
    <t>檢查員</t>
    <phoneticPr fontId="3" type="noConversion"/>
  </si>
  <si>
    <t>標記員</t>
    <phoneticPr fontId="3" type="noConversion"/>
  </si>
  <si>
    <t>磅秤員</t>
    <phoneticPr fontId="3" type="noConversion"/>
  </si>
  <si>
    <t>防腐劑工人</t>
    <phoneticPr fontId="3" type="noConversion"/>
  </si>
  <si>
    <t>木材儲藏槽工人</t>
    <phoneticPr fontId="3" type="noConversion"/>
  </si>
  <si>
    <t>木材搬運工人</t>
    <phoneticPr fontId="3" type="noConversion"/>
  </si>
  <si>
    <t>吊車操作人員</t>
    <phoneticPr fontId="3" type="noConversion"/>
  </si>
  <si>
    <t>合板製造工人</t>
    <phoneticPr fontId="3" type="noConversion"/>
  </si>
  <si>
    <t>木材工廠負責人</t>
    <phoneticPr fontId="3" type="noConversion"/>
  </si>
  <si>
    <t>木材工廠品管員</t>
    <phoneticPr fontId="3" type="noConversion"/>
  </si>
  <si>
    <t>領班</t>
  </si>
  <si>
    <t>山地造林工人</t>
  </si>
  <si>
    <t>山林管理人員</t>
    <phoneticPr fontId="3" type="noConversion"/>
  </si>
  <si>
    <t>森林防火人員</t>
  </si>
  <si>
    <t>平地育苗工人</t>
  </si>
  <si>
    <t>實驗室育苗栽培人員</t>
  </si>
  <si>
    <t>救難人員</t>
    <phoneticPr fontId="3" type="noConversion"/>
  </si>
  <si>
    <t>導覽解說員</t>
    <phoneticPr fontId="5" type="noConversion"/>
  </si>
  <si>
    <t>礦工</t>
  </si>
  <si>
    <t>經營者（不到現場者）</t>
  </si>
  <si>
    <t>經營者（到現場者）、現場監督人員</t>
  </si>
  <si>
    <t>經理人員、行政人員</t>
  </si>
  <si>
    <t>礦業工程師、技師、領班</t>
  </si>
  <si>
    <t>工人</t>
  </si>
  <si>
    <t>工礦安全人員</t>
  </si>
  <si>
    <t>採石業工人(河床)</t>
    <phoneticPr fontId="5" type="noConversion"/>
  </si>
  <si>
    <t>採石業工人(山地)</t>
  </si>
  <si>
    <r>
      <t>採砂業工人</t>
    </r>
    <r>
      <rPr>
        <sz val="12"/>
        <rFont val="Times New Roman"/>
        <family val="1"/>
      </rPr>
      <t/>
    </r>
  </si>
  <si>
    <t>砂石場負責人</t>
  </si>
  <si>
    <t>採石爆破人員</t>
  </si>
  <si>
    <t>石材切割工人(大理石、花崗石)</t>
  </si>
  <si>
    <t>石材磨光工人(大理石、花崗石)</t>
  </si>
  <si>
    <t>採石輸送帶機器操作人員</t>
  </si>
  <si>
    <t>行政人員</t>
  </si>
  <si>
    <t>工程師、領班 (不參與現場工作者)</t>
  </si>
  <si>
    <t>技術員</t>
  </si>
  <si>
    <t>油氣井清潔保養修護工</t>
  </si>
  <si>
    <t>鑽勘設備安裝換修保養工</t>
  </si>
  <si>
    <t>鑽油井工人</t>
    <phoneticPr fontId="5" type="noConversion"/>
  </si>
  <si>
    <t>儲油槽清潔工</t>
    <phoneticPr fontId="5" type="noConversion"/>
  </si>
  <si>
    <t>工程師</t>
  </si>
  <si>
    <t>鑽油井工人</t>
  </si>
  <si>
    <t>外務員</t>
    <phoneticPr fontId="3" type="noConversion"/>
  </si>
  <si>
    <t>內勤工作人員</t>
    <phoneticPr fontId="3" type="noConversion"/>
  </si>
  <si>
    <t>自用小客車司機</t>
    <phoneticPr fontId="3" type="noConversion"/>
  </si>
  <si>
    <t>自用大客車司機</t>
    <phoneticPr fontId="3" type="noConversion"/>
  </si>
  <si>
    <t>遊覽車司機及服務員</t>
    <phoneticPr fontId="3" type="noConversion"/>
  </si>
  <si>
    <t>客運車司機及服務員</t>
    <phoneticPr fontId="3" type="noConversion"/>
  </si>
  <si>
    <t>小型客貨兩用車司機</t>
    <phoneticPr fontId="3" type="noConversion"/>
  </si>
  <si>
    <t>人力三輪車伕</t>
    <phoneticPr fontId="3" type="noConversion"/>
  </si>
  <si>
    <t>鐵牛車駕駛人員</t>
    <phoneticPr fontId="3" type="noConversion"/>
  </si>
  <si>
    <t>機動三輪車伕</t>
    <phoneticPr fontId="3" type="noConversion"/>
  </si>
  <si>
    <t>客運車稽核人員</t>
    <phoneticPr fontId="3" type="noConversion"/>
  </si>
  <si>
    <t>營業用貨車司機</t>
    <phoneticPr fontId="3" type="noConversion"/>
  </si>
  <si>
    <t>纜車操縱員</t>
    <phoneticPr fontId="3" type="noConversion"/>
  </si>
  <si>
    <t>垃圾車(司機及隨車人員)</t>
    <phoneticPr fontId="3" type="noConversion"/>
  </si>
  <si>
    <t>拖吊車司機、隨車人員（一般道路）</t>
    <phoneticPr fontId="3" type="noConversion"/>
  </si>
  <si>
    <t>拖吊車司機、隨車人員（高速公路）</t>
    <phoneticPr fontId="3" type="noConversion"/>
  </si>
  <si>
    <t>堆高機駕駛（非航運）</t>
    <phoneticPr fontId="3" type="noConversion"/>
  </si>
  <si>
    <t>貨櫃場管理員</t>
    <phoneticPr fontId="3" type="noConversion"/>
  </si>
  <si>
    <t>娃娃車司機</t>
    <phoneticPr fontId="3" type="noConversion"/>
  </si>
  <si>
    <t>消防車司機</t>
    <phoneticPr fontId="3" type="noConversion"/>
  </si>
  <si>
    <t>貨櫃場吊車駕駛</t>
    <phoneticPr fontId="3" type="noConversion"/>
  </si>
  <si>
    <t>拖板車司機、隨車人員</t>
    <phoneticPr fontId="3" type="noConversion"/>
  </si>
  <si>
    <t>拼裝車司機</t>
    <phoneticPr fontId="3" type="noConversion"/>
  </si>
  <si>
    <t>教練車教練</t>
    <phoneticPr fontId="3" type="noConversion"/>
  </si>
  <si>
    <t>環保資源回收車司機、隨車人員</t>
    <phoneticPr fontId="3" type="noConversion"/>
  </si>
  <si>
    <t>道路工程車司機、機械操作員</t>
    <phoneticPr fontId="3" type="noConversion"/>
  </si>
  <si>
    <t>挖土機(怪手)操作員</t>
    <phoneticPr fontId="3" type="noConversion"/>
  </si>
  <si>
    <t>鏟土機駕駛</t>
    <phoneticPr fontId="5" type="noConversion"/>
  </si>
  <si>
    <t>站長</t>
    <phoneticPr fontId="3" type="noConversion"/>
  </si>
  <si>
    <t>票房工作人員</t>
    <phoneticPr fontId="3" type="noConversion"/>
  </si>
  <si>
    <t>播音員</t>
    <phoneticPr fontId="3" type="noConversion"/>
  </si>
  <si>
    <t>一般內勤人員</t>
    <phoneticPr fontId="3" type="noConversion"/>
  </si>
  <si>
    <t>車站剪票員</t>
    <phoneticPr fontId="3" type="noConversion"/>
  </si>
  <si>
    <t>服務臺人員</t>
    <phoneticPr fontId="3" type="noConversion"/>
  </si>
  <si>
    <t>月臺工作人員</t>
    <phoneticPr fontId="3" type="noConversion"/>
  </si>
  <si>
    <t>車站清潔人員</t>
    <phoneticPr fontId="3" type="noConversion"/>
  </si>
  <si>
    <t>隨車人員（技術人員除外）</t>
    <phoneticPr fontId="3" type="noConversion"/>
  </si>
  <si>
    <t>駕駛員</t>
    <phoneticPr fontId="3" type="noConversion"/>
  </si>
  <si>
    <t>燃料填充員</t>
    <phoneticPr fontId="3" type="noConversion"/>
  </si>
  <si>
    <t>機工</t>
    <phoneticPr fontId="3" type="noConversion"/>
  </si>
  <si>
    <t>電工</t>
    <phoneticPr fontId="3" type="noConversion"/>
  </si>
  <si>
    <t>修護廠廠長</t>
    <phoneticPr fontId="3" type="noConversion"/>
  </si>
  <si>
    <t>修護廠一般內勤人員</t>
    <phoneticPr fontId="3" type="noConversion"/>
  </si>
  <si>
    <t>修護廠工程師</t>
    <phoneticPr fontId="3" type="noConversion"/>
  </si>
  <si>
    <t>修護廠技工</t>
    <phoneticPr fontId="3" type="noConversion"/>
  </si>
  <si>
    <t>修路工</t>
    <phoneticPr fontId="3" type="noConversion"/>
  </si>
  <si>
    <t>維護工</t>
    <phoneticPr fontId="3" type="noConversion"/>
  </si>
  <si>
    <t>平交道看守人員</t>
    <phoneticPr fontId="3" type="noConversion"/>
  </si>
  <si>
    <t>貨運：領班</t>
    <phoneticPr fontId="3" type="noConversion"/>
  </si>
  <si>
    <t>巡查人員</t>
    <phoneticPr fontId="3" type="noConversion"/>
  </si>
  <si>
    <t>Ａ 客貨輪</t>
    <phoneticPr fontId="3" type="noConversion"/>
  </si>
  <si>
    <t>船長</t>
    <phoneticPr fontId="3" type="noConversion"/>
  </si>
  <si>
    <t>輪機長</t>
    <phoneticPr fontId="3" type="noConversion"/>
  </si>
  <si>
    <t>高級船員：</t>
    <phoneticPr fontId="3" type="noConversion"/>
  </si>
  <si>
    <t>大副</t>
    <phoneticPr fontId="3" type="noConversion"/>
  </si>
  <si>
    <t>二副</t>
    <phoneticPr fontId="3" type="noConversion"/>
  </si>
  <si>
    <t>三副</t>
    <phoneticPr fontId="3" type="noConversion"/>
  </si>
  <si>
    <t>大管輪</t>
    <phoneticPr fontId="3" type="noConversion"/>
  </si>
  <si>
    <t>二管輪</t>
    <phoneticPr fontId="3" type="noConversion"/>
  </si>
  <si>
    <t>三管輪</t>
    <phoneticPr fontId="3" type="noConversion"/>
  </si>
  <si>
    <t>報務員</t>
    <phoneticPr fontId="3" type="noConversion"/>
  </si>
  <si>
    <t>事務長</t>
    <phoneticPr fontId="3" type="noConversion"/>
  </si>
  <si>
    <t>醫務人員</t>
    <phoneticPr fontId="3" type="noConversion"/>
  </si>
  <si>
    <t>一般船員：</t>
    <phoneticPr fontId="3" type="noConversion"/>
  </si>
  <si>
    <t>水手長</t>
    <phoneticPr fontId="3" type="noConversion"/>
  </si>
  <si>
    <t>水手</t>
    <phoneticPr fontId="3" type="noConversion"/>
  </si>
  <si>
    <t>銅匠</t>
    <phoneticPr fontId="3" type="noConversion"/>
  </si>
  <si>
    <t>木匠</t>
    <phoneticPr fontId="3" type="noConversion"/>
  </si>
  <si>
    <t>泵匠</t>
  </si>
  <si>
    <t>電機師</t>
    <phoneticPr fontId="3" type="noConversion"/>
  </si>
  <si>
    <t>廚師</t>
    <phoneticPr fontId="3" type="noConversion"/>
  </si>
  <si>
    <t>服務生</t>
    <phoneticPr fontId="3" type="noConversion"/>
  </si>
  <si>
    <t>實習生</t>
    <phoneticPr fontId="3" type="noConversion"/>
  </si>
  <si>
    <t>Ｂ 遊覽船及小汽艇</t>
    <phoneticPr fontId="3" type="noConversion"/>
  </si>
  <si>
    <t>遊覽船之駕駛及工作人員</t>
    <phoneticPr fontId="3" type="noConversion"/>
  </si>
  <si>
    <t>小汽艇之駕駛及工作人員</t>
    <phoneticPr fontId="3" type="noConversion"/>
  </si>
  <si>
    <t>Ｃ 港口作業</t>
    <phoneticPr fontId="3" type="noConversion"/>
  </si>
  <si>
    <t>碼頭工人及領班</t>
    <phoneticPr fontId="3" type="noConversion"/>
  </si>
  <si>
    <t>推高機操作員</t>
    <phoneticPr fontId="3" type="noConversion"/>
  </si>
  <si>
    <t>倉庫管理人</t>
    <phoneticPr fontId="3" type="noConversion"/>
  </si>
  <si>
    <t>領航員</t>
    <phoneticPr fontId="3" type="noConversion"/>
  </si>
  <si>
    <t>引水人</t>
    <phoneticPr fontId="3" type="noConversion"/>
  </si>
  <si>
    <t>關務人員</t>
    <phoneticPr fontId="3" type="noConversion"/>
  </si>
  <si>
    <t>稽查人員</t>
    <phoneticPr fontId="3" type="noConversion"/>
  </si>
  <si>
    <t>緝私人員</t>
    <phoneticPr fontId="3" type="noConversion"/>
  </si>
  <si>
    <t>D 拖船駕駛員及工作人員</t>
    <phoneticPr fontId="3" type="noConversion"/>
  </si>
  <si>
    <t>渡輪駕駛員及工作人員</t>
    <phoneticPr fontId="3" type="noConversion"/>
  </si>
  <si>
    <t>E 救難船員</t>
    <phoneticPr fontId="3" type="noConversion"/>
  </si>
  <si>
    <t>港口疏濬</t>
    <phoneticPr fontId="3" type="noConversion"/>
  </si>
  <si>
    <t>碼頭吊車操作人員</t>
    <phoneticPr fontId="3" type="noConversion"/>
  </si>
  <si>
    <t>船艙清潔  (船舶靠岸後)</t>
    <phoneticPr fontId="3" type="noConversion"/>
  </si>
  <si>
    <t>Ａ 航空站</t>
    <phoneticPr fontId="3" type="noConversion"/>
  </si>
  <si>
    <t>塔臺工作人員</t>
    <phoneticPr fontId="3" type="noConversion"/>
  </si>
  <si>
    <t>檢查人員</t>
    <phoneticPr fontId="3" type="noConversion"/>
  </si>
  <si>
    <t>運務人員</t>
    <phoneticPr fontId="3" type="noConversion"/>
  </si>
  <si>
    <t>站內清潔人員</t>
    <phoneticPr fontId="3" type="noConversion"/>
  </si>
  <si>
    <t>機場內交通車司機、空橋車駕駛</t>
    <phoneticPr fontId="3" type="noConversion"/>
  </si>
  <si>
    <t>加添燃料員</t>
    <phoneticPr fontId="3" type="noConversion"/>
  </si>
  <si>
    <t>飛機洗刷人員</t>
    <phoneticPr fontId="3" type="noConversion"/>
  </si>
  <si>
    <t>機械員</t>
    <phoneticPr fontId="3" type="noConversion"/>
  </si>
  <si>
    <t>飛機修護人員</t>
    <phoneticPr fontId="3" type="noConversion"/>
  </si>
  <si>
    <t>地面導航人員</t>
    <phoneticPr fontId="3" type="noConversion"/>
  </si>
  <si>
    <t>Ｂ 航空公司</t>
    <phoneticPr fontId="3" type="noConversion"/>
  </si>
  <si>
    <t>辦事處人員</t>
    <phoneticPr fontId="3" type="noConversion"/>
  </si>
  <si>
    <t>票務人員</t>
    <phoneticPr fontId="3" type="noConversion"/>
  </si>
  <si>
    <t>清艙員</t>
    <phoneticPr fontId="3" type="noConversion"/>
  </si>
  <si>
    <t>櫃檯行李員</t>
    <phoneticPr fontId="3" type="noConversion"/>
  </si>
  <si>
    <t>Ｃ 航空貨運</t>
    <phoneticPr fontId="3" type="noConversion"/>
  </si>
  <si>
    <t>報關人員</t>
    <phoneticPr fontId="3" type="noConversion"/>
  </si>
  <si>
    <t>理貨員</t>
    <phoneticPr fontId="3" type="noConversion"/>
  </si>
  <si>
    <t>Ｄ 空勤人員</t>
    <phoneticPr fontId="3" type="noConversion"/>
  </si>
  <si>
    <t>民航機飛行人員</t>
    <phoneticPr fontId="3" type="noConversion"/>
  </si>
  <si>
    <t>機上服務員</t>
    <phoneticPr fontId="3" type="noConversion"/>
  </si>
  <si>
    <t>直昇機飛行人員(含輕型航空器駕駛人員)</t>
    <phoneticPr fontId="3" type="noConversion"/>
  </si>
  <si>
    <t>民航機培訓人員(航空公司飛行訓練學員)</t>
    <phoneticPr fontId="3" type="noConversion"/>
  </si>
  <si>
    <t>民航機飛行空安官</t>
    <phoneticPr fontId="3" type="noConversion"/>
  </si>
  <si>
    <t>民航機試飛員</t>
    <phoneticPr fontId="3" type="noConversion"/>
  </si>
  <si>
    <t>導遊、領隊</t>
    <phoneticPr fontId="3" type="noConversion"/>
  </si>
  <si>
    <t>送機人員</t>
    <phoneticPr fontId="3" type="noConversion"/>
  </si>
  <si>
    <t>機場接送人員、泊車人員</t>
    <phoneticPr fontId="3" type="noConversion"/>
  </si>
  <si>
    <t>登山嚮導</t>
    <phoneticPr fontId="5" type="noConversion"/>
  </si>
  <si>
    <t>國內泛舟安全人員</t>
    <phoneticPr fontId="3" type="noConversion"/>
  </si>
  <si>
    <t>一般內勤服務人員
（辦公室職員、櫃檯、服務檯）</t>
    <phoneticPr fontId="3" type="noConversion"/>
  </si>
  <si>
    <t>收帳員</t>
    <phoneticPr fontId="3" type="noConversion"/>
  </si>
  <si>
    <t>技工
（註：餐飲部工作人員比照餐飲業）</t>
    <phoneticPr fontId="3" type="noConversion"/>
  </si>
  <si>
    <t>搬運行李服務人員</t>
    <phoneticPr fontId="3" type="noConversion"/>
  </si>
  <si>
    <t>客房服務人員</t>
    <phoneticPr fontId="3" type="noConversion"/>
  </si>
  <si>
    <t>洗衣人員</t>
    <phoneticPr fontId="3" type="noConversion"/>
  </si>
  <si>
    <t>水電、機電工</t>
    <phoneticPr fontId="3" type="noConversion"/>
  </si>
  <si>
    <t>飯店保全人員</t>
    <phoneticPr fontId="3" type="noConversion"/>
  </si>
  <si>
    <t>泊車人員</t>
    <phoneticPr fontId="3" type="noConversion"/>
  </si>
  <si>
    <t>一般內勤工作人員</t>
    <phoneticPr fontId="3" type="noConversion"/>
  </si>
  <si>
    <t>採購人員</t>
    <phoneticPr fontId="3" type="noConversion"/>
  </si>
  <si>
    <t>服務人員</t>
    <phoneticPr fontId="3" type="noConversion"/>
  </si>
  <si>
    <t xml:space="preserve">早餐店工作人員 </t>
    <phoneticPr fontId="3" type="noConversion"/>
  </si>
  <si>
    <t>自助餐工作人員</t>
    <phoneticPr fontId="3" type="noConversion"/>
  </si>
  <si>
    <t>領檯帶位人員</t>
    <phoneticPr fontId="3" type="noConversion"/>
  </si>
  <si>
    <t>速食店工作人員</t>
    <phoneticPr fontId="3" type="noConversion"/>
  </si>
  <si>
    <t>小吃店人員</t>
    <phoneticPr fontId="3" type="noConversion"/>
  </si>
  <si>
    <t>外燴辦桌人員</t>
    <phoneticPr fontId="3" type="noConversion"/>
  </si>
  <si>
    <t>咖啡店人員</t>
    <phoneticPr fontId="3" type="noConversion"/>
  </si>
  <si>
    <t>泡沫茶店人員</t>
    <phoneticPr fontId="3" type="noConversion"/>
  </si>
  <si>
    <t>行動咖啡車工作人員</t>
    <phoneticPr fontId="3" type="noConversion"/>
  </si>
  <si>
    <t>飲食攤販</t>
  </si>
  <si>
    <t>建築師</t>
    <phoneticPr fontId="3" type="noConversion"/>
  </si>
  <si>
    <t>製圖員</t>
    <phoneticPr fontId="3" type="noConversion"/>
  </si>
  <si>
    <t>測量員</t>
    <phoneticPr fontId="3" type="noConversion"/>
  </si>
  <si>
    <t>工程師</t>
    <phoneticPr fontId="3" type="noConversion"/>
  </si>
  <si>
    <t>業務員</t>
    <phoneticPr fontId="3" type="noConversion"/>
  </si>
  <si>
    <t>引導參觀工地之服務人員</t>
    <phoneticPr fontId="3" type="noConversion"/>
  </si>
  <si>
    <t>模板工</t>
    <phoneticPr fontId="3" type="noConversion"/>
  </si>
  <si>
    <t>油漆工</t>
    <phoneticPr fontId="3" type="noConversion"/>
  </si>
  <si>
    <t>水電工</t>
    <phoneticPr fontId="3" type="noConversion"/>
  </si>
  <si>
    <t>鋼骨結構架設工人</t>
    <phoneticPr fontId="3" type="noConversion"/>
  </si>
  <si>
    <t>鷹架架設工人</t>
    <phoneticPr fontId="3" type="noConversion"/>
  </si>
  <si>
    <t>焊工</t>
    <phoneticPr fontId="3" type="noConversion"/>
  </si>
  <si>
    <t>建築工程車輛駕駛員</t>
    <phoneticPr fontId="3" type="noConversion"/>
  </si>
  <si>
    <t>建築工程車輛機械操作員</t>
    <phoneticPr fontId="5" type="noConversion"/>
  </si>
  <si>
    <t>承包商（土木建築）</t>
    <phoneticPr fontId="3" type="noConversion"/>
  </si>
  <si>
    <t>磨石工人</t>
    <phoneticPr fontId="3" type="noConversion"/>
  </si>
  <si>
    <t>洗石工人</t>
    <phoneticPr fontId="3" type="noConversion"/>
  </si>
  <si>
    <t>石棉瓦或浪板安裝工人</t>
    <phoneticPr fontId="3" type="noConversion"/>
  </si>
  <si>
    <t>排水工程人員</t>
    <phoneticPr fontId="3" type="noConversion"/>
  </si>
  <si>
    <t>防水工程人員</t>
    <phoneticPr fontId="3" type="noConversion"/>
  </si>
  <si>
    <t>防熱工程人員</t>
    <phoneticPr fontId="3" type="noConversion"/>
  </si>
  <si>
    <t>營造廠負責人</t>
    <phoneticPr fontId="3" type="noConversion"/>
  </si>
  <si>
    <t>挑磚工人</t>
    <phoneticPr fontId="3" type="noConversion"/>
  </si>
  <si>
    <t>貼瓷磚（室內）</t>
    <phoneticPr fontId="3" type="noConversion"/>
  </si>
  <si>
    <t>貼瓷磚（外牆）</t>
    <phoneticPr fontId="3" type="noConversion"/>
  </si>
  <si>
    <t>帆布鐵架架設</t>
    <phoneticPr fontId="3" type="noConversion"/>
  </si>
  <si>
    <t>空調風管架設人員</t>
    <phoneticPr fontId="3" type="noConversion"/>
  </si>
  <si>
    <t>輕鋼架架設人員</t>
    <phoneticPr fontId="3" type="noConversion"/>
  </si>
  <si>
    <t>挖井工程人員（鑽井工人）</t>
    <phoneticPr fontId="3" type="noConversion"/>
  </si>
  <si>
    <t>鐵屋架設、施工 (搭設鐵皮屋)</t>
    <phoneticPr fontId="3" type="noConversion"/>
  </si>
  <si>
    <t>雜工、臨時工</t>
    <phoneticPr fontId="3" type="noConversion"/>
  </si>
  <si>
    <t>綁鐵工、鐵工</t>
    <phoneticPr fontId="3" type="noConversion"/>
  </si>
  <si>
    <t>建築機具維修工</t>
    <phoneticPr fontId="3" type="noConversion"/>
  </si>
  <si>
    <t>鐵塔架設人員</t>
    <phoneticPr fontId="3" type="noConversion"/>
  </si>
  <si>
    <t>搭設舞台人員</t>
    <phoneticPr fontId="3" type="noConversion"/>
  </si>
  <si>
    <t>圍牆鐵網搭建</t>
    <phoneticPr fontId="3" type="noConversion"/>
  </si>
  <si>
    <t>擋土牆施工</t>
    <phoneticPr fontId="3" type="noConversion"/>
  </si>
  <si>
    <t>園藝造景人員</t>
    <phoneticPr fontId="5" type="noConversion"/>
  </si>
  <si>
    <t>領班、監工</t>
    <phoneticPr fontId="3" type="noConversion"/>
  </si>
  <si>
    <t>山地舖設工人</t>
    <phoneticPr fontId="3" type="noConversion"/>
  </si>
  <si>
    <t>平地舖設工人</t>
    <phoneticPr fontId="3" type="noConversion"/>
  </si>
  <si>
    <t>電線架設及維護工人</t>
    <phoneticPr fontId="3" type="noConversion"/>
  </si>
  <si>
    <t>管道舖設及維護工人</t>
    <phoneticPr fontId="3" type="noConversion"/>
  </si>
  <si>
    <t>高速公路工程人員（含美化工程）</t>
    <phoneticPr fontId="3" type="noConversion"/>
  </si>
  <si>
    <t>交通號誌裝設及標線人員</t>
    <phoneticPr fontId="3" type="noConversion"/>
  </si>
  <si>
    <t xml:space="preserve">公園、道路路燈裝修工 </t>
    <phoneticPr fontId="3" type="noConversion"/>
  </si>
  <si>
    <t>高速公路工程監工</t>
    <phoneticPr fontId="3" type="noConversion"/>
  </si>
  <si>
    <t>工人</t>
    <phoneticPr fontId="3" type="noConversion"/>
  </si>
  <si>
    <t>修護遊艇工人</t>
    <phoneticPr fontId="5" type="noConversion"/>
  </si>
  <si>
    <t>船體切割人員(陸上)</t>
    <phoneticPr fontId="3" type="noConversion"/>
  </si>
  <si>
    <t>船體切割人員(海上)</t>
    <phoneticPr fontId="3" type="noConversion"/>
  </si>
  <si>
    <t xml:space="preserve">拆船工人  </t>
    <phoneticPr fontId="3" type="noConversion"/>
  </si>
  <si>
    <t>船舶驗收人員</t>
    <phoneticPr fontId="3" type="noConversion"/>
  </si>
  <si>
    <t>修理及維護工人</t>
    <phoneticPr fontId="3" type="noConversion"/>
  </si>
  <si>
    <t>操作員(不包括礦場使用者)</t>
    <phoneticPr fontId="3" type="noConversion"/>
  </si>
  <si>
    <t>設計製圖人員</t>
  </si>
  <si>
    <t>地毯之裝設人員</t>
    <phoneticPr fontId="3" type="noConversion"/>
  </si>
  <si>
    <t>承包商、監工</t>
    <phoneticPr fontId="3" type="noConversion"/>
  </si>
  <si>
    <t>地質探測員（山區、海上）</t>
    <phoneticPr fontId="3" type="noConversion"/>
  </si>
  <si>
    <t>地質探測員（平地）</t>
    <phoneticPr fontId="3" type="noConversion"/>
  </si>
  <si>
    <t>工地看守員</t>
  </si>
  <si>
    <t>海灣港口工程人員</t>
    <phoneticPr fontId="3" type="noConversion"/>
  </si>
  <si>
    <t>水壩工程人員</t>
    <phoneticPr fontId="3" type="noConversion"/>
  </si>
  <si>
    <t>橋樑工程人員</t>
    <phoneticPr fontId="3" type="noConversion"/>
  </si>
  <si>
    <t>隧道工程人員</t>
    <phoneticPr fontId="3" type="noConversion"/>
  </si>
  <si>
    <t>潛水工作人員</t>
    <phoneticPr fontId="3" type="noConversion"/>
  </si>
  <si>
    <t>爆破工作人員</t>
    <phoneticPr fontId="3" type="noConversion"/>
  </si>
  <si>
    <t>挖泥船工人</t>
    <phoneticPr fontId="3" type="noConversion"/>
  </si>
  <si>
    <t>勞工安全檢查人員</t>
  </si>
  <si>
    <t>板金工</t>
    <phoneticPr fontId="3" type="noConversion"/>
  </si>
  <si>
    <t>裝配工</t>
    <phoneticPr fontId="3" type="noConversion"/>
  </si>
  <si>
    <t>焊接工</t>
    <phoneticPr fontId="3" type="noConversion"/>
  </si>
  <si>
    <t>車床工（全自動）</t>
    <phoneticPr fontId="3" type="noConversion"/>
  </si>
  <si>
    <t>車床工（其他）</t>
    <phoneticPr fontId="3" type="noConversion"/>
  </si>
  <si>
    <t>鑄造工</t>
    <phoneticPr fontId="3" type="noConversion"/>
  </si>
  <si>
    <t>鍋爐工</t>
    <phoneticPr fontId="3" type="noConversion"/>
  </si>
  <si>
    <t>鉛字鑄造工</t>
    <phoneticPr fontId="3" type="noConversion"/>
  </si>
  <si>
    <t>鐵工廠工人</t>
    <phoneticPr fontId="3" type="noConversion"/>
  </si>
  <si>
    <t>機械廠工人</t>
    <phoneticPr fontId="3" type="noConversion"/>
  </si>
  <si>
    <t>電鍍工</t>
    <phoneticPr fontId="3" type="noConversion"/>
  </si>
  <si>
    <t>銑床工</t>
    <phoneticPr fontId="3" type="noConversion"/>
  </si>
  <si>
    <t>剪床工</t>
    <phoneticPr fontId="3" type="noConversion"/>
  </si>
  <si>
    <t>沖床工</t>
    <phoneticPr fontId="3" type="noConversion"/>
  </si>
  <si>
    <t>ＣＮＣ操作（電腦雕刻機）</t>
    <phoneticPr fontId="3" type="noConversion"/>
  </si>
  <si>
    <t>線割（銅線電子切割）</t>
    <phoneticPr fontId="3" type="noConversion"/>
  </si>
  <si>
    <t>技工</t>
    <phoneticPr fontId="3" type="noConversion"/>
  </si>
  <si>
    <t>高爾夫球具製造工</t>
    <phoneticPr fontId="3" type="noConversion"/>
  </si>
  <si>
    <t>高爾夫球桿頭磨光</t>
    <phoneticPr fontId="3" type="noConversion"/>
  </si>
  <si>
    <t>修理工</t>
    <phoneticPr fontId="3" type="noConversion"/>
  </si>
  <si>
    <t>彎管工</t>
    <phoneticPr fontId="3" type="noConversion"/>
  </si>
  <si>
    <t>熱處理</t>
    <phoneticPr fontId="3" type="noConversion"/>
  </si>
  <si>
    <t>大小五金製造工</t>
    <phoneticPr fontId="3" type="noConversion"/>
  </si>
  <si>
    <t>風管製造工</t>
    <phoneticPr fontId="3" type="noConversion"/>
  </si>
  <si>
    <t>鋁合金鑄造</t>
    <phoneticPr fontId="3" type="noConversion"/>
  </si>
  <si>
    <t>鐵櫃技工</t>
    <phoneticPr fontId="3" type="noConversion"/>
  </si>
  <si>
    <t>貨櫃製造工人</t>
    <phoneticPr fontId="3" type="noConversion"/>
  </si>
  <si>
    <t>鉗工、丸鐵工</t>
    <phoneticPr fontId="3" type="noConversion"/>
  </si>
  <si>
    <t>模具工</t>
    <phoneticPr fontId="3" type="noConversion"/>
  </si>
  <si>
    <t>翻砂工</t>
    <phoneticPr fontId="3" type="noConversion"/>
  </si>
  <si>
    <t>鐵捲工</t>
    <phoneticPr fontId="3" type="noConversion"/>
  </si>
  <si>
    <t>鑽床工</t>
    <phoneticPr fontId="3" type="noConversion"/>
  </si>
  <si>
    <t>泵浦裝配技師</t>
    <phoneticPr fontId="3" type="noConversion"/>
  </si>
  <si>
    <t>模具設計</t>
    <phoneticPr fontId="3" type="noConversion"/>
  </si>
  <si>
    <t>機械操作修理員</t>
    <phoneticPr fontId="3" type="noConversion"/>
  </si>
  <si>
    <t>螺絲製造</t>
    <phoneticPr fontId="3" type="noConversion"/>
  </si>
  <si>
    <t>配電盤人員</t>
    <phoneticPr fontId="3" type="noConversion"/>
  </si>
  <si>
    <t>油壓機操作</t>
    <phoneticPr fontId="3" type="noConversion"/>
  </si>
  <si>
    <t>磨床</t>
    <phoneticPr fontId="3" type="noConversion"/>
  </si>
  <si>
    <t>冷作</t>
    <phoneticPr fontId="3" type="noConversion"/>
  </si>
  <si>
    <t>鍛造</t>
    <phoneticPr fontId="3" type="noConversion"/>
  </si>
  <si>
    <t>修理工</t>
  </si>
  <si>
    <t>製造工</t>
    <phoneticPr fontId="3" type="noConversion"/>
  </si>
  <si>
    <t>無塵室工作人員</t>
    <phoneticPr fontId="3" type="noConversion"/>
  </si>
  <si>
    <t>物料倉管</t>
    <phoneticPr fontId="3" type="noConversion"/>
  </si>
  <si>
    <t>ＩＣ板電鍍</t>
    <phoneticPr fontId="3" type="noConversion"/>
  </si>
  <si>
    <t>光電及光學工作人員</t>
    <phoneticPr fontId="3" type="noConversion"/>
  </si>
  <si>
    <t>電氣焊接工</t>
    <phoneticPr fontId="3" type="noConversion"/>
  </si>
  <si>
    <t>研發人員、設計人員、製程人員</t>
    <phoneticPr fontId="3" type="noConversion"/>
  </si>
  <si>
    <t>電路板維修工</t>
    <phoneticPr fontId="3" type="noConversion"/>
  </si>
  <si>
    <t>空氣調節器之裝修人員</t>
    <phoneticPr fontId="3" type="noConversion"/>
  </si>
  <si>
    <t>有關高壓電之工作人員</t>
    <phoneticPr fontId="3" type="noConversion"/>
  </si>
  <si>
    <t>冷凍修理工</t>
    <phoneticPr fontId="3" type="noConversion"/>
  </si>
  <si>
    <t>家電用品維修</t>
    <phoneticPr fontId="3" type="noConversion"/>
  </si>
  <si>
    <t>室內消防器材裝修人員</t>
    <phoneticPr fontId="3" type="noConversion"/>
  </si>
  <si>
    <t>電機裝配修理人員</t>
    <phoneticPr fontId="3" type="noConversion"/>
  </si>
  <si>
    <t>室內消防器材檢測(不含安裝)</t>
    <phoneticPr fontId="5" type="noConversion"/>
  </si>
  <si>
    <t>變壓器裝置維修</t>
    <phoneticPr fontId="3" type="noConversion"/>
  </si>
  <si>
    <t>烤漆</t>
    <phoneticPr fontId="3" type="noConversion"/>
  </si>
  <si>
    <t>一般工人</t>
  </si>
  <si>
    <t>塑膠、橡膠射出成型工人（自動）</t>
    <phoneticPr fontId="3" type="noConversion"/>
  </si>
  <si>
    <t>塑膠、橡膠射出成型工人（其他）</t>
    <phoneticPr fontId="3" type="noConversion"/>
  </si>
  <si>
    <t>塑膠袋製造、印刷</t>
    <phoneticPr fontId="3" type="noConversion"/>
  </si>
  <si>
    <t>高週波充氣玩具製造</t>
    <phoneticPr fontId="3" type="noConversion"/>
  </si>
  <si>
    <t>鞋模製造工人</t>
    <phoneticPr fontId="3" type="noConversion"/>
  </si>
  <si>
    <t>高爾夫球、乒乓球製造</t>
    <phoneticPr fontId="3" type="noConversion"/>
  </si>
  <si>
    <t>塑膠、橡膠射出機器維修</t>
    <phoneticPr fontId="3" type="noConversion"/>
  </si>
  <si>
    <t>採掘工</t>
    <phoneticPr fontId="3" type="noConversion"/>
  </si>
  <si>
    <t>爆破工</t>
    <phoneticPr fontId="3" type="noConversion"/>
  </si>
  <si>
    <t>工安人員</t>
    <phoneticPr fontId="3" type="noConversion"/>
  </si>
  <si>
    <t>一般工人、作業員</t>
    <phoneticPr fontId="3" type="noConversion"/>
  </si>
  <si>
    <t>硫酸、鹽酸、硝酸製造工、有毒物品製造工</t>
    <phoneticPr fontId="3" type="noConversion"/>
  </si>
  <si>
    <t>電池製造（技師）</t>
    <phoneticPr fontId="3" type="noConversion"/>
  </si>
  <si>
    <t>電池製造（工人）</t>
    <phoneticPr fontId="3" type="noConversion"/>
  </si>
  <si>
    <t>液化氣體製造工</t>
    <phoneticPr fontId="3" type="noConversion"/>
  </si>
  <si>
    <t>化學品管人員</t>
    <phoneticPr fontId="3" type="noConversion"/>
  </si>
  <si>
    <t>化學實驗師</t>
    <phoneticPr fontId="3" type="noConversion"/>
  </si>
  <si>
    <t>殺蟲劑製造工</t>
    <phoneticPr fontId="3" type="noConversion"/>
  </si>
  <si>
    <t>油漆製造工</t>
    <phoneticPr fontId="3" type="noConversion"/>
  </si>
  <si>
    <t>海綿、泡綿製造工</t>
    <phoneticPr fontId="3" type="noConversion"/>
  </si>
  <si>
    <t>火藥爆竹製造及處理人員
（包括爆竹、煙火製造工）</t>
    <phoneticPr fontId="3" type="noConversion"/>
  </si>
  <si>
    <t>廠務管理、廠長</t>
  </si>
  <si>
    <t>製造工人（汽、機車）</t>
    <phoneticPr fontId="3" type="noConversion"/>
  </si>
  <si>
    <t>製造工人（自行車）</t>
  </si>
  <si>
    <t>修理保養工人（汽、機車）</t>
  </si>
  <si>
    <t>修理保養工人（自行車）</t>
  </si>
  <si>
    <t>試車人員</t>
  </si>
  <si>
    <t>鈑金工人</t>
    <phoneticPr fontId="3" type="noConversion"/>
  </si>
  <si>
    <t>汽車輪胎換修買賣、定位</t>
    <phoneticPr fontId="3" type="noConversion"/>
  </si>
  <si>
    <t>汽車修理廠引導員(不參與修理)</t>
    <phoneticPr fontId="3" type="noConversion"/>
  </si>
  <si>
    <t>汽車檢驗員</t>
    <phoneticPr fontId="3" type="noConversion"/>
  </si>
  <si>
    <t>瓦斯車安裝人員 </t>
  </si>
  <si>
    <t>設計師</t>
    <phoneticPr fontId="3" type="noConversion"/>
  </si>
  <si>
    <t>製造工人</t>
    <phoneticPr fontId="3" type="noConversion"/>
  </si>
  <si>
    <t>染整工人</t>
    <phoneticPr fontId="3" type="noConversion"/>
  </si>
  <si>
    <t>打版師</t>
    <phoneticPr fontId="3" type="noConversion"/>
  </si>
  <si>
    <t>針織工人</t>
    <phoneticPr fontId="3" type="noConversion"/>
  </si>
  <si>
    <t>成衣（毛衣、針織）代工</t>
    <phoneticPr fontId="3" type="noConversion"/>
  </si>
  <si>
    <t>機械維修</t>
    <phoneticPr fontId="3" type="noConversion"/>
  </si>
  <si>
    <t>紡紗工人</t>
    <phoneticPr fontId="3" type="noConversion"/>
  </si>
  <si>
    <t>監工、領班</t>
    <phoneticPr fontId="3" type="noConversion"/>
  </si>
  <si>
    <t>造紙廠工人</t>
    <phoneticPr fontId="3" type="noConversion"/>
  </si>
  <si>
    <t>紙漿廠工人</t>
    <phoneticPr fontId="3" type="noConversion"/>
  </si>
  <si>
    <t>紙箱製造工人</t>
    <phoneticPr fontId="3" type="noConversion"/>
  </si>
  <si>
    <t>裁紙工人</t>
    <phoneticPr fontId="3" type="noConversion"/>
  </si>
  <si>
    <t>木製傢俱製造工人</t>
    <phoneticPr fontId="3" type="noConversion"/>
  </si>
  <si>
    <t>木製傢俱修理工</t>
    <phoneticPr fontId="3" type="noConversion"/>
  </si>
  <si>
    <t>金屬傢俱製造工人</t>
    <phoneticPr fontId="3" type="noConversion"/>
  </si>
  <si>
    <t>金屬傢俱修理工</t>
    <phoneticPr fontId="3" type="noConversion"/>
  </si>
  <si>
    <t>傢俱油漆工（噴漆、烤漆）</t>
    <phoneticPr fontId="3" type="noConversion"/>
  </si>
  <si>
    <t>傢俱運送、組裝工人</t>
    <phoneticPr fontId="3" type="noConversion"/>
  </si>
  <si>
    <t>石材傢俱製造、修理工</t>
    <phoneticPr fontId="3" type="noConversion"/>
  </si>
  <si>
    <t>竹木製手工藝品之雕刻工人</t>
    <phoneticPr fontId="3" type="noConversion"/>
  </si>
  <si>
    <t>金屬手工藝品之雕刻工人</t>
    <phoneticPr fontId="3" type="noConversion"/>
  </si>
  <si>
    <t>陶瓷廠工人</t>
    <phoneticPr fontId="3" type="noConversion"/>
  </si>
  <si>
    <t>冰塊製造</t>
  </si>
  <si>
    <t>碾米廠操作人員</t>
    <phoneticPr fontId="3" type="noConversion"/>
  </si>
  <si>
    <t>麵包師父</t>
    <phoneticPr fontId="3" type="noConversion"/>
  </si>
  <si>
    <t>煙、酒製造工人</t>
    <phoneticPr fontId="3" type="noConversion"/>
  </si>
  <si>
    <t>酒廠化驗人員</t>
    <phoneticPr fontId="3" type="noConversion"/>
  </si>
  <si>
    <t>煙酒廠機械操作</t>
    <phoneticPr fontId="3" type="noConversion"/>
  </si>
  <si>
    <t>煙酒廠機械維修人員</t>
    <phoneticPr fontId="3" type="noConversion"/>
  </si>
  <si>
    <t>一般製造工人</t>
    <phoneticPr fontId="5" type="noConversion"/>
  </si>
  <si>
    <t>家電維修人員</t>
    <phoneticPr fontId="3" type="noConversion"/>
  </si>
  <si>
    <t xml:space="preserve">領班、監工                          </t>
    <phoneticPr fontId="3" type="noConversion"/>
  </si>
  <si>
    <t>玻璃、琉璃製造工人</t>
    <phoneticPr fontId="3" type="noConversion"/>
  </si>
  <si>
    <t>倉管人員（不搬貨）</t>
    <phoneticPr fontId="3" type="noConversion"/>
  </si>
  <si>
    <t>倉管人員（搬貨）</t>
    <phoneticPr fontId="5" type="noConversion"/>
  </si>
  <si>
    <t xml:space="preserve">樂器安裝組合維修人員                </t>
    <phoneticPr fontId="3" type="noConversion"/>
  </si>
  <si>
    <t xml:space="preserve">中藥材加工人員 </t>
    <phoneticPr fontId="3" type="noConversion"/>
  </si>
  <si>
    <t>鑰匙加工人員、刻印加工人員</t>
    <phoneticPr fontId="3" type="noConversion"/>
  </si>
  <si>
    <t xml:space="preserve">化妝品製造工人     </t>
    <phoneticPr fontId="3" type="noConversion"/>
  </si>
  <si>
    <t>木炭製造工</t>
    <phoneticPr fontId="3" type="noConversion"/>
  </si>
  <si>
    <t>香燭製造工</t>
    <phoneticPr fontId="3" type="noConversion"/>
  </si>
  <si>
    <t>醫療器材裝修工</t>
    <phoneticPr fontId="3" type="noConversion"/>
  </si>
  <si>
    <t>工廠機器維修人員</t>
    <phoneticPr fontId="3" type="noConversion"/>
  </si>
  <si>
    <t>外勤記者</t>
    <phoneticPr fontId="3" type="noConversion"/>
  </si>
  <si>
    <t>攝影記者</t>
    <phoneticPr fontId="3" type="noConversion"/>
  </si>
  <si>
    <t>戰地記者</t>
    <phoneticPr fontId="3" type="noConversion"/>
  </si>
  <si>
    <t>推銷員</t>
    <phoneticPr fontId="3" type="noConversion"/>
  </si>
  <si>
    <t>送貨員</t>
    <phoneticPr fontId="3" type="noConversion"/>
  </si>
  <si>
    <t>送報員</t>
    <phoneticPr fontId="3" type="noConversion"/>
  </si>
  <si>
    <t>業務員、AE公關</t>
    <phoneticPr fontId="3" type="noConversion"/>
  </si>
  <si>
    <t>廣告影片之拍攝錄製人員</t>
    <phoneticPr fontId="3" type="noConversion"/>
  </si>
  <si>
    <t>戶外廣告招牌製作架設人員</t>
    <phoneticPr fontId="3" type="noConversion"/>
  </si>
  <si>
    <t>廣告招牌繪製人員（地面工作）</t>
    <phoneticPr fontId="3" type="noConversion"/>
  </si>
  <si>
    <t>廣告旗幟製作</t>
    <phoneticPr fontId="3" type="noConversion"/>
  </si>
  <si>
    <t>獎牌紀念品製作</t>
    <phoneticPr fontId="3" type="noConversion"/>
  </si>
  <si>
    <t>道路號誌、標誌製造工</t>
  </si>
  <si>
    <t>一般醫務行政人員</t>
    <phoneticPr fontId="3" type="noConversion"/>
  </si>
  <si>
    <t>獸醫</t>
    <phoneticPr fontId="3" type="noConversion"/>
  </si>
  <si>
    <t>醫院炊事</t>
    <phoneticPr fontId="3" type="noConversion"/>
  </si>
  <si>
    <t>雜工</t>
    <phoneticPr fontId="3" type="noConversion"/>
  </si>
  <si>
    <t>物理、職能(復健)治療師</t>
    <phoneticPr fontId="3" type="noConversion"/>
  </si>
  <si>
    <t>醫學及病理檢驗人員</t>
    <phoneticPr fontId="3" type="noConversion"/>
  </si>
  <si>
    <t>分析員</t>
    <phoneticPr fontId="3" type="noConversion"/>
  </si>
  <si>
    <t>放射線之技術人員</t>
    <phoneticPr fontId="3" type="noConversion"/>
  </si>
  <si>
    <t>放射線之修護人員</t>
    <phoneticPr fontId="3" type="noConversion"/>
  </si>
  <si>
    <t>助產士</t>
    <phoneticPr fontId="3" type="noConversion"/>
  </si>
  <si>
    <t>跌打損傷治療人員(接骨、氣功推拿)</t>
    <phoneticPr fontId="3" type="noConversion"/>
  </si>
  <si>
    <t>監獄、看守所醫生、護理人員</t>
  </si>
  <si>
    <t xml:space="preserve">做月子、育嬰中心工作人員            </t>
    <phoneticPr fontId="3" type="noConversion"/>
  </si>
  <si>
    <t xml:space="preserve">中途之家、安養院工作人員 </t>
    <phoneticPr fontId="3" type="noConversion"/>
  </si>
  <si>
    <t>齒模工</t>
    <phoneticPr fontId="3" type="noConversion"/>
  </si>
  <si>
    <t>勞、健保局調查人員（外勤）</t>
    <phoneticPr fontId="3" type="noConversion"/>
  </si>
  <si>
    <t>煙毒勒戒所人員</t>
    <phoneticPr fontId="5" type="noConversion"/>
  </si>
  <si>
    <t>製片人、一般內勤人員</t>
    <phoneticPr fontId="3" type="noConversion"/>
  </si>
  <si>
    <t>編劇、電視導播</t>
    <phoneticPr fontId="3" type="noConversion"/>
  </si>
  <si>
    <t>一般演員（導演）</t>
    <phoneticPr fontId="3" type="noConversion"/>
  </si>
  <si>
    <t>武打演員</t>
    <phoneticPr fontId="3" type="noConversion"/>
  </si>
  <si>
    <t>特技演員</t>
    <phoneticPr fontId="3" type="noConversion"/>
  </si>
  <si>
    <t>化粧師</t>
    <phoneticPr fontId="3" type="noConversion"/>
  </si>
  <si>
    <t>場記</t>
    <phoneticPr fontId="3" type="noConversion"/>
  </si>
  <si>
    <t>攝影工作人員</t>
    <phoneticPr fontId="3" type="noConversion"/>
  </si>
  <si>
    <t>燈光及音響效果工作人員</t>
    <phoneticPr fontId="3" type="noConversion"/>
  </si>
  <si>
    <t>沖片工作人員</t>
    <phoneticPr fontId="3" type="noConversion"/>
  </si>
  <si>
    <t>洗片工作人員</t>
    <phoneticPr fontId="3" type="noConversion"/>
  </si>
  <si>
    <t>電視記者</t>
    <phoneticPr fontId="3" type="noConversion"/>
  </si>
  <si>
    <t>機械工、電工</t>
    <phoneticPr fontId="3" type="noConversion"/>
  </si>
  <si>
    <t>佈景搭設人員</t>
    <phoneticPr fontId="3" type="noConversion"/>
  </si>
  <si>
    <t>電影院售票員</t>
    <phoneticPr fontId="3" type="noConversion"/>
  </si>
  <si>
    <t>電影院放映人員</t>
    <phoneticPr fontId="3" type="noConversion"/>
  </si>
  <si>
    <t>電影院服務人員兼餐飲販賣</t>
    <phoneticPr fontId="3" type="noConversion"/>
  </si>
  <si>
    <t>影片剪接人員</t>
    <phoneticPr fontId="3" type="noConversion"/>
  </si>
  <si>
    <t>燈光及音響器材架設人員</t>
    <phoneticPr fontId="3" type="noConversion"/>
  </si>
  <si>
    <t>現場指導、助理導播</t>
    <phoneticPr fontId="3" type="noConversion"/>
  </si>
  <si>
    <t xml:space="preserve">採訪車、轉播車駕駛    </t>
    <phoneticPr fontId="3" type="noConversion"/>
  </si>
  <si>
    <t>武術指導</t>
    <phoneticPr fontId="3" type="noConversion"/>
  </si>
  <si>
    <t>有線電視架式人員</t>
    <phoneticPr fontId="3" type="noConversion"/>
  </si>
  <si>
    <t>電影院清潔人員</t>
    <phoneticPr fontId="5" type="noConversion"/>
  </si>
  <si>
    <t>教練</t>
    <phoneticPr fontId="3" type="noConversion"/>
  </si>
  <si>
    <t>球場保養人</t>
    <phoneticPr fontId="3" type="noConversion"/>
  </si>
  <si>
    <t>球僮</t>
    <phoneticPr fontId="3" type="noConversion"/>
  </si>
  <si>
    <t>計分員</t>
    <phoneticPr fontId="3" type="noConversion"/>
  </si>
  <si>
    <t>機械修護工人</t>
    <phoneticPr fontId="3" type="noConversion"/>
  </si>
  <si>
    <t>管理員</t>
    <phoneticPr fontId="3" type="noConversion"/>
  </si>
  <si>
    <t>教練</t>
  </si>
  <si>
    <t>售票員</t>
    <phoneticPr fontId="3" type="noConversion"/>
  </si>
  <si>
    <t>救生員</t>
    <phoneticPr fontId="5" type="noConversion"/>
  </si>
  <si>
    <t>售票員、售貨員</t>
    <phoneticPr fontId="3" type="noConversion"/>
  </si>
  <si>
    <t>電動玩具操作員</t>
    <phoneticPr fontId="3" type="noConversion"/>
  </si>
  <si>
    <t>水電機械工</t>
    <phoneticPr fontId="3" type="noConversion"/>
  </si>
  <si>
    <t>動物園、馬戲團馴獸師</t>
    <phoneticPr fontId="3" type="noConversion"/>
  </si>
  <si>
    <t>飼養人員</t>
    <phoneticPr fontId="3" type="noConversion"/>
  </si>
  <si>
    <t>獸醫（動物園）</t>
    <phoneticPr fontId="3" type="noConversion"/>
  </si>
  <si>
    <t>動物訓練員(非馴獸師)</t>
    <phoneticPr fontId="3" type="noConversion"/>
  </si>
  <si>
    <t>娛樂場所工作人員及負責人</t>
    <phoneticPr fontId="3" type="noConversion"/>
  </si>
  <si>
    <t>電動玩具店器具維修工人 </t>
    <phoneticPr fontId="3" type="noConversion"/>
  </si>
  <si>
    <t>大型遊樂場器具維修工人</t>
    <phoneticPr fontId="5" type="noConversion"/>
  </si>
  <si>
    <t>作曲人員</t>
    <phoneticPr fontId="3" type="noConversion"/>
  </si>
  <si>
    <t>編曲人員</t>
    <phoneticPr fontId="3" type="noConversion"/>
  </si>
  <si>
    <t>演奏人員</t>
    <phoneticPr fontId="3" type="noConversion"/>
  </si>
  <si>
    <t>繪畫人員</t>
    <phoneticPr fontId="3" type="noConversion"/>
  </si>
  <si>
    <t>歌唱、舞蹈演藝人員</t>
    <phoneticPr fontId="3" type="noConversion"/>
  </si>
  <si>
    <t>雕塑人員</t>
    <phoneticPr fontId="3" type="noConversion"/>
  </si>
  <si>
    <t>戲劇演員</t>
    <phoneticPr fontId="3" type="noConversion"/>
  </si>
  <si>
    <t>巡迴演出戲劇團體人員</t>
    <phoneticPr fontId="3" type="noConversion"/>
  </si>
  <si>
    <t>作家</t>
    <phoneticPr fontId="3" type="noConversion"/>
  </si>
  <si>
    <t>模特兒</t>
    <phoneticPr fontId="3" type="noConversion"/>
  </si>
  <si>
    <t>魔術師</t>
    <phoneticPr fontId="3" type="noConversion"/>
  </si>
  <si>
    <t>魔術助理人員</t>
    <phoneticPr fontId="3" type="noConversion"/>
  </si>
  <si>
    <t>宣傳</t>
    <phoneticPr fontId="3" type="noConversion"/>
  </si>
  <si>
    <t>布袋戲偶操作人員</t>
    <phoneticPr fontId="3" type="noConversion"/>
  </si>
  <si>
    <t>人體彩繪師</t>
    <phoneticPr fontId="3" type="noConversion"/>
  </si>
  <si>
    <t>舞蹈教室老師</t>
    <phoneticPr fontId="3" type="noConversion"/>
  </si>
  <si>
    <t>茶室工作人員</t>
    <phoneticPr fontId="3" type="noConversion"/>
  </si>
  <si>
    <t>酒家工作人員</t>
    <phoneticPr fontId="3" type="noConversion"/>
  </si>
  <si>
    <t>樂戶工作人員</t>
    <phoneticPr fontId="3" type="noConversion"/>
  </si>
  <si>
    <t>舞廳工作人員</t>
    <phoneticPr fontId="3" type="noConversion"/>
  </si>
  <si>
    <t>歌廳工作人員</t>
    <phoneticPr fontId="3" type="noConversion"/>
  </si>
  <si>
    <t>酒吧工作人員</t>
    <phoneticPr fontId="3" type="noConversion"/>
  </si>
  <si>
    <t>其他場所工作人員</t>
    <phoneticPr fontId="3" type="noConversion"/>
  </si>
  <si>
    <t>從事特種營業服務人員(吧女、酒女、舞女、咖啡女郎、按摩女郎…等)</t>
    <phoneticPr fontId="3" type="noConversion"/>
  </si>
  <si>
    <t>保鑣</t>
  </si>
  <si>
    <t>教師、行政人員</t>
    <phoneticPr fontId="5" type="noConversion"/>
  </si>
  <si>
    <t>學生(不含軍校、警校)</t>
    <phoneticPr fontId="5" type="noConversion"/>
  </si>
  <si>
    <t>校工</t>
  </si>
  <si>
    <t>軍訓教官</t>
  </si>
  <si>
    <t>體育教師</t>
  </si>
  <si>
    <t>餐飲補習班教師</t>
  </si>
  <si>
    <t>工藝教師</t>
    <phoneticPr fontId="5" type="noConversion"/>
  </si>
  <si>
    <t>校警</t>
  </si>
  <si>
    <t>學校志工</t>
    <phoneticPr fontId="5" type="noConversion"/>
  </si>
  <si>
    <t>負責人（出版商、書店、文具店）</t>
  </si>
  <si>
    <t>店員（出版商、書店、文具店）</t>
  </si>
  <si>
    <t>書店外務員</t>
  </si>
  <si>
    <t>書店送貨員</t>
  </si>
  <si>
    <t>圖書館工作人員</t>
  </si>
  <si>
    <t>博物館工作人員</t>
  </si>
  <si>
    <t>汽車駕駛訓練班教練</t>
  </si>
  <si>
    <t>監理所路考官</t>
    <phoneticPr fontId="5" type="noConversion"/>
  </si>
  <si>
    <t>寺廟及教堂管理人員</t>
    <phoneticPr fontId="3" type="noConversion"/>
  </si>
  <si>
    <t>宗教團體工作人員</t>
    <phoneticPr fontId="3" type="noConversion"/>
  </si>
  <si>
    <t>乩童</t>
    <phoneticPr fontId="3" type="noConversion"/>
  </si>
  <si>
    <t>神壇工作人員</t>
    <phoneticPr fontId="3" type="noConversion"/>
  </si>
  <si>
    <t>算命師</t>
    <phoneticPr fontId="3" type="noConversion"/>
  </si>
  <si>
    <t>勘與師</t>
    <phoneticPr fontId="3" type="noConversion"/>
  </si>
  <si>
    <t>八家將</t>
    <phoneticPr fontId="5" type="noConversion"/>
  </si>
  <si>
    <t>外勤郵務人員</t>
    <phoneticPr fontId="3" type="noConversion"/>
  </si>
  <si>
    <t>包裹搬運人員</t>
    <phoneticPr fontId="3" type="noConversion"/>
  </si>
  <si>
    <t>內勤人員</t>
    <phoneticPr fontId="3" type="noConversion"/>
  </si>
  <si>
    <t>抄錶員、收費員</t>
    <phoneticPr fontId="3" type="noConversion"/>
  </si>
  <si>
    <t>電信裝置維護修理工</t>
    <phoneticPr fontId="3" type="noConversion"/>
  </si>
  <si>
    <t>電力裝置維護修理工</t>
    <phoneticPr fontId="3" type="noConversion"/>
  </si>
  <si>
    <t>電信工程設施之架設人員</t>
    <phoneticPr fontId="3" type="noConversion"/>
  </si>
  <si>
    <t>電力工程設施之架設人員</t>
    <phoneticPr fontId="3" type="noConversion"/>
  </si>
  <si>
    <t>電力高壓電工程設施人員</t>
    <phoneticPr fontId="3" type="noConversion"/>
  </si>
  <si>
    <t>電臺天線維護人員</t>
    <phoneticPr fontId="3" type="noConversion"/>
  </si>
  <si>
    <t>核能電廠行政人員</t>
    <phoneticPr fontId="3" type="noConversion"/>
  </si>
  <si>
    <t>核電廠工作人員</t>
    <phoneticPr fontId="3" type="noConversion"/>
  </si>
  <si>
    <t>水力、火力發電廠工作人員</t>
    <phoneticPr fontId="3" type="noConversion"/>
  </si>
  <si>
    <t>核廢料處理人員</t>
    <phoneticPr fontId="3" type="noConversion"/>
  </si>
  <si>
    <t>核能工作人員
（核工系、中研院、中科院、台電核工人員）</t>
    <phoneticPr fontId="3" type="noConversion"/>
  </si>
  <si>
    <t>水壩、水庫管理人員</t>
    <phoneticPr fontId="3" type="noConversion"/>
  </si>
  <si>
    <t>水利工程設施人員</t>
    <phoneticPr fontId="3" type="noConversion"/>
  </si>
  <si>
    <t>自來水管裝修人員</t>
    <phoneticPr fontId="3" type="noConversion"/>
  </si>
  <si>
    <t>自來水廠水質分析員（實地）</t>
    <phoneticPr fontId="3" type="noConversion"/>
  </si>
  <si>
    <t xml:space="preserve">巡水員      </t>
    <phoneticPr fontId="3" type="noConversion"/>
  </si>
  <si>
    <t>管線裝修工</t>
    <phoneticPr fontId="3" type="noConversion"/>
  </si>
  <si>
    <t>收費員、抄錶員</t>
    <phoneticPr fontId="3" type="noConversion"/>
  </si>
  <si>
    <t>瓦斯器具製造工</t>
    <phoneticPr fontId="3" type="noConversion"/>
  </si>
  <si>
    <t>探測員</t>
    <phoneticPr fontId="3" type="noConversion"/>
  </si>
  <si>
    <t>一般工廠環保人員</t>
    <phoneticPr fontId="3" type="noConversion"/>
  </si>
  <si>
    <t>環保稽核巡查人員、垃圾車駕駛及清潔隊員</t>
    <phoneticPr fontId="3" type="noConversion"/>
  </si>
  <si>
    <t>捕狗大隊</t>
    <phoneticPr fontId="3" type="noConversion"/>
  </si>
  <si>
    <t>化學工程環保人員</t>
    <phoneticPr fontId="3" type="noConversion"/>
  </si>
  <si>
    <t>儲油槽、儲氣槽清理人員</t>
    <phoneticPr fontId="3" type="noConversion"/>
  </si>
  <si>
    <t>海上油污處理人員</t>
    <phoneticPr fontId="3" type="noConversion"/>
  </si>
  <si>
    <t>資源回收站分類人員</t>
  </si>
  <si>
    <t>工廠廢棄物清潔人員</t>
    <phoneticPr fontId="3" type="noConversion"/>
  </si>
  <si>
    <t>污水處理(化糞池/水塔清潔人員)</t>
    <phoneticPr fontId="3" type="noConversion"/>
  </si>
  <si>
    <t>垃圾焚化爐處理人員</t>
    <phoneticPr fontId="3" type="noConversion"/>
  </si>
  <si>
    <t>廢五金處理人員</t>
    <phoneticPr fontId="5" type="noConversion"/>
  </si>
  <si>
    <t>廠區行政人員</t>
    <phoneticPr fontId="3" type="noConversion"/>
  </si>
  <si>
    <t xml:space="preserve">煉油廠工程師                        </t>
    <phoneticPr fontId="3" type="noConversion"/>
  </si>
  <si>
    <t xml:space="preserve">煉油廠領班           </t>
    <phoneticPr fontId="3" type="noConversion"/>
  </si>
  <si>
    <t>煉油廠技術工人</t>
    <phoneticPr fontId="3" type="noConversion"/>
  </si>
  <si>
    <t>煉油廠加油工作人員</t>
    <phoneticPr fontId="3" type="noConversion"/>
  </si>
  <si>
    <t>煉油廠管線維修</t>
    <phoneticPr fontId="3" type="noConversion"/>
  </si>
  <si>
    <t>加油站管線維修</t>
    <phoneticPr fontId="3" type="noConversion"/>
  </si>
  <si>
    <t>廚具商(不含安裝)</t>
    <phoneticPr fontId="3" type="noConversion"/>
  </si>
  <si>
    <t>陶瓷器商</t>
  </si>
  <si>
    <t>花卉商</t>
  </si>
  <si>
    <t>米商(不參與碾米作業)</t>
    <phoneticPr fontId="3" type="noConversion"/>
  </si>
  <si>
    <t>雜貨商</t>
  </si>
  <si>
    <t>玻璃商</t>
  </si>
  <si>
    <t>果菜商(固定攤販)</t>
    <phoneticPr fontId="3" type="noConversion"/>
  </si>
  <si>
    <t>石材商</t>
  </si>
  <si>
    <t>建材商</t>
  </si>
  <si>
    <t>鐵材商</t>
  </si>
  <si>
    <t>木材商</t>
  </si>
  <si>
    <t>五金商</t>
  </si>
  <si>
    <t>電器商(不含安裝)</t>
    <phoneticPr fontId="3" type="noConversion"/>
  </si>
  <si>
    <t>水電衛生器材商(不含安裝)</t>
    <phoneticPr fontId="3" type="noConversion"/>
  </si>
  <si>
    <t>傢俱、寢具商(不含安裝)</t>
    <phoneticPr fontId="3" type="noConversion"/>
  </si>
  <si>
    <t>自行車買賣商(不含修理)</t>
    <phoneticPr fontId="3" type="noConversion"/>
  </si>
  <si>
    <t>機車買賣商(不含修理)</t>
    <phoneticPr fontId="3" type="noConversion"/>
  </si>
  <si>
    <t>汽車買賣商(不含修理)</t>
    <phoneticPr fontId="3" type="noConversion"/>
  </si>
  <si>
    <t>車輛器材、用品買賣商（不含礦物油）</t>
    <phoneticPr fontId="3" type="noConversion"/>
  </si>
  <si>
    <t>礦物油買賣商</t>
  </si>
  <si>
    <t>眼鏡商、驗光師</t>
    <phoneticPr fontId="3" type="noConversion"/>
  </si>
  <si>
    <t>文具商、禮品買賣商</t>
    <phoneticPr fontId="3" type="noConversion"/>
  </si>
  <si>
    <t>布商</t>
  </si>
  <si>
    <t>服飾、皮鞋、皮件買賣商</t>
    <phoneticPr fontId="3" type="noConversion"/>
  </si>
  <si>
    <t>魚販(含流動、固定攤販)</t>
    <phoneticPr fontId="3" type="noConversion"/>
  </si>
  <si>
    <t>肉販(含流動、固定攤販)</t>
    <phoneticPr fontId="3" type="noConversion"/>
  </si>
  <si>
    <t>藥品買賣商</t>
    <phoneticPr fontId="5" type="noConversion"/>
  </si>
  <si>
    <t>醫療機械儀器商</t>
  </si>
  <si>
    <t>手工藝品買賣商</t>
  </si>
  <si>
    <t>瓦斯器具商：</t>
  </si>
  <si>
    <t>液化瓦斯零售商：</t>
  </si>
  <si>
    <t>舊貨收購人員</t>
  </si>
  <si>
    <t>珠寶買賣(不參與加工作業)、珠寶公司內勤人員</t>
    <phoneticPr fontId="5" type="noConversion"/>
  </si>
  <si>
    <t xml:space="preserve">香燭、紙錢、爆竹買賣       </t>
  </si>
  <si>
    <t>一般流動、固定攤販</t>
    <phoneticPr fontId="3" type="noConversion"/>
  </si>
  <si>
    <t>碾米商</t>
    <phoneticPr fontId="5" type="noConversion"/>
  </si>
  <si>
    <t>收費員</t>
    <phoneticPr fontId="3" type="noConversion"/>
  </si>
  <si>
    <t>調查徵信人員</t>
    <phoneticPr fontId="3" type="noConversion"/>
  </si>
  <si>
    <t>現金運送員、司機</t>
    <phoneticPr fontId="3" type="noConversion"/>
  </si>
  <si>
    <t>律師</t>
    <phoneticPr fontId="3" type="noConversion"/>
  </si>
  <si>
    <t>會計師</t>
    <phoneticPr fontId="3" type="noConversion"/>
  </si>
  <si>
    <t>代書（內勤）</t>
    <phoneticPr fontId="3" type="noConversion"/>
  </si>
  <si>
    <t>經紀人（內勤）</t>
    <phoneticPr fontId="3" type="noConversion"/>
  </si>
  <si>
    <t>外勤人員</t>
    <phoneticPr fontId="3" type="noConversion"/>
  </si>
  <si>
    <t>房屋土地仲介</t>
    <phoneticPr fontId="5" type="noConversion"/>
  </si>
  <si>
    <t>公證行外務員</t>
    <phoneticPr fontId="3" type="noConversion"/>
  </si>
  <si>
    <t>報關行外務員</t>
    <phoneticPr fontId="3" type="noConversion"/>
  </si>
  <si>
    <t>理髮師、造型師</t>
    <phoneticPr fontId="3" type="noConversion"/>
  </si>
  <si>
    <t>美容師</t>
    <phoneticPr fontId="3" type="noConversion"/>
  </si>
  <si>
    <t>鐘錶匠</t>
    <phoneticPr fontId="3" type="noConversion"/>
  </si>
  <si>
    <t>鞋匠、雨傘匠、磨刀匠</t>
    <phoneticPr fontId="3" type="noConversion"/>
  </si>
  <si>
    <t>警衛、保全人員（內勤）</t>
    <phoneticPr fontId="3" type="noConversion"/>
  </si>
  <si>
    <t>大樓管理員</t>
    <phoneticPr fontId="3" type="noConversion"/>
  </si>
  <si>
    <t>車輛保管人員</t>
    <phoneticPr fontId="3" type="noConversion"/>
  </si>
  <si>
    <t>加油(氣)站工作人員</t>
    <phoneticPr fontId="3" type="noConversion"/>
  </si>
  <si>
    <t>地磅工作人員</t>
    <phoneticPr fontId="3" type="noConversion"/>
  </si>
  <si>
    <t>三溫暖業負責人</t>
    <phoneticPr fontId="3" type="noConversion"/>
  </si>
  <si>
    <t>三溫暖業工作人員</t>
    <phoneticPr fontId="3" type="noConversion"/>
  </si>
  <si>
    <t>鎖匠、刻印章人員</t>
    <phoneticPr fontId="3" type="noConversion"/>
  </si>
  <si>
    <t>裁縫師</t>
    <phoneticPr fontId="3" type="noConversion"/>
  </si>
  <si>
    <t>水塔、化糞池清理人員</t>
    <phoneticPr fontId="3" type="noConversion"/>
  </si>
  <si>
    <t>職業潛水夫</t>
    <phoneticPr fontId="3" type="noConversion"/>
  </si>
  <si>
    <t>火災現場勘查人員</t>
    <phoneticPr fontId="3" type="noConversion"/>
  </si>
  <si>
    <t>徵信社外勤人員</t>
    <phoneticPr fontId="3" type="noConversion"/>
  </si>
  <si>
    <t>村里幹事</t>
    <phoneticPr fontId="3" type="noConversion"/>
  </si>
  <si>
    <t>錄影帶/光碟片出租店負責人、店員</t>
    <phoneticPr fontId="3" type="noConversion"/>
  </si>
  <si>
    <t>葬儀社負責人</t>
    <phoneticPr fontId="3" type="noConversion"/>
  </si>
  <si>
    <t>司儀</t>
    <phoneticPr fontId="3" type="noConversion"/>
  </si>
  <si>
    <t xml:space="preserve">化粧人員                           </t>
    <phoneticPr fontId="3" type="noConversion"/>
  </si>
  <si>
    <t>外務員、生前契約傳銷人員</t>
    <phoneticPr fontId="3" type="noConversion"/>
  </si>
  <si>
    <t>殯儀館管理人員</t>
    <phoneticPr fontId="3" type="noConversion"/>
  </si>
  <si>
    <t>陣頭、樂隊人員</t>
    <phoneticPr fontId="3" type="noConversion"/>
  </si>
  <si>
    <t xml:space="preserve">墓園管理員                         </t>
    <phoneticPr fontId="3" type="noConversion"/>
  </si>
  <si>
    <t>禮堂佈置人員</t>
    <phoneticPr fontId="3" type="noConversion"/>
  </si>
  <si>
    <t>火葬場處理人員</t>
    <phoneticPr fontId="3" type="noConversion"/>
  </si>
  <si>
    <t>墓地建造工人</t>
    <phoneticPr fontId="3" type="noConversion"/>
  </si>
  <si>
    <t>檢骨師</t>
    <phoneticPr fontId="3" type="noConversion"/>
  </si>
  <si>
    <t>家庭主婦</t>
    <phoneticPr fontId="3" type="noConversion"/>
  </si>
  <si>
    <t>佣人</t>
    <phoneticPr fontId="3" type="noConversion"/>
  </si>
  <si>
    <t>褓姆</t>
    <phoneticPr fontId="3" type="noConversion"/>
  </si>
  <si>
    <t>退休人員</t>
    <phoneticPr fontId="3" type="noConversion"/>
  </si>
  <si>
    <t>無業、待業</t>
  </si>
  <si>
    <t>警務行政及內勤人員</t>
    <phoneticPr fontId="3" type="noConversion"/>
  </si>
  <si>
    <t>監獄看守所管理人員</t>
    <phoneticPr fontId="3" type="noConversion"/>
  </si>
  <si>
    <t>交通警察</t>
    <phoneticPr fontId="3" type="noConversion"/>
  </si>
  <si>
    <t>刑警</t>
    <phoneticPr fontId="3" type="noConversion"/>
  </si>
  <si>
    <t>消防隊隊員</t>
    <phoneticPr fontId="3" type="noConversion"/>
  </si>
  <si>
    <t>義消</t>
    <phoneticPr fontId="3" type="noConversion"/>
  </si>
  <si>
    <t>保安警察</t>
    <phoneticPr fontId="3" type="noConversion"/>
  </si>
  <si>
    <t>警察大學、警察專科學生</t>
    <phoneticPr fontId="3" type="noConversion"/>
  </si>
  <si>
    <t>警校教官</t>
    <phoneticPr fontId="3" type="noConversion"/>
  </si>
  <si>
    <t>防爆小組</t>
    <phoneticPr fontId="5" type="noConversion"/>
  </si>
  <si>
    <t>空中警察</t>
    <phoneticPr fontId="5" type="noConversion"/>
  </si>
  <si>
    <t>義警</t>
    <phoneticPr fontId="3" type="noConversion"/>
  </si>
  <si>
    <t>義交</t>
    <phoneticPr fontId="5" type="noConversion"/>
  </si>
  <si>
    <t>法警</t>
    <phoneticPr fontId="3" type="noConversion"/>
  </si>
  <si>
    <t>警務特勤人員(維安小組、霹靂小組)</t>
    <phoneticPr fontId="5" type="noConversion"/>
  </si>
  <si>
    <t>守望相助人員</t>
  </si>
  <si>
    <t>空巡人員</t>
  </si>
  <si>
    <t>岸巡人員</t>
  </si>
  <si>
    <t>海巡人員</t>
    <phoneticPr fontId="5" type="noConversion"/>
  </si>
  <si>
    <t>調查局之調查員（不需蒐証）</t>
    <phoneticPr fontId="3" type="noConversion"/>
  </si>
  <si>
    <t>調查局之調查員（需蒐証）</t>
    <phoneticPr fontId="3" type="noConversion"/>
  </si>
  <si>
    <t>觀護人</t>
    <phoneticPr fontId="3" type="noConversion"/>
  </si>
  <si>
    <t>一般軍人</t>
    <phoneticPr fontId="3" type="noConversion"/>
  </si>
  <si>
    <t>特種軍人（傘兵、爆破、佈雷、防爆、負有特殊任務之特勤人員……等 )</t>
    <phoneticPr fontId="3" type="noConversion"/>
  </si>
  <si>
    <t xml:space="preserve">志願役行政及內勤人員 </t>
    <phoneticPr fontId="3" type="noConversion"/>
  </si>
  <si>
    <t>憲兵</t>
    <phoneticPr fontId="3" type="noConversion"/>
  </si>
  <si>
    <t>軍醫院官兵</t>
    <phoneticPr fontId="3" type="noConversion"/>
  </si>
  <si>
    <t>軍校學生</t>
    <phoneticPr fontId="3" type="noConversion"/>
  </si>
  <si>
    <t>機械、車輛、飛機、修護人員</t>
    <phoneticPr fontId="3" type="noConversion"/>
  </si>
  <si>
    <t>艦艇及潛艦官兵</t>
    <phoneticPr fontId="3" type="noConversion"/>
  </si>
  <si>
    <t>武器或彈藥製造人員</t>
    <phoneticPr fontId="3" type="noConversion"/>
  </si>
  <si>
    <t>軍機駕駛及機上工作人員</t>
    <phoneticPr fontId="3" type="noConversion"/>
  </si>
  <si>
    <t>電腦程式設計師</t>
    <phoneticPr fontId="3" type="noConversion"/>
  </si>
  <si>
    <t>事務機器維修人員</t>
    <phoneticPr fontId="3" type="noConversion"/>
  </si>
  <si>
    <t>硬體測試人員</t>
    <phoneticPr fontId="3" type="noConversion"/>
  </si>
  <si>
    <t>室內管線安裝人員</t>
    <phoneticPr fontId="5" type="noConversion"/>
  </si>
  <si>
    <t xml:space="preserve">教練                                 </t>
  </si>
  <si>
    <t xml:space="preserve">高爾夫球球員                           </t>
    <phoneticPr fontId="3" type="noConversion"/>
  </si>
  <si>
    <t xml:space="preserve">保齡球球員                             </t>
    <phoneticPr fontId="3" type="noConversion"/>
  </si>
  <si>
    <t xml:space="preserve">桌球球員                             </t>
    <phoneticPr fontId="3" type="noConversion"/>
  </si>
  <si>
    <t xml:space="preserve">羽球球員 </t>
    <phoneticPr fontId="3" type="noConversion"/>
  </si>
  <si>
    <t xml:space="preserve">游泳人員                          </t>
    <phoneticPr fontId="3" type="noConversion"/>
  </si>
  <si>
    <t xml:space="preserve">射箭人員                            </t>
    <phoneticPr fontId="3" type="noConversion"/>
  </si>
  <si>
    <t xml:space="preserve">網球球員  </t>
    <phoneticPr fontId="3" type="noConversion"/>
  </si>
  <si>
    <t xml:space="preserve">壘球球員                           </t>
    <phoneticPr fontId="3" type="noConversion"/>
  </si>
  <si>
    <t xml:space="preserve">溜冰人員                            </t>
    <phoneticPr fontId="3" type="noConversion"/>
  </si>
  <si>
    <t xml:space="preserve">射擊人員                           </t>
    <phoneticPr fontId="3" type="noConversion"/>
  </si>
  <si>
    <t xml:space="preserve">民俗體育活動人員                   </t>
    <phoneticPr fontId="3" type="noConversion"/>
  </si>
  <si>
    <t xml:space="preserve">教練                                 </t>
    <phoneticPr fontId="5" type="noConversion"/>
  </si>
  <si>
    <t xml:space="preserve">舉重人員                            </t>
    <phoneticPr fontId="3" type="noConversion"/>
  </si>
  <si>
    <t xml:space="preserve">籃球球員                           </t>
    <phoneticPr fontId="3" type="noConversion"/>
  </si>
  <si>
    <t xml:space="preserve">排球球員                           </t>
    <phoneticPr fontId="3" type="noConversion"/>
  </si>
  <si>
    <t xml:space="preserve">棒球球員                           </t>
    <phoneticPr fontId="3" type="noConversion"/>
  </si>
  <si>
    <t xml:space="preserve">與賽人員                           </t>
    <phoneticPr fontId="3" type="noConversion"/>
  </si>
  <si>
    <t xml:space="preserve">體操人員                            </t>
    <phoneticPr fontId="3" type="noConversion"/>
  </si>
  <si>
    <t xml:space="preserve">滑草人員                            </t>
    <phoneticPr fontId="3" type="noConversion"/>
  </si>
  <si>
    <t xml:space="preserve">駕乘人員                           </t>
    <phoneticPr fontId="3" type="noConversion"/>
  </si>
  <si>
    <t xml:space="preserve">駕乘人員                            </t>
    <phoneticPr fontId="3" type="noConversion"/>
  </si>
  <si>
    <t xml:space="preserve">巧固球球員                          </t>
    <phoneticPr fontId="3" type="noConversion"/>
  </si>
  <si>
    <t xml:space="preserve">手球球員                            </t>
    <phoneticPr fontId="3" type="noConversion"/>
  </si>
  <si>
    <t xml:space="preserve">駕乘人員                                       </t>
    <phoneticPr fontId="3" type="noConversion"/>
  </si>
  <si>
    <t xml:space="preserve">足球球員                            </t>
    <phoneticPr fontId="3" type="noConversion"/>
  </si>
  <si>
    <t xml:space="preserve">曲棍球球員                          </t>
    <phoneticPr fontId="3" type="noConversion"/>
  </si>
  <si>
    <t xml:space="preserve">冰上曲棍球球員                      </t>
    <phoneticPr fontId="3" type="noConversion"/>
  </si>
  <si>
    <t>橄欖球球員</t>
    <phoneticPr fontId="3" type="noConversion"/>
  </si>
  <si>
    <t xml:space="preserve">自由車選手 </t>
    <phoneticPr fontId="3" type="noConversion"/>
  </si>
  <si>
    <t xml:space="preserve">角力人員          </t>
    <phoneticPr fontId="3" type="noConversion"/>
  </si>
  <si>
    <t xml:space="preserve">摔角人員                </t>
    <phoneticPr fontId="3" type="noConversion"/>
  </si>
  <si>
    <t xml:space="preserve">柔道人員              </t>
    <phoneticPr fontId="3" type="noConversion"/>
  </si>
  <si>
    <t xml:space="preserve">空手道人員             </t>
    <phoneticPr fontId="3" type="noConversion"/>
  </si>
  <si>
    <t xml:space="preserve">跆拳道人員                             </t>
    <phoneticPr fontId="3" type="noConversion"/>
  </si>
  <si>
    <t xml:space="preserve">國術人員                     </t>
    <phoneticPr fontId="3" type="noConversion"/>
  </si>
  <si>
    <t xml:space="preserve">拳擊人員              </t>
    <phoneticPr fontId="3" type="noConversion"/>
  </si>
  <si>
    <t xml:space="preserve">潛水人員                        </t>
    <phoneticPr fontId="3" type="noConversion"/>
  </si>
  <si>
    <t xml:space="preserve">滑水人員                          </t>
    <phoneticPr fontId="3" type="noConversion"/>
  </si>
  <si>
    <t xml:space="preserve">滑雪人員            </t>
    <phoneticPr fontId="3" type="noConversion"/>
  </si>
  <si>
    <t xml:space="preserve">馬術人員       </t>
    <phoneticPr fontId="3" type="noConversion"/>
  </si>
  <si>
    <t xml:space="preserve">特技表演人員                         </t>
    <phoneticPr fontId="3" type="noConversion"/>
  </si>
  <si>
    <t>與賽人員</t>
    <phoneticPr fontId="3" type="noConversion"/>
  </si>
  <si>
    <t>駕駛人員</t>
    <phoneticPr fontId="3" type="noConversion"/>
  </si>
  <si>
    <t>賽車人員</t>
    <phoneticPr fontId="3" type="noConversion"/>
  </si>
  <si>
    <t>跳傘人員</t>
    <phoneticPr fontId="3" type="noConversion"/>
  </si>
  <si>
    <t xml:space="preserve">教練                         </t>
    <phoneticPr fontId="5" type="noConversion"/>
  </si>
  <si>
    <t xml:space="preserve">撞球球員                            </t>
    <phoneticPr fontId="3" type="noConversion"/>
  </si>
  <si>
    <t xml:space="preserve">迴力球球員                          </t>
    <phoneticPr fontId="3" type="noConversion"/>
  </si>
  <si>
    <t xml:space="preserve">選手                         </t>
    <phoneticPr fontId="3" type="noConversion"/>
  </si>
  <si>
    <t xml:space="preserve">相撲選手                      </t>
    <phoneticPr fontId="3" type="noConversion"/>
  </si>
  <si>
    <t>合氣道選手</t>
    <phoneticPr fontId="3" type="noConversion"/>
  </si>
  <si>
    <t>衝浪選手</t>
    <phoneticPr fontId="3" type="noConversion"/>
  </si>
  <si>
    <t>跳水選手</t>
    <phoneticPr fontId="3" type="noConversion"/>
  </si>
  <si>
    <t>選手</t>
    <phoneticPr fontId="3" type="noConversion"/>
  </si>
  <si>
    <t>導覽解說員(室外)</t>
  </si>
  <si>
    <t>導覽解說員(室內)</t>
  </si>
  <si>
    <t>03030081</t>
  </si>
  <si>
    <r>
      <rPr>
        <sz val="14"/>
        <rFont val="標楷體"/>
        <family val="4"/>
        <charset val="136"/>
      </rPr>
      <t>代</t>
    </r>
    <r>
      <rPr>
        <sz val="14"/>
        <rFont val="Times New Roman"/>
        <family val="1"/>
      </rPr>
      <t xml:space="preserve"> </t>
    </r>
    <r>
      <rPr>
        <sz val="14"/>
        <rFont val="標楷體"/>
        <family val="4"/>
        <charset val="136"/>
      </rPr>
      <t>碼</t>
    </r>
  </si>
  <si>
    <r>
      <rPr>
        <sz val="14"/>
        <rFont val="標楷體"/>
        <family val="4"/>
        <charset val="136"/>
      </rPr>
      <t>適用特別費率</t>
    </r>
    <phoneticPr fontId="3" type="noConversion"/>
  </si>
  <si>
    <t>所有作業人員</t>
    <phoneticPr fontId="5" type="noConversion"/>
  </si>
  <si>
    <t>04030011</t>
  </si>
  <si>
    <t>潛水人員</t>
  </si>
  <si>
    <t>計程車行、貨運行、貨櫃業之負責人（不參與駕駛者）</t>
  </si>
  <si>
    <t>計程車司機、多元計程車司機(含UBER司機)</t>
  </si>
  <si>
    <t>自用貨車司機、隨車人員、小型自用貨車司機</t>
  </si>
  <si>
    <t>櫃檯售票員</t>
  </si>
  <si>
    <t>營業用貨車隨車人員</t>
  </si>
  <si>
    <t>搬運、搬家工人司機、隨車人員</t>
  </si>
  <si>
    <t>砂石車司機、隨車人員</t>
  </si>
  <si>
    <t>工程卡車司機、隨車人員</t>
  </si>
  <si>
    <t>液化、氣化、油罐車司機、隨車人員</t>
  </si>
  <si>
    <t>貨櫃車司機、隨車人員</t>
  </si>
  <si>
    <t>靈車司機、靈車隨車人員、靈柩搬運人員</t>
  </si>
  <si>
    <t>快遞司機 (貨車）、物流公司司機(貨車)</t>
  </si>
  <si>
    <t>快遞司機(機車)、物流公司司機(機車)</t>
  </si>
  <si>
    <t>救護車司機、救護車隨車人員</t>
  </si>
  <si>
    <t>混凝土預拌車司機、隨車人員</t>
  </si>
  <si>
    <t>聯結車司機、隨車人員</t>
  </si>
  <si>
    <t>吊車司機、隨車人員</t>
  </si>
  <si>
    <t>曳引車司機、隨車人員</t>
  </si>
  <si>
    <t>送外賣機車或自行車駕駛、外送平台外送員</t>
  </si>
  <si>
    <t>遊覽車車上銷售員</t>
  </si>
  <si>
    <t>代駕人員</t>
  </si>
  <si>
    <t>復康巴士司機</t>
  </si>
  <si>
    <t>05010470</t>
  </si>
  <si>
    <t>05010480</t>
  </si>
  <si>
    <t>05010490</t>
  </si>
  <si>
    <t>服務臺人員、站務人員</t>
  </si>
  <si>
    <t>行李搬運人員</t>
  </si>
  <si>
    <t>貨運：搬運人員</t>
  </si>
  <si>
    <t>05020250</t>
  </si>
  <si>
    <t>外務員</t>
  </si>
  <si>
    <t>05020260</t>
  </si>
  <si>
    <t>志工</t>
  </si>
  <si>
    <t>05030370</t>
  </si>
  <si>
    <t>內勤工作人員(陸地)</t>
  </si>
  <si>
    <t>行李貨運搬運人員</t>
  </si>
  <si>
    <t>清潔人員（高牆或天花板）</t>
  </si>
  <si>
    <t>跑道維護人員</t>
  </si>
  <si>
    <t>機場櫃檯人員</t>
  </si>
  <si>
    <t>05040300</t>
  </si>
  <si>
    <t>無人機工程師</t>
  </si>
  <si>
    <t>06010090</t>
  </si>
  <si>
    <t>旅行社負責人</t>
  </si>
  <si>
    <t>旅館業負責人</t>
  </si>
  <si>
    <t>清潔人員</t>
  </si>
  <si>
    <t>負責人、經理人員、店長</t>
  </si>
  <si>
    <t>櫃檯人員</t>
  </si>
  <si>
    <t>洗碗人員</t>
  </si>
  <si>
    <t>調酒師、品酒師</t>
  </si>
  <si>
    <t>06030220</t>
  </si>
  <si>
    <t>美食評論家</t>
  </si>
  <si>
    <t>06030230</t>
  </si>
  <si>
    <t>冰雕人員</t>
  </si>
  <si>
    <t>內勤工作人員、工地售屋人員(不包含引導參觀工地)</t>
  </si>
  <si>
    <t>泥水匠、混凝土混合機操作員</t>
  </si>
  <si>
    <t>鋁門窗裝修人員、鐵門窗裝修人員</t>
  </si>
  <si>
    <t>拆屋、遷屋人員、違建拆除大隊</t>
  </si>
  <si>
    <t>寺廟或教堂彩繪人員</t>
  </si>
  <si>
    <t>大樓玻璃帷幕安裝、空中吊車操作人員</t>
  </si>
  <si>
    <t>工地清潔人員</t>
  </si>
  <si>
    <t>07010500</t>
  </si>
  <si>
    <t>工地福利社負責人及銷售人員</t>
  </si>
  <si>
    <t>07010510</t>
  </si>
  <si>
    <t>邊坡工人</t>
  </si>
  <si>
    <t>07010520</t>
  </si>
  <si>
    <t>燈塔技工</t>
  </si>
  <si>
    <t>07010530</t>
  </si>
  <si>
    <t>太陽能板安裝人員</t>
  </si>
  <si>
    <t>07010540</t>
  </si>
  <si>
    <t>天車操作人員(機房)</t>
  </si>
  <si>
    <t>07010541</t>
  </si>
  <si>
    <t>天車操作人員(現場)</t>
  </si>
  <si>
    <t>維護工人、修路工人、舖柏油工人、馬路景觀工作人員</t>
  </si>
  <si>
    <t>07030090</t>
  </si>
  <si>
    <t>一般行政人員(文書/採購)</t>
  </si>
  <si>
    <t>安裝工人</t>
  </si>
  <si>
    <t>室內裝潢人員</t>
  </si>
  <si>
    <t>室外裝潢人員</t>
  </si>
  <si>
    <r>
      <t xml:space="preserve">0705  </t>
    </r>
    <r>
      <rPr>
        <sz val="14"/>
        <rFont val="標楷體"/>
        <family val="4"/>
        <charset val="136"/>
      </rPr>
      <t>裝潢業</t>
    </r>
    <phoneticPr fontId="3" type="noConversion"/>
  </si>
  <si>
    <t>鋼鐵場技師</t>
  </si>
  <si>
    <t>鋼鐵場工程師</t>
  </si>
  <si>
    <t>鋼鐵場負責人(不需到現場)</t>
  </si>
  <si>
    <t>鋼鐵場負責人(需現場指導或實際參與工作)、廠長</t>
  </si>
  <si>
    <t>鋼鐵場品管人員</t>
  </si>
  <si>
    <t>08010090</t>
  </si>
  <si>
    <t>鋼鐵場製模工</t>
  </si>
  <si>
    <t>08010100</t>
  </si>
  <si>
    <t>鋼鐵場起重機操作人員</t>
  </si>
  <si>
    <t>08010110</t>
  </si>
  <si>
    <t>08010120</t>
  </si>
  <si>
    <t>一般外勤人員(業務/採購)</t>
  </si>
  <si>
    <t>08020121</t>
  </si>
  <si>
    <t>銑床工(全自動)</t>
  </si>
  <si>
    <t>鐵工廠、機械廠品管人員或工安人員</t>
  </si>
  <si>
    <t>08020430</t>
  </si>
  <si>
    <t>鐵工廠、機械場負責人（不需到現場）</t>
  </si>
  <si>
    <t>鐵工廠、機械場負責人（需現場指導或實際參與工作）、廠長</t>
  </si>
  <si>
    <t>08020440</t>
  </si>
  <si>
    <t>08020450</t>
  </si>
  <si>
    <t>電子業工程師</t>
  </si>
  <si>
    <t>電子業技師</t>
  </si>
  <si>
    <t>裝配人員</t>
  </si>
  <si>
    <t>包裝人員</t>
  </si>
  <si>
    <t>電子業品管人員</t>
  </si>
  <si>
    <t>操作自動ＩＣ人員</t>
  </si>
  <si>
    <t>電子業負責人（不需到現場）</t>
  </si>
  <si>
    <t>電子業負責人（需現場指導或實際參與工作）</t>
  </si>
  <si>
    <t>08030190</t>
  </si>
  <si>
    <t>機器人工程師</t>
  </si>
  <si>
    <t>08030200</t>
  </si>
  <si>
    <t>半導體製品機械設備操作人員</t>
  </si>
  <si>
    <t>08030210</t>
  </si>
  <si>
    <t>08030220</t>
  </si>
  <si>
    <t>08030230</t>
  </si>
  <si>
    <t>電子業軟體工程師</t>
  </si>
  <si>
    <t>電機業工程師</t>
  </si>
  <si>
    <t>電機業技師</t>
  </si>
  <si>
    <t>電機業負責人（不需到現場）</t>
  </si>
  <si>
    <t>電機業負責人（需現場指導或實際參與工作）</t>
  </si>
  <si>
    <t>電機業品管人員</t>
  </si>
  <si>
    <t>08040160</t>
  </si>
  <si>
    <t>08040170</t>
  </si>
  <si>
    <t>08040180</t>
  </si>
  <si>
    <t>電機業軟體工程師</t>
  </si>
  <si>
    <t>塑膠、橡膠業工程師</t>
  </si>
  <si>
    <t>塑膠、橡膠業技師</t>
  </si>
  <si>
    <t>塑膠、橡膠業負責人（不需到現場）</t>
  </si>
  <si>
    <t>塑膠、橡膠業負責人（需現場指導或實際參與工作）</t>
  </si>
  <si>
    <t>塑膠、橡膠業品管人員</t>
  </si>
  <si>
    <t>08050150</t>
  </si>
  <si>
    <t>08050160</t>
  </si>
  <si>
    <t>水泥業工程師</t>
  </si>
  <si>
    <t>水泥業技師</t>
  </si>
  <si>
    <t>08060080</t>
  </si>
  <si>
    <t>水泥業負責人（不需到現場）</t>
  </si>
  <si>
    <t>08060081</t>
  </si>
  <si>
    <t>水泥業負責人（需現場指導或實際參與工作）、廠長</t>
  </si>
  <si>
    <t>化學原料業工程師</t>
  </si>
  <si>
    <t>化學原料業技師</t>
  </si>
  <si>
    <t>08070140</t>
  </si>
  <si>
    <t>廠區行政人員</t>
  </si>
  <si>
    <t>08070150</t>
  </si>
  <si>
    <t>08070160</t>
  </si>
  <si>
    <t>08070170</t>
  </si>
  <si>
    <t>調香師(香氛類)</t>
  </si>
  <si>
    <t>08070180</t>
  </si>
  <si>
    <t>藥品研發人員</t>
  </si>
  <si>
    <t>汽機車、自行車製造及修理業工程師</t>
  </si>
  <si>
    <t>汽機車、自行車製造及修理業技師</t>
  </si>
  <si>
    <t>汽機車、自行車製造及修理業負責人（不需到現場）</t>
  </si>
  <si>
    <t>汽機車、自行車製造及修理業負責人（需現場指導或實際參與工作）</t>
  </si>
  <si>
    <t>汽機車、自行車製造及修理業品管人員</t>
  </si>
  <si>
    <t>08090131</t>
  </si>
  <si>
    <t>汽車美容裝潢人員(包含改車)</t>
  </si>
  <si>
    <t>08090170</t>
  </si>
  <si>
    <t>08090180</t>
  </si>
  <si>
    <t>紡織及成衣業工程師</t>
  </si>
  <si>
    <t>紡織及成衣業技師</t>
  </si>
  <si>
    <t>紡織及成衣業負責人（不需到現場）</t>
  </si>
  <si>
    <t>紡織及成衣業負責人（需現場指導或實際參與工作）</t>
  </si>
  <si>
    <t>紡織及成衣業品管人員</t>
  </si>
  <si>
    <t>造紙工業技師</t>
  </si>
  <si>
    <t>紙箱包裝人員</t>
  </si>
  <si>
    <t>紙盒黏貼人員</t>
  </si>
  <si>
    <t>造紙工業品管人員</t>
  </si>
  <si>
    <t>傢俱製造業技師</t>
  </si>
  <si>
    <t>傢俱製造業品管人員</t>
  </si>
  <si>
    <t>08120120</t>
  </si>
  <si>
    <t>08120130</t>
  </si>
  <si>
    <t>竹木製手工藝品之加工人員</t>
  </si>
  <si>
    <t>金屬手工藝品之加工人員</t>
  </si>
  <si>
    <t>布類紙品工藝品之加工人員</t>
  </si>
  <si>
    <t>礦石手工藝品加工人員、玻璃手工藝品製造人員</t>
  </si>
  <si>
    <t>珠寶加工人員</t>
  </si>
  <si>
    <t>皮革手工藝品加工人員</t>
  </si>
  <si>
    <t>電線電纜業技師</t>
  </si>
  <si>
    <t>電線電纜業工人</t>
  </si>
  <si>
    <t>食品及飲料製造業技師</t>
  </si>
  <si>
    <t>製麵人員</t>
  </si>
  <si>
    <t>食品飲料製造業品管人員</t>
  </si>
  <si>
    <t>食品加工人員</t>
  </si>
  <si>
    <t>08150150</t>
  </si>
  <si>
    <t>08150160</t>
  </si>
  <si>
    <t>08150170</t>
  </si>
  <si>
    <t>食品檢驗人員</t>
  </si>
  <si>
    <t>家電製造業技師</t>
  </si>
  <si>
    <t>2</t>
    <phoneticPr fontId="1" type="noConversion"/>
  </si>
  <si>
    <t>08160081</t>
  </si>
  <si>
    <t>家電製造業品管人員</t>
  </si>
  <si>
    <t>08160140</t>
  </si>
  <si>
    <t>08160150</t>
  </si>
  <si>
    <t xml:space="preserve">玻璃及琉璃製造業品管人員 、工安人員                   </t>
  </si>
  <si>
    <t xml:space="preserve">玻璃及琉璃製造業技師                                 </t>
  </si>
  <si>
    <t>08170050</t>
  </si>
  <si>
    <t>眼鏡鏡片染色人員</t>
  </si>
  <si>
    <t xml:space="preserve">皮革製品製造業技師、品管人員                      </t>
  </si>
  <si>
    <t>皮革製品製造業製造工人</t>
  </si>
  <si>
    <t>木雕師</t>
  </si>
  <si>
    <t>08190110</t>
  </si>
  <si>
    <t>各式球類製造(不包含高爾夫球、乒乓球製造)</t>
  </si>
  <si>
    <t>08200010</t>
  </si>
  <si>
    <t>製藥廠工作人員</t>
  </si>
  <si>
    <t>08200020</t>
  </si>
  <si>
    <t>製藥廠品管員、技師</t>
  </si>
  <si>
    <t>08200030</t>
  </si>
  <si>
    <t>實驗室研究人員、研發人員</t>
  </si>
  <si>
    <t>08200040</t>
  </si>
  <si>
    <t>生產製造人員</t>
  </si>
  <si>
    <t>08200050</t>
  </si>
  <si>
    <t>生技醫療業品管人員</t>
  </si>
  <si>
    <r>
      <t>0820</t>
    </r>
    <r>
      <rPr>
        <sz val="14"/>
        <rFont val="標楷體"/>
        <family val="4"/>
        <charset val="136"/>
      </rPr>
      <t>生技醫療業</t>
    </r>
    <phoneticPr fontId="5" type="noConversion"/>
  </si>
  <si>
    <t>排版、製版人員</t>
  </si>
  <si>
    <t>電腦排版人員</t>
  </si>
  <si>
    <t>裝訂人員</t>
  </si>
  <si>
    <t>印刷機械操作人員</t>
  </si>
  <si>
    <t>09020090</t>
  </si>
  <si>
    <t>廣告宣傳單發送人員</t>
  </si>
  <si>
    <t>一般醫師</t>
  </si>
  <si>
    <t>一般護理人員(護士、護理師)</t>
  </si>
  <si>
    <t>一般藥劑師</t>
  </si>
  <si>
    <t>精神病科醫師</t>
  </si>
  <si>
    <t>精神病科護理人員(護士、護理師)</t>
  </si>
  <si>
    <t>精神病科看護</t>
  </si>
  <si>
    <t>一般看護人員、基層照服員</t>
  </si>
  <si>
    <t>10010100</t>
  </si>
  <si>
    <t>呼吸治療師</t>
  </si>
  <si>
    <t>10010110</t>
  </si>
  <si>
    <t>醫院傳送員</t>
  </si>
  <si>
    <t>病房助理員</t>
  </si>
  <si>
    <t>心理專業人員(含諮商人員)</t>
  </si>
  <si>
    <t>營養師、健康管理顧問</t>
  </si>
  <si>
    <t>醫院志工、社工(不須外出訪視)</t>
  </si>
  <si>
    <t>醫院志工、社工(須外出訪視)</t>
  </si>
  <si>
    <t>10020130</t>
  </si>
  <si>
    <t>法醫</t>
  </si>
  <si>
    <t>10020140</t>
  </si>
  <si>
    <t>長照管理師、照護系統整合管理師</t>
  </si>
  <si>
    <t>長照中心、安養中心護理人員(護士、護理師)</t>
  </si>
  <si>
    <t>長照中心、安養中心行政人員</t>
  </si>
  <si>
    <t>長照中心、安養中心照護人員</t>
  </si>
  <si>
    <t>生理訊號工程師</t>
  </si>
  <si>
    <t>居家看護(長照看護)、居家照服人員、居家月子嫂</t>
  </si>
  <si>
    <t>泌乳師</t>
  </si>
  <si>
    <t>影片商、系統商、頻道商(負責人)</t>
  </si>
  <si>
    <t>影片商、系統商、頻道商(一般員工)</t>
  </si>
  <si>
    <t>11010021</t>
  </si>
  <si>
    <t>11010041</t>
  </si>
  <si>
    <t>網紅(含Youtuber)、網路直播人員</t>
  </si>
  <si>
    <t>播音、錄音、配音人員(在錄音室內)</t>
  </si>
  <si>
    <t>11010270</t>
  </si>
  <si>
    <t>電影、電視公司外務員(不從事現場作業)</t>
  </si>
  <si>
    <t>11010280</t>
  </si>
  <si>
    <t>電視購物主持人、數位購物導覽員、網拍人員、代購人員</t>
  </si>
  <si>
    <t>高爾夫球場維護工人</t>
  </si>
  <si>
    <t>保齡球館負責人</t>
  </si>
  <si>
    <t>撞球場負責人</t>
  </si>
  <si>
    <t>11040030</t>
  </si>
  <si>
    <t>撞球場維護工人</t>
  </si>
  <si>
    <t>11040040</t>
  </si>
  <si>
    <t>撞球場櫃檯人員</t>
  </si>
  <si>
    <t>11040050</t>
  </si>
  <si>
    <t>撞球場清潔人員</t>
  </si>
  <si>
    <t>游泳池負責人</t>
  </si>
  <si>
    <t>11050060</t>
  </si>
  <si>
    <t>游泳池維護工人</t>
  </si>
  <si>
    <t>11050070</t>
  </si>
  <si>
    <t>游泳池清潔人員</t>
  </si>
  <si>
    <t>海水浴場負責人</t>
  </si>
  <si>
    <t>11060050</t>
  </si>
  <si>
    <t>海水浴場維護工人</t>
  </si>
  <si>
    <t>11060060</t>
  </si>
  <si>
    <t>海水浴場清潔人員</t>
  </si>
  <si>
    <t>其他遊樂園(包括動物園)負責人</t>
  </si>
  <si>
    <t>一般清潔人員</t>
  </si>
  <si>
    <t>獸欄清潔人員</t>
  </si>
  <si>
    <t>11070140</t>
  </si>
  <si>
    <t>電動遊戲店或網咖之負責人</t>
  </si>
  <si>
    <t>11070150</t>
  </si>
  <si>
    <t>觀光地區志工、導覽人員</t>
  </si>
  <si>
    <t>演藝經紀人、網紅(含youtuber)經紀人</t>
  </si>
  <si>
    <t>11080180</t>
  </si>
  <si>
    <t>樂器教學老師</t>
  </si>
  <si>
    <t>11080190</t>
  </si>
  <si>
    <t>podcaster播客</t>
  </si>
  <si>
    <t>11080200</t>
  </si>
  <si>
    <t>街頭藝人(特技雜耍類)</t>
  </si>
  <si>
    <t>11080201</t>
  </si>
  <si>
    <t>街頭藝人(非特技雜耍類)</t>
  </si>
  <si>
    <t>咖啡廳工作人員(特種營業)</t>
  </si>
  <si>
    <t>特種營業負責人</t>
  </si>
  <si>
    <t>賭場工作人員(荷官)</t>
  </si>
  <si>
    <t>11100010</t>
  </si>
  <si>
    <t>線上遊戲業負責人</t>
  </si>
  <si>
    <t>11100020</t>
  </si>
  <si>
    <t>線上遊戲業資訊工程師</t>
  </si>
  <si>
    <t>遊戲數值企劃師</t>
  </si>
  <si>
    <t>線上遊戲業行政工作人員(於辦公室內且完全不參與勞務者)</t>
  </si>
  <si>
    <t>線上遊戲業外勤業務人員</t>
  </si>
  <si>
    <t>電競人員</t>
  </si>
  <si>
    <t>電競教練</t>
  </si>
  <si>
    <t>健身房、有氧運動教練、體適能培訓師</t>
  </si>
  <si>
    <t>12010110</t>
  </si>
  <si>
    <t>線上(互動)教師</t>
  </si>
  <si>
    <t>12010120</t>
  </si>
  <si>
    <t>基金會行政人員</t>
  </si>
  <si>
    <t>12020090</t>
  </si>
  <si>
    <t>職業棋士</t>
  </si>
  <si>
    <t>12020100</t>
  </si>
  <si>
    <t>財團法人、社團法人文教團體之董/監事、總經理</t>
  </si>
  <si>
    <t>12020110</t>
  </si>
  <si>
    <t>翻譯人員</t>
  </si>
  <si>
    <t>僧尼、道士、法師及傳教人員</t>
  </si>
  <si>
    <t>13000090</t>
  </si>
  <si>
    <t>財團法人、社團法人宗教團體之董/監事、總經理</t>
  </si>
  <si>
    <t>電信及電力設計工程師（含現場監工）</t>
  </si>
  <si>
    <t>自來水水利工程師</t>
  </si>
  <si>
    <t>瓦斯業工程師</t>
  </si>
  <si>
    <t>環境保護技師</t>
  </si>
  <si>
    <t>道路清潔人員</t>
  </si>
  <si>
    <t>下水道清潔人員</t>
  </si>
  <si>
    <t>環境噴灑人員</t>
  </si>
  <si>
    <t>14050170</t>
  </si>
  <si>
    <t>環境衛生管理師</t>
  </si>
  <si>
    <t>14050180</t>
  </si>
  <si>
    <t>廢土場負責人</t>
  </si>
  <si>
    <t>14070010</t>
  </si>
  <si>
    <t>風塔維修人員</t>
  </si>
  <si>
    <t>14070020</t>
  </si>
  <si>
    <t>離岸風塔維修人員</t>
  </si>
  <si>
    <t>風塔維修訓練人員</t>
  </si>
  <si>
    <t>風力發電廠工作人員</t>
  </si>
  <si>
    <t>風力發電廠架設人員</t>
  </si>
  <si>
    <t>風電發電廠設計工程師</t>
  </si>
  <si>
    <r>
      <t>1407</t>
    </r>
    <r>
      <rPr>
        <sz val="14"/>
        <rFont val="標楷體"/>
        <family val="4"/>
        <charset val="136"/>
      </rPr>
      <t>風力發電產業</t>
    </r>
    <phoneticPr fontId="5" type="noConversion"/>
  </si>
  <si>
    <t>古董商（負責人）</t>
  </si>
  <si>
    <t>古董商(行)一般員工</t>
  </si>
  <si>
    <t>15000031</t>
  </si>
  <si>
    <t>食品飲料商、茶葉商</t>
  </si>
  <si>
    <t>化學原料商、肥料買賣商、農藥買賣商</t>
  </si>
  <si>
    <t>瓦斯器具商負責人</t>
  </si>
  <si>
    <t>瓦斯器具商店員</t>
  </si>
  <si>
    <t>瓦斯器具商送貨員</t>
  </si>
  <si>
    <t>瓦斯器具商裝設工</t>
  </si>
  <si>
    <t>液化瓦斯零售商負責人</t>
  </si>
  <si>
    <t>液化瓦斯零售商店員</t>
  </si>
  <si>
    <t>液化瓦斯零售商送貨員</t>
  </si>
  <si>
    <t>液化瓦斯零售商瓦斯分裝工</t>
  </si>
  <si>
    <t>超市、便利商店店員、藥妝店服務人員</t>
  </si>
  <si>
    <t>大型超市量販店買賣/理貨人員(需操作堆高機等機械)</t>
  </si>
  <si>
    <t>銀樓商(負責人)</t>
  </si>
  <si>
    <t>銀樓一般員工</t>
  </si>
  <si>
    <t>15000421</t>
  </si>
  <si>
    <t>15000431</t>
  </si>
  <si>
    <t>15000441</t>
  </si>
  <si>
    <t>珠寶商(負責人)、珠寶公司負責人</t>
  </si>
  <si>
    <t>15000451</t>
  </si>
  <si>
    <t>當鋪一般內勤員工</t>
  </si>
  <si>
    <t>當鋪外勤業務</t>
  </si>
  <si>
    <t>15000471</t>
  </si>
  <si>
    <t>檳榔商(攤)一般員工</t>
  </si>
  <si>
    <t>廢五金買賣商(不負責處理)</t>
  </si>
  <si>
    <t>15000510</t>
  </si>
  <si>
    <t>軍火商</t>
  </si>
  <si>
    <t>15000520</t>
  </si>
  <si>
    <t>鐘錶商(負責人)</t>
  </si>
  <si>
    <t>15000521</t>
  </si>
  <si>
    <t>鐘錶商(行)一般員工</t>
  </si>
  <si>
    <t>15000530</t>
  </si>
  <si>
    <t>彩券販售(有店面)</t>
  </si>
  <si>
    <t>15000531</t>
  </si>
  <si>
    <t>彩券販售(無店面)</t>
  </si>
  <si>
    <t>15000540</t>
  </si>
  <si>
    <t>藝術品拍賣業負責人</t>
  </si>
  <si>
    <t>15000550</t>
  </si>
  <si>
    <t>藝術品拍賣業行政工作人員(於辦公室內且完全不參與勞務者)</t>
  </si>
  <si>
    <t>15000560</t>
  </si>
  <si>
    <t>藝術品拍賣外勤業務人員</t>
  </si>
  <si>
    <t>虛擬資產業負責人</t>
  </si>
  <si>
    <t>虛擬資產業行政工作人員(於辦公室內且完全不參與勞務者)</t>
  </si>
  <si>
    <t>虛擬資產業外勤業務人員</t>
  </si>
  <si>
    <t>15000600</t>
  </si>
  <si>
    <t>百貨公司工作人員(櫃檯人員、服務台、樓管、行政人員、專櫃人員)</t>
  </si>
  <si>
    <t>夾娃娃機台主</t>
  </si>
  <si>
    <t>15000620</t>
  </si>
  <si>
    <t>石化燃料貿易商負責人</t>
  </si>
  <si>
    <t>檳榔商(負責人)</t>
  </si>
  <si>
    <t>當鋪商(負責人)</t>
  </si>
  <si>
    <t>16010060</t>
  </si>
  <si>
    <t>金融機構（銀行、合作社）駐衛警</t>
  </si>
  <si>
    <t>16010070</t>
  </si>
  <si>
    <t>銀行、保險、信託、租賃業公司負責人</t>
  </si>
  <si>
    <t>顧問服務業公司負責人</t>
  </si>
  <si>
    <t>金融業電話行銷人員</t>
  </si>
  <si>
    <t>證券、投資、信託公司內勤人員</t>
  </si>
  <si>
    <t>票券公司內勤人員</t>
  </si>
  <si>
    <t>票券公司業務外勤人員</t>
  </si>
  <si>
    <t>理財、管理顧問公司內勤人員</t>
  </si>
  <si>
    <t>理財、管理顧問公司業務外勤人員</t>
  </si>
  <si>
    <t>16020070</t>
  </si>
  <si>
    <t>記帳士、記帳及報稅代理人</t>
  </si>
  <si>
    <t>16020080</t>
  </si>
  <si>
    <t>專業投資人、理財顧問、投資公司負責人</t>
  </si>
  <si>
    <t>16020090</t>
  </si>
  <si>
    <t>人力仲介</t>
  </si>
  <si>
    <t>16020100</t>
  </si>
  <si>
    <t>房屋仲介公司行政人員</t>
  </si>
  <si>
    <t>16020110</t>
  </si>
  <si>
    <t>預售屋房屋代銷人員</t>
  </si>
  <si>
    <t>16020120</t>
  </si>
  <si>
    <t>遺物清理師、家庭收納師、雜物整理師</t>
  </si>
  <si>
    <t>16020130</t>
  </si>
  <si>
    <t>新娘秘書</t>
  </si>
  <si>
    <t>16020140</t>
  </si>
  <si>
    <t>美甲師</t>
  </si>
  <si>
    <t>16030011</t>
  </si>
  <si>
    <t>公證人(內勤)</t>
  </si>
  <si>
    <t>16030012</t>
  </si>
  <si>
    <t>公證人(外勤)</t>
  </si>
  <si>
    <t>寵物美容師、溝通師、寵物褓姆、寵物用品店店員</t>
  </si>
  <si>
    <t>洗衣店人員</t>
  </si>
  <si>
    <t>警衛、保全人員、港口警衛及安全人員、機場警衛及安全人員（負有巡邏押運任務者）</t>
  </si>
  <si>
    <t>攝影師(無外拍)</t>
  </si>
  <si>
    <t>攝影師(有外拍)</t>
  </si>
  <si>
    <t>16030111</t>
  </si>
  <si>
    <t>清潔、打蠟、消毒、除蟲人員</t>
  </si>
  <si>
    <t>高樓外部清潔人員</t>
  </si>
  <si>
    <t>煙囪清潔人員</t>
  </si>
  <si>
    <t>三溫暖業櫃檯人員</t>
  </si>
  <si>
    <t>汽車洗車、打臘美容人員</t>
  </si>
  <si>
    <t>搬家人員</t>
  </si>
  <si>
    <t>保全設備裝設人員、大樓機電人員</t>
  </si>
  <si>
    <t>水電工</t>
  </si>
  <si>
    <t>紋身藝術人員、刺青師</t>
  </si>
  <si>
    <t>民意代表、監立委、省縣市議員、外交人員</t>
  </si>
  <si>
    <t>16030380</t>
  </si>
  <si>
    <t>直銷商、傳銷商</t>
  </si>
  <si>
    <t>16030390</t>
  </si>
  <si>
    <t>民意代表助理</t>
  </si>
  <si>
    <t>形象管理師</t>
  </si>
  <si>
    <t>市場調查人員</t>
  </si>
  <si>
    <t>電訪/電銷人員</t>
  </si>
  <si>
    <t>芳療師</t>
  </si>
  <si>
    <t>冷氣、洗衣機清洗人員</t>
  </si>
  <si>
    <t>保全公司負責人</t>
  </si>
  <si>
    <t>按摩師(腳底按摩、推拿)</t>
  </si>
  <si>
    <t>大樓管理總幹事、行政人員</t>
  </si>
  <si>
    <t>16050010</t>
  </si>
  <si>
    <t>第三方支付服務業、電子票證業、電子支付業、外籍移工匯兌業虛擬通貨平台及交易服務業公司負責人</t>
  </si>
  <si>
    <t>16050020</t>
  </si>
  <si>
    <t>電子票證業、電子支付業、外籍移工匯兌業之公司負責人</t>
  </si>
  <si>
    <t>16050030</t>
  </si>
  <si>
    <t>16050040</t>
  </si>
  <si>
    <r>
      <t xml:space="preserve">1605 </t>
    </r>
    <r>
      <rPr>
        <sz val="14"/>
        <rFont val="標楷體"/>
        <family val="4"/>
        <charset val="136"/>
      </rPr>
      <t>電支、第三方支付服務業</t>
    </r>
    <r>
      <rPr>
        <sz val="14"/>
        <rFont val="Times New Roman"/>
        <family val="1"/>
      </rPr>
      <t>(</t>
    </r>
    <r>
      <rPr>
        <sz val="14"/>
        <rFont val="標楷體"/>
        <family val="4"/>
        <charset val="136"/>
      </rPr>
      <t>如：</t>
    </r>
    <r>
      <rPr>
        <sz val="14"/>
        <rFont val="Times New Roman"/>
        <family val="1"/>
      </rPr>
      <t>Line Pay</t>
    </r>
    <r>
      <rPr>
        <sz val="14"/>
        <rFont val="標楷體"/>
        <family val="4"/>
        <charset val="136"/>
      </rPr>
      <t>、綠界科技</t>
    </r>
    <r>
      <rPr>
        <sz val="14"/>
        <rFont val="Times New Roman"/>
        <family val="1"/>
      </rPr>
      <t>…</t>
    </r>
    <r>
      <rPr>
        <sz val="14"/>
        <rFont val="標楷體"/>
        <family val="4"/>
        <charset val="136"/>
      </rPr>
      <t>等</t>
    </r>
    <r>
      <rPr>
        <sz val="14"/>
        <rFont val="Times New Roman"/>
        <family val="1"/>
      </rPr>
      <t>)</t>
    </r>
    <phoneticPr fontId="5" type="noConversion"/>
  </si>
  <si>
    <t>17000060</t>
  </si>
  <si>
    <t>房東</t>
  </si>
  <si>
    <t>警察、警官、警員、電信警察、港警所警察（負有巡邏任務者）</t>
  </si>
  <si>
    <t>法官、檢察官</t>
  </si>
  <si>
    <t>18030011</t>
  </si>
  <si>
    <t>書記官</t>
  </si>
  <si>
    <t>軍校教官、軍訓教官</t>
  </si>
  <si>
    <t>軍用車駕駛人員</t>
  </si>
  <si>
    <t>資訊業維護工程師</t>
  </si>
  <si>
    <t>資訊業系統工程師</t>
  </si>
  <si>
    <t xml:space="preserve">資訊業銷售工程師 (內勤)     </t>
  </si>
  <si>
    <t xml:space="preserve">資訊業銷售工程師 (外務)     </t>
  </si>
  <si>
    <t>通信器材買賣商(負責人)</t>
  </si>
  <si>
    <t>通信器材買賣(行)一般員工</t>
  </si>
  <si>
    <t>通信器材維修人員(含3C維修)</t>
  </si>
  <si>
    <t>20000090</t>
  </si>
  <si>
    <t>智慧居家管理師、數位轉型專家、數位鑑識分析師、醫療AI資料科學家</t>
  </si>
  <si>
    <t>20000100</t>
  </si>
  <si>
    <t>AR(擴增實境)、VR（虛擬實境）、元宇宙工程師</t>
  </si>
  <si>
    <t>20000110</t>
  </si>
  <si>
    <t>社群網站小編</t>
  </si>
  <si>
    <t>21010011</t>
  </si>
  <si>
    <t>裁判</t>
  </si>
  <si>
    <t>21020011</t>
  </si>
  <si>
    <t>21030011</t>
  </si>
  <si>
    <t>21040011</t>
  </si>
  <si>
    <t>21190011</t>
  </si>
  <si>
    <t>裁判</t>
    <phoneticPr fontId="5" type="noConversion"/>
  </si>
  <si>
    <t>21270011</t>
  </si>
  <si>
    <t>21280011</t>
  </si>
  <si>
    <t>21290011</t>
  </si>
  <si>
    <t>適用特別費率</t>
    <phoneticPr fontId="5" type="noConversion"/>
  </si>
  <si>
    <t>21480011</t>
  </si>
  <si>
    <t>21490011</t>
  </si>
  <si>
    <t>21500011</t>
  </si>
  <si>
    <t>21510011</t>
  </si>
  <si>
    <t>21520011</t>
  </si>
  <si>
    <t>21530011</t>
  </si>
  <si>
    <t>21540011</t>
  </si>
  <si>
    <t>21550011</t>
  </si>
  <si>
    <t>21560011</t>
  </si>
  <si>
    <t>21570011</t>
  </si>
  <si>
    <t>21580011</t>
  </si>
  <si>
    <t>21590011</t>
  </si>
  <si>
    <t>21600011</t>
  </si>
  <si>
    <t>21610011</t>
  </si>
  <si>
    <t>21050011</t>
  </si>
  <si>
    <t>21060011</t>
  </si>
  <si>
    <t>21070011</t>
  </si>
  <si>
    <t>21080011</t>
  </si>
  <si>
    <t>21090011</t>
  </si>
  <si>
    <t>21100011</t>
  </si>
  <si>
    <t>21110011</t>
  </si>
  <si>
    <t>21120011</t>
  </si>
  <si>
    <t>21130011</t>
  </si>
  <si>
    <t>21140011</t>
  </si>
  <si>
    <t>21150011</t>
  </si>
  <si>
    <t>21160011</t>
  </si>
  <si>
    <t>21170011</t>
  </si>
  <si>
    <t>21180011</t>
  </si>
  <si>
    <t>21200011</t>
  </si>
  <si>
    <t>21210011</t>
  </si>
  <si>
    <t>21220011</t>
  </si>
  <si>
    <t>21230011</t>
  </si>
  <si>
    <t>21240011</t>
  </si>
  <si>
    <t>21250011</t>
  </si>
  <si>
    <t>21260011</t>
  </si>
  <si>
    <t>21300011</t>
  </si>
  <si>
    <t>21310011</t>
  </si>
  <si>
    <t>21320011</t>
  </si>
  <si>
    <t>21330011</t>
  </si>
  <si>
    <t>21340011</t>
  </si>
  <si>
    <t>21350011</t>
  </si>
  <si>
    <t>21360011</t>
  </si>
  <si>
    <t>21370011</t>
  </si>
  <si>
    <t>21380011</t>
  </si>
  <si>
    <t>21390011</t>
  </si>
  <si>
    <t>21400011</t>
  </si>
  <si>
    <t>21410011</t>
  </si>
  <si>
    <t>21420011</t>
  </si>
  <si>
    <t>21430011</t>
  </si>
  <si>
    <t>21440011</t>
  </si>
  <si>
    <t>21450011</t>
  </si>
  <si>
    <t>21460011</t>
  </si>
  <si>
    <t>21470011</t>
  </si>
  <si>
    <r>
      <rPr>
        <sz val="14"/>
        <rFont val="標楷體"/>
        <family val="4"/>
        <charset val="136"/>
      </rPr>
      <t>職</t>
    </r>
    <r>
      <rPr>
        <sz val="14"/>
        <rFont val="Times New Roman"/>
        <family val="1"/>
      </rPr>
      <t xml:space="preserve"> </t>
    </r>
    <r>
      <rPr>
        <sz val="14"/>
        <rFont val="標楷體"/>
        <family val="4"/>
        <charset val="136"/>
      </rPr>
      <t>業</t>
    </r>
    <r>
      <rPr>
        <sz val="14"/>
        <rFont val="Times New Roman"/>
        <family val="1"/>
      </rPr>
      <t xml:space="preserve"> </t>
    </r>
    <r>
      <rPr>
        <sz val="14"/>
        <rFont val="標楷體"/>
        <family val="4"/>
        <charset val="136"/>
      </rPr>
      <t>分</t>
    </r>
    <r>
      <rPr>
        <sz val="14"/>
        <rFont val="Times New Roman"/>
        <family val="1"/>
      </rPr>
      <t xml:space="preserve"> </t>
    </r>
    <r>
      <rPr>
        <sz val="14"/>
        <rFont val="標楷體"/>
        <family val="4"/>
        <charset val="136"/>
      </rPr>
      <t>類</t>
    </r>
    <phoneticPr fontId="3" type="noConversion"/>
  </si>
  <si>
    <r>
      <t xml:space="preserve">1110 </t>
    </r>
    <r>
      <rPr>
        <sz val="14"/>
        <rFont val="標楷體"/>
        <family val="4"/>
        <charset val="136"/>
      </rPr>
      <t>線上遊戲業</t>
    </r>
    <phoneticPr fontId="5" type="noConversion"/>
  </si>
  <si>
    <r>
      <rPr>
        <sz val="20"/>
        <rFont val="標楷體"/>
        <family val="4"/>
        <charset val="136"/>
      </rPr>
      <t>台灣地區傷害保險個人職業分類建議修正調查表</t>
    </r>
    <r>
      <rPr>
        <sz val="20"/>
        <rFont val="Times New Roman"/>
        <family val="1"/>
      </rPr>
      <t xml:space="preserve">                          </t>
    </r>
    <phoneticPr fontId="3" type="noConversion"/>
  </si>
  <si>
    <r>
      <t xml:space="preserve">2111  </t>
    </r>
    <r>
      <rPr>
        <sz val="14"/>
        <rFont val="標楷體"/>
        <family val="4"/>
        <charset val="136"/>
      </rPr>
      <t>民俗體育活</t>
    </r>
    <r>
      <rPr>
        <sz val="14"/>
        <rFont val="標楷體"/>
        <family val="4"/>
        <charset val="136"/>
      </rPr>
      <t>動</t>
    </r>
    <phoneticPr fontId="3" type="noConversion"/>
  </si>
  <si>
    <r>
      <t xml:space="preserve">2145  </t>
    </r>
    <r>
      <rPr>
        <sz val="14"/>
        <rFont val="標楷體"/>
        <family val="4"/>
        <charset val="136"/>
      </rPr>
      <t>汽車、機車、賽車</t>
    </r>
    <phoneticPr fontId="3" type="noConversion"/>
  </si>
  <si>
    <r>
      <rPr>
        <sz val="20"/>
        <rFont val="標楷體"/>
        <family val="4"/>
        <charset val="136"/>
      </rPr>
      <t>台灣地區傷害保險個人職業分類表</t>
    </r>
    <r>
      <rPr>
        <sz val="20"/>
        <rFont val="Times New Roman"/>
        <family val="1"/>
      </rPr>
      <t xml:space="preserve">                          </t>
    </r>
    <phoneticPr fontId="3" type="noConversion"/>
  </si>
  <si>
    <t>職業等級</t>
    <phoneticPr fontId="3" type="noConversion"/>
  </si>
  <si>
    <t>調降</t>
    <phoneticPr fontId="1" type="noConversion"/>
  </si>
  <si>
    <t>調升</t>
    <phoneticPr fontId="1" type="noConversion"/>
  </si>
  <si>
    <t>備註</t>
    <phoneticPr fontId="1" type="noConversion"/>
  </si>
  <si>
    <t>07010530</t>
    <phoneticPr fontId="1" type="noConversion"/>
  </si>
  <si>
    <t>拒保</t>
    <phoneticPr fontId="1" type="noConversion"/>
  </si>
  <si>
    <t>拒保</t>
    <phoneticPr fontId="1" type="noConversion"/>
  </si>
  <si>
    <t>07030080</t>
    <phoneticPr fontId="3" type="noConversion"/>
  </si>
  <si>
    <t>08090160</t>
    <phoneticPr fontId="3" type="noConversion"/>
  </si>
  <si>
    <t>14020081</t>
    <phoneticPr fontId="1" type="noConversion"/>
  </si>
  <si>
    <t>18030030</t>
    <phoneticPr fontId="1" type="noConversion"/>
  </si>
  <si>
    <t>18030040</t>
    <phoneticPr fontId="1" type="noConversion"/>
  </si>
  <si>
    <t>洗錢高風險</t>
    <phoneticPr fontId="1" type="noConversion"/>
  </si>
  <si>
    <t>洗錢高風險</t>
    <phoneticPr fontId="1" type="noConversion"/>
  </si>
  <si>
    <t>洗錢高風險</t>
    <phoneticPr fontId="1" type="noConversion"/>
  </si>
  <si>
    <t>洗錢高風險</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</si>
</sst>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2"/>
      <color theme="1"/>
      <name val="新細明體"/>
      <family val="2"/>
      <charset val="136"/>
      <scheme val="minor"/>
    </font>
    <font>
      <sz val="9"/>
      <name val="新細明體"/>
      <family val="2"/>
      <charset val="136"/>
      <scheme val="minor"/>
    </font>
    <font>
      <sz val="12"/>
      <color theme="1"/>
      <name val="新細明體"/>
      <family val="2"/>
      <scheme val="minor"/>
    </font>
    <font>
      <sz val="9"/>
      <name val="新細明體"/>
      <family val="1"/>
      <charset val="136"/>
    </font>
    <font>
      <b/>
      <sz val="14"/>
      <color theme="1"/>
      <name val="標楷體"/>
      <family val="4"/>
      <charset val="136"/>
    </font>
    <font>
      <sz val="9"/>
      <name val="新細明體"/>
      <family val="3"/>
      <charset val="136"/>
      <scheme val="minor"/>
    </font>
    <font>
      <b/>
      <sz val="14"/>
      <color theme="1"/>
      <name val="Times New Roman"/>
      <family val="1"/>
    </font>
    <font>
      <sz val="12"/>
      <color theme="1"/>
      <name val="Times New Roman"/>
      <family val="1"/>
    </font>
    <font>
      <sz val="12"/>
      <color theme="1"/>
      <name val="標楷體"/>
      <family val="4"/>
      <charset val="136"/>
    </font>
    <font>
      <b/>
      <sz val="14"/>
      <name val="Times New Roman"/>
      <family val="1"/>
    </font>
    <font>
      <b/>
      <sz val="14"/>
      <name val="標楷體"/>
      <family val="4"/>
      <charset val="136"/>
    </font>
    <font>
      <sz val="14"/>
      <name val="Times New Roman"/>
      <family val="1"/>
    </font>
    <font>
      <sz val="14"/>
      <name val="標楷體"/>
      <family val="4"/>
      <charset val="136"/>
    </font>
    <font>
      <b/>
      <u/>
      <sz val="14"/>
      <color rgb="FFFF0000"/>
      <name val="Times New Roman"/>
      <family val="1"/>
    </font>
    <font>
      <sz val="14"/>
      <color theme="1"/>
      <name val="標楷體"/>
      <family val="4"/>
      <charset val="136"/>
    </font>
    <font>
      <sz val="14"/>
      <color theme="1"/>
      <name val="Times New Roman"/>
      <family val="1"/>
    </font>
    <font>
      <b/>
      <sz val="14"/>
      <color rgb="FFFF0000"/>
      <name val="標楷體"/>
      <family val="4"/>
      <charset val="136"/>
    </font>
    <font>
      <b/>
      <u/>
      <sz val="14"/>
      <color rgb="FFFF0000"/>
      <name val="標楷體"/>
      <family val="4"/>
      <charset val="136"/>
    </font>
    <font>
      <b/>
      <sz val="14"/>
      <color rgb="FFFF0000"/>
      <name val="Times New Roman"/>
      <family val="1"/>
    </font>
    <font>
      <sz val="14"/>
      <color theme="1"/>
      <name val="Times New Roman"/>
      <family val="4"/>
      <charset val="136"/>
    </font>
    <font>
      <b/>
      <sz val="14"/>
      <color rgb="FF7030A0"/>
      <name val="Times New Roman"/>
      <family val="1"/>
    </font>
    <font>
      <b/>
      <strike/>
      <sz val="14"/>
      <color rgb="FFFF0000"/>
      <name val="Times New Roman"/>
      <family val="1"/>
    </font>
    <font>
      <b/>
      <strike/>
      <sz val="14"/>
      <color rgb="FFFF0000"/>
      <name val="標楷體"/>
      <family val="4"/>
      <charset val="136"/>
    </font>
    <font>
      <sz val="12"/>
      <name val="Times New Roman"/>
      <family val="1"/>
    </font>
    <font>
      <b/>
      <u/>
      <sz val="14"/>
      <color theme="1"/>
      <name val="Times New Roman"/>
      <family val="1"/>
    </font>
    <font>
      <b/>
      <sz val="14"/>
      <color indexed="8"/>
      <name val="Times New Roman"/>
      <family val="1"/>
    </font>
    <font>
      <sz val="14"/>
      <name val="Times New Roman"/>
      <family val="4"/>
      <charset val="136"/>
    </font>
    <font>
      <sz val="14"/>
      <color rgb="FF0070C0"/>
      <name val="Times New Roman"/>
      <family val="1"/>
    </font>
    <font>
      <b/>
      <sz val="14"/>
      <name val="Times New Roman"/>
      <family val="4"/>
      <charset val="136"/>
    </font>
    <font>
      <b/>
      <u/>
      <sz val="14"/>
      <color rgb="FF7030A0"/>
      <name val="Times New Roman"/>
      <family val="1"/>
    </font>
    <font>
      <b/>
      <u/>
      <sz val="14"/>
      <name val="Times New Roman"/>
      <family val="1"/>
    </font>
    <font>
      <sz val="12"/>
      <name val="新細明體"/>
      <family val="1"/>
      <charset val="136"/>
    </font>
    <font>
      <b/>
      <u/>
      <sz val="14"/>
      <color rgb="FFFF0000"/>
      <name val="Times New Roman"/>
      <family val="4"/>
      <charset val="136"/>
    </font>
    <font>
      <sz val="12"/>
      <color theme="1"/>
      <name val="新細明體"/>
      <family val="1"/>
      <charset val="136"/>
      <scheme val="minor"/>
    </font>
    <font>
      <b/>
      <u/>
      <sz val="14"/>
      <name val="標楷體"/>
      <family val="4"/>
      <charset val="136"/>
    </font>
    <font>
      <b/>
      <sz val="14"/>
      <color rgb="FF0070C0"/>
      <name val="Times New Roman"/>
      <family val="1"/>
    </font>
    <font>
      <sz val="12"/>
      <name val="標楷體"/>
      <family val="4"/>
      <charset val="136"/>
    </font>
    <font>
      <sz val="20"/>
      <name val="Times New Roman"/>
      <family val="4"/>
      <charset val="136"/>
    </font>
    <font>
      <sz val="20"/>
      <name val="標楷體"/>
      <family val="4"/>
      <charset val="136"/>
    </font>
    <font>
      <sz val="20"/>
      <name val="Times New Roman"/>
      <family val="1"/>
    </font>
    <font>
      <sz val="12"/>
      <color rgb="FFFF0000"/>
      <name val="標楷體"/>
      <family val="4"/>
      <charset val="136"/>
    </font>
    <font>
      <b/>
      <sz val="12"/>
      <color theme="1"/>
      <name val="微軟正黑體"/>
      <family val="2"/>
      <charset val="136"/>
    </font>
    <font>
      <sz val="14"/>
      <color rgb="FFFF0000"/>
      <name val="Times New Roman"/>
      <family val="1"/>
    </font>
    <font>
      <b/>
      <sz val="12"/>
      <color rgb="FFFF0000"/>
      <name val="微軟正黑體"/>
      <family val="2"/>
      <charset val="136"/>
    </font>
  </fonts>
  <fills count="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indexed="9"/>
        <bgColor indexed="64"/>
      </patternFill>
    </fill>
    <fill>
      <patternFill patternType="solid">
        <fgColor rgb="FFFFFF00"/>
        <bgColor indexed="64"/>
      </patternFill>
    </fill>
    <fill>
      <patternFill patternType="solid">
        <fgColor rgb="FFFFC000"/>
        <bgColor indexed="64"/>
      </patternFill>
    </fill>
  </fills>
  <borders count="153">
    <border>
      <left/>
      <right/>
      <top/>
      <bottom/>
      <diagonal/>
    </border>
    <border>
      <left/>
      <right style="medium">
        <color indexed="64"/>
      </right>
      <top/>
      <bottom/>
      <diagonal/>
    </border>
    <border>
      <left/>
      <right/>
      <top/>
      <bottom style="medium">
        <color auto="1"/>
      </bottom>
      <diagonal/>
    </border>
    <border>
      <left/>
      <right style="medium">
        <color indexed="64"/>
      </right>
      <top/>
      <bottom style="medium">
        <color auto="1"/>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right style="medium">
        <color indexed="64"/>
      </right>
      <top/>
      <bottom style="double">
        <color indexed="64"/>
      </bottom>
      <diagonal/>
    </border>
    <border>
      <left style="medium">
        <color indexed="64"/>
      </left>
      <right style="medium">
        <color indexed="64"/>
      </right>
      <top/>
      <bottom style="double">
        <color indexed="64"/>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dotted">
        <color indexed="64"/>
      </bottom>
      <diagonal/>
    </border>
    <border>
      <left style="thin">
        <color indexed="64"/>
      </left>
      <right/>
      <top style="double">
        <color indexed="64"/>
      </top>
      <bottom style="dotted">
        <color indexed="64"/>
      </bottom>
      <diagonal/>
    </border>
    <border>
      <left style="medium">
        <color indexed="64"/>
      </left>
      <right style="medium">
        <color indexed="64"/>
      </right>
      <top style="double">
        <color indexed="64"/>
      </top>
      <bottom style="dashed">
        <color indexed="64"/>
      </bottom>
      <diagonal/>
    </border>
    <border>
      <left/>
      <right/>
      <top style="hair">
        <color auto="1"/>
      </top>
      <bottom style="hair">
        <color auto="1"/>
      </bottom>
      <diagonal/>
    </border>
    <border>
      <left style="thin">
        <color auto="1"/>
      </left>
      <right style="thin">
        <color auto="1"/>
      </right>
      <top/>
      <bottom style="hair">
        <color auto="1"/>
      </bottom>
      <diagonal/>
    </border>
    <border>
      <left style="thin">
        <color auto="1"/>
      </left>
      <right/>
      <top style="double">
        <color indexed="64"/>
      </top>
      <bottom style="hair">
        <color auto="1"/>
      </bottom>
      <diagonal/>
    </border>
    <border>
      <left style="thin">
        <color auto="1"/>
      </left>
      <right style="medium">
        <color auto="1"/>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dotted">
        <color indexed="64"/>
      </top>
      <bottom style="double">
        <color indexed="64"/>
      </bottom>
      <diagonal/>
    </border>
    <border>
      <left style="thin">
        <color indexed="64"/>
      </left>
      <right style="medium">
        <color indexed="64"/>
      </right>
      <top style="dotted">
        <color indexed="64"/>
      </top>
      <bottom style="double">
        <color indexed="64"/>
      </bottom>
      <diagonal/>
    </border>
    <border>
      <left style="medium">
        <color indexed="64"/>
      </left>
      <right style="medium">
        <color indexed="64"/>
      </right>
      <top style="dashed">
        <color indexed="64"/>
      </top>
      <bottom style="dashed">
        <color indexed="64"/>
      </bottom>
      <diagonal/>
    </border>
    <border>
      <left/>
      <right style="thin">
        <color auto="1"/>
      </right>
      <top style="hair">
        <color auto="1"/>
      </top>
      <bottom style="double">
        <color indexed="64"/>
      </bottom>
      <diagonal/>
    </border>
    <border>
      <left style="thin">
        <color auto="1"/>
      </left>
      <right style="thin">
        <color auto="1"/>
      </right>
      <top style="hair">
        <color auto="1"/>
      </top>
      <bottom/>
      <diagonal/>
    </border>
    <border>
      <left style="thin">
        <color auto="1"/>
      </left>
      <right/>
      <top style="hair">
        <color auto="1"/>
      </top>
      <bottom/>
      <diagonal/>
    </border>
    <border>
      <left style="thin">
        <color auto="1"/>
      </left>
      <right style="medium">
        <color auto="1"/>
      </right>
      <top style="hair">
        <color auto="1"/>
      </top>
      <bottom style="double">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top/>
      <bottom style="hair">
        <color auto="1"/>
      </bottom>
      <diagonal/>
    </border>
    <border>
      <left style="thin">
        <color auto="1"/>
      </left>
      <right style="thin">
        <color auto="1"/>
      </right>
      <top style="double">
        <color indexed="64"/>
      </top>
      <bottom style="hair">
        <color auto="1"/>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hair">
        <color indexed="64"/>
      </top>
      <bottom style="hair">
        <color indexed="64"/>
      </bottom>
      <diagonal/>
    </border>
    <border>
      <left style="thin">
        <color auto="1"/>
      </left>
      <right/>
      <top style="hair">
        <color auto="1"/>
      </top>
      <bottom style="hair">
        <color auto="1"/>
      </bottom>
      <diagonal/>
    </border>
    <border>
      <left style="thin">
        <color auto="1"/>
      </left>
      <right style="medium">
        <color indexed="64"/>
      </right>
      <top style="hair">
        <color indexed="64"/>
      </top>
      <bottom style="hair">
        <color auto="1"/>
      </bottom>
      <diagonal/>
    </border>
    <border>
      <left style="thin">
        <color indexed="64"/>
      </left>
      <right style="thin">
        <color indexed="64"/>
      </right>
      <top style="dotted">
        <color indexed="64"/>
      </top>
      <bottom style="dashed">
        <color indexed="64"/>
      </bottom>
      <diagonal/>
    </border>
    <border>
      <left style="thin">
        <color indexed="64"/>
      </left>
      <right style="medium">
        <color indexed="64"/>
      </right>
      <top style="dotted">
        <color indexed="64"/>
      </top>
      <bottom style="dashed">
        <color indexed="64"/>
      </bottom>
      <diagonal/>
    </border>
    <border>
      <left style="thin">
        <color indexed="64"/>
      </left>
      <right style="thin">
        <color indexed="64"/>
      </right>
      <top style="dashed">
        <color indexed="64"/>
      </top>
      <bottom style="dashed">
        <color indexed="64"/>
      </bottom>
      <diagonal/>
    </border>
    <border>
      <left/>
      <right/>
      <top style="hair">
        <color indexed="64"/>
      </top>
      <bottom/>
      <diagonal/>
    </border>
    <border>
      <left style="thin">
        <color auto="1"/>
      </left>
      <right style="thin">
        <color auto="1"/>
      </right>
      <top style="hair">
        <color auto="1"/>
      </top>
      <bottom style="thin">
        <color indexed="64"/>
      </bottom>
      <diagonal/>
    </border>
    <border>
      <left style="thin">
        <color auto="1"/>
      </left>
      <right/>
      <top style="hair">
        <color auto="1"/>
      </top>
      <bottom style="thin">
        <color indexed="64"/>
      </bottom>
      <diagonal/>
    </border>
    <border>
      <left style="thin">
        <color auto="1"/>
      </left>
      <right style="medium">
        <color auto="1"/>
      </right>
      <top style="hair">
        <color auto="1"/>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dashed">
        <color indexed="64"/>
      </bottom>
      <diagonal/>
    </border>
    <border>
      <left/>
      <right style="thin">
        <color auto="1"/>
      </right>
      <top style="thin">
        <color indexed="64"/>
      </top>
      <bottom style="hair">
        <color auto="1"/>
      </bottom>
      <diagonal/>
    </border>
    <border>
      <left style="thin">
        <color auto="1"/>
      </left>
      <right/>
      <top/>
      <bottom style="hair">
        <color auto="1"/>
      </bottom>
      <diagonal/>
    </border>
    <border>
      <left style="medium">
        <color indexed="64"/>
      </left>
      <right style="thin">
        <color indexed="64"/>
      </right>
      <top/>
      <bottom style="double">
        <color indexed="64"/>
      </bottom>
      <diagonal/>
    </border>
    <border>
      <left style="thin">
        <color indexed="64"/>
      </left>
      <right style="thin">
        <color indexed="64"/>
      </right>
      <top style="double">
        <color indexed="64"/>
      </top>
      <bottom style="dashed">
        <color indexed="64"/>
      </bottom>
      <diagonal/>
    </border>
    <border>
      <left style="thin">
        <color indexed="64"/>
      </left>
      <right/>
      <top style="double">
        <color indexed="64"/>
      </top>
      <bottom style="dashed">
        <color indexed="64"/>
      </bottom>
      <diagonal/>
    </border>
    <border>
      <left style="medium">
        <color indexed="64"/>
      </left>
      <right style="medium">
        <color indexed="64"/>
      </right>
      <top/>
      <bottom style="dashed">
        <color indexed="64"/>
      </bottom>
      <diagonal/>
    </border>
    <border>
      <left style="thin">
        <color auto="1"/>
      </left>
      <right style="medium">
        <color auto="1"/>
      </right>
      <top style="hair">
        <color auto="1"/>
      </top>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style="medium">
        <color indexed="64"/>
      </left>
      <right style="medium">
        <color indexed="64"/>
      </right>
      <top style="dashed">
        <color indexed="64"/>
      </top>
      <bottom style="thin">
        <color indexed="64"/>
      </bottom>
      <diagonal/>
    </border>
    <border>
      <left style="thin">
        <color indexed="64"/>
      </left>
      <right/>
      <top/>
      <bottom/>
      <diagonal/>
    </border>
    <border>
      <left style="thin">
        <color indexed="64"/>
      </left>
      <right style="medium">
        <color indexed="64"/>
      </right>
      <top style="dotted">
        <color indexed="64"/>
      </top>
      <bottom style="thin">
        <color indexed="64"/>
      </bottom>
      <diagonal/>
    </border>
    <border>
      <left/>
      <right style="thin">
        <color auto="1"/>
      </right>
      <top style="hair">
        <color auto="1"/>
      </top>
      <bottom style="thin">
        <color indexed="64"/>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right style="thin">
        <color auto="1"/>
      </right>
      <top style="double">
        <color indexed="64"/>
      </top>
      <bottom style="hair">
        <color auto="1"/>
      </bottom>
      <diagonal/>
    </border>
    <border>
      <left style="medium">
        <color indexed="64"/>
      </left>
      <right style="medium">
        <color indexed="64"/>
      </right>
      <top style="dashed">
        <color indexed="64"/>
      </top>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bottom style="double">
        <color indexed="64"/>
      </bottom>
      <diagonal/>
    </border>
    <border>
      <left style="thin">
        <color indexed="64"/>
      </left>
      <right/>
      <top style="dotted">
        <color indexed="64"/>
      </top>
      <bottom style="double">
        <color indexed="64"/>
      </bottom>
      <diagonal/>
    </border>
    <border>
      <left style="medium">
        <color indexed="64"/>
      </left>
      <right style="medium">
        <color indexed="64"/>
      </right>
      <top style="dashed">
        <color indexed="64"/>
      </top>
      <bottom style="double">
        <color indexed="64"/>
      </bottom>
      <diagonal/>
    </border>
    <border>
      <left style="thin">
        <color auto="1"/>
      </left>
      <right style="thin">
        <color auto="1"/>
      </right>
      <top style="hair">
        <color auto="1"/>
      </top>
      <bottom style="double">
        <color indexed="64"/>
      </bottom>
      <diagonal/>
    </border>
    <border>
      <left style="thin">
        <color indexed="64"/>
      </left>
      <right style="medium">
        <color indexed="64"/>
      </right>
      <top/>
      <bottom style="double">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diagonal/>
    </border>
    <border>
      <left style="thin">
        <color indexed="64"/>
      </left>
      <right/>
      <top style="double">
        <color indexed="64"/>
      </top>
      <bottom/>
      <diagonal/>
    </border>
    <border>
      <left style="thin">
        <color auto="1"/>
      </left>
      <right style="medium">
        <color indexed="64"/>
      </right>
      <top style="double">
        <color indexed="64"/>
      </top>
      <bottom/>
      <diagonal/>
    </border>
    <border>
      <left style="thin">
        <color indexed="64"/>
      </left>
      <right/>
      <top style="thin">
        <color indexed="64"/>
      </top>
      <bottom style="dashed">
        <color indexed="64"/>
      </bottom>
      <diagonal/>
    </border>
    <border>
      <left style="thin">
        <color auto="1"/>
      </left>
      <right style="thin">
        <color auto="1"/>
      </right>
      <top style="thin">
        <color indexed="64"/>
      </top>
      <bottom style="hair">
        <color auto="1"/>
      </bottom>
      <diagonal/>
    </border>
    <border>
      <left style="thin">
        <color auto="1"/>
      </left>
      <right style="medium">
        <color auto="1"/>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auto="1"/>
      </left>
      <right/>
      <top style="thin">
        <color indexed="64"/>
      </top>
      <bottom style="hair">
        <color auto="1"/>
      </bottom>
      <diagonal/>
    </border>
    <border>
      <left style="thin">
        <color indexed="64"/>
      </left>
      <right style="thin">
        <color indexed="64"/>
      </right>
      <top style="thin">
        <color indexed="64"/>
      </top>
      <bottom style="dashed">
        <color indexed="64"/>
      </bottom>
      <diagonal/>
    </border>
    <border>
      <left style="thin">
        <color auto="1"/>
      </left>
      <right style="medium">
        <color auto="1"/>
      </right>
      <top style="thin">
        <color indexed="64"/>
      </top>
      <bottom style="hair">
        <color auto="1"/>
      </bottom>
      <diagonal/>
    </border>
    <border>
      <left style="thin">
        <color indexed="64"/>
      </left>
      <right/>
      <top style="dashed">
        <color indexed="64"/>
      </top>
      <bottom style="dashed">
        <color indexed="64"/>
      </bottom>
      <diagonal/>
    </border>
    <border>
      <left style="thin">
        <color indexed="64"/>
      </left>
      <right style="thin">
        <color indexed="64"/>
      </right>
      <top style="dashed">
        <color indexed="64"/>
      </top>
      <bottom style="double">
        <color indexed="64"/>
      </bottom>
      <diagonal/>
    </border>
    <border>
      <left style="thin">
        <color indexed="64"/>
      </left>
      <right/>
      <top style="dashed">
        <color indexed="64"/>
      </top>
      <bottom style="double">
        <color indexed="64"/>
      </bottom>
      <diagonal/>
    </border>
    <border>
      <left style="thin">
        <color auto="1"/>
      </left>
      <right style="medium">
        <color indexed="64"/>
      </right>
      <top/>
      <bottom/>
      <diagonal/>
    </border>
    <border>
      <left style="dashed">
        <color indexed="64"/>
      </left>
      <right style="dashed">
        <color indexed="64"/>
      </right>
      <top style="dashed">
        <color indexed="64"/>
      </top>
      <bottom style="dashed">
        <color indexed="64"/>
      </bottom>
      <diagonal/>
    </border>
    <border>
      <left style="thin">
        <color indexed="64"/>
      </left>
      <right/>
      <top style="dotted">
        <color indexed="64"/>
      </top>
      <bottom style="dash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ashed">
        <color indexed="64"/>
      </top>
      <bottom style="dotted">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auto="1"/>
      </left>
      <right/>
      <top style="hair">
        <color auto="1"/>
      </top>
      <bottom style="double">
        <color indexed="64"/>
      </bottom>
      <diagonal/>
    </border>
    <border>
      <left/>
      <right style="thin">
        <color auto="1"/>
      </right>
      <top style="hair">
        <color auto="1"/>
      </top>
      <bottom/>
      <diagonal/>
    </border>
    <border>
      <left style="thin">
        <color indexed="64"/>
      </left>
      <right style="thin">
        <color indexed="64"/>
      </right>
      <top style="dashed">
        <color indexed="64"/>
      </top>
      <bottom style="dotted">
        <color indexed="64"/>
      </bottom>
      <diagonal/>
    </border>
    <border>
      <left style="thin">
        <color indexed="64"/>
      </left>
      <right/>
      <top style="dashed">
        <color indexed="64"/>
      </top>
      <bottom style="dotted">
        <color indexed="64"/>
      </bottom>
      <diagonal/>
    </border>
    <border>
      <left/>
      <right style="thin">
        <color indexed="64"/>
      </right>
      <top style="dashed">
        <color indexed="64"/>
      </top>
      <bottom/>
      <diagonal/>
    </border>
    <border>
      <left style="thin">
        <color indexed="64"/>
      </left>
      <right style="thin">
        <color indexed="64"/>
      </right>
      <top/>
      <bottom style="dashed">
        <color indexed="64"/>
      </bottom>
      <diagonal/>
    </border>
    <border>
      <left style="thin">
        <color indexed="64"/>
      </left>
      <right/>
      <top/>
      <bottom style="dashed">
        <color indexed="64"/>
      </bottom>
      <diagonal/>
    </border>
    <border>
      <left style="thin">
        <color indexed="64"/>
      </left>
      <right style="thin">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thin">
        <color indexed="64"/>
      </left>
      <right/>
      <top style="dashed">
        <color indexed="64"/>
      </top>
      <bottom style="thin">
        <color indexed="64"/>
      </bottom>
      <diagonal/>
    </border>
    <border>
      <left/>
      <right/>
      <top/>
      <bottom style="dashed">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dashed">
        <color indexed="64"/>
      </top>
      <bottom/>
      <diagonal/>
    </border>
    <border>
      <left style="dashed">
        <color indexed="64"/>
      </left>
      <right style="dashed">
        <color indexed="64"/>
      </right>
      <top style="dashed">
        <color indexed="64"/>
      </top>
      <bottom/>
      <diagonal/>
    </border>
    <border>
      <left style="thin">
        <color indexed="64"/>
      </left>
      <right style="medium">
        <color indexed="64"/>
      </right>
      <top style="thin">
        <color indexed="64"/>
      </top>
      <bottom style="dotted">
        <color indexed="64"/>
      </bottom>
      <diagonal/>
    </border>
    <border>
      <left style="thin">
        <color indexed="64"/>
      </left>
      <right style="dashed">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medium">
        <color indexed="64"/>
      </right>
      <top style="dashed">
        <color indexed="64"/>
      </top>
      <bottom style="thin">
        <color indexed="64"/>
      </bottom>
      <diagonal/>
    </border>
    <border>
      <left style="dashed">
        <color indexed="64"/>
      </left>
      <right style="dashed">
        <color indexed="64"/>
      </right>
      <top/>
      <bottom style="dashed">
        <color indexed="64"/>
      </bottom>
      <diagonal/>
    </border>
    <border>
      <left style="thin">
        <color indexed="64"/>
      </left>
      <right style="dashed">
        <color indexed="64"/>
      </right>
      <top/>
      <bottom style="thin">
        <color indexed="64"/>
      </bottom>
      <diagonal/>
    </border>
    <border>
      <left style="medium">
        <color indexed="64"/>
      </left>
      <right style="medium">
        <color indexed="64"/>
      </right>
      <top style="dotted">
        <color indexed="64"/>
      </top>
      <bottom style="thin">
        <color indexed="64"/>
      </bottom>
      <diagonal/>
    </border>
    <border>
      <left style="thin">
        <color indexed="64"/>
      </left>
      <right style="medium">
        <color indexed="64"/>
      </right>
      <top style="dashed">
        <color indexed="64"/>
      </top>
      <bottom style="thin">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ashed">
        <color indexed="64"/>
      </top>
      <bottom style="double">
        <color indexed="64"/>
      </bottom>
      <diagonal/>
    </border>
    <border>
      <left style="thin">
        <color indexed="64"/>
      </left>
      <right style="medium">
        <color indexed="64"/>
      </right>
      <top style="dashed">
        <color indexed="64"/>
      </top>
      <bottom style="dashed">
        <color indexed="64"/>
      </bottom>
      <diagonal/>
    </border>
    <border>
      <left style="medium">
        <color indexed="64"/>
      </left>
      <right style="medium">
        <color indexed="64"/>
      </right>
      <top style="double">
        <color indexed="64"/>
      </top>
      <bottom style="dotted">
        <color indexed="64"/>
      </bottom>
      <diagonal/>
    </border>
    <border>
      <left style="medium">
        <color indexed="64"/>
      </left>
      <right style="medium">
        <color indexed="64"/>
      </right>
      <top style="dotted">
        <color indexed="64"/>
      </top>
      <bottom/>
      <diagonal/>
    </border>
    <border>
      <left style="medium">
        <color indexed="64"/>
      </left>
      <right style="medium">
        <color indexed="64"/>
      </right>
      <top style="dotted">
        <color indexed="64"/>
      </top>
      <bottom style="dashed">
        <color indexed="64"/>
      </bottom>
      <diagonal/>
    </border>
    <border>
      <left style="medium">
        <color indexed="64"/>
      </left>
      <right style="medium">
        <color indexed="64"/>
      </right>
      <top style="thin">
        <color indexed="64"/>
      </top>
      <bottom style="dotted">
        <color indexed="64"/>
      </bottom>
      <diagonal/>
    </border>
    <border>
      <left style="thin">
        <color indexed="64"/>
      </left>
      <right style="medium">
        <color indexed="64"/>
      </right>
      <top/>
      <bottom style="dashed">
        <color indexed="64"/>
      </bottom>
      <diagonal/>
    </border>
    <border>
      <left style="medium">
        <color indexed="64"/>
      </left>
      <right style="medium">
        <color indexed="64"/>
      </right>
      <top/>
      <bottom style="dotted">
        <color indexed="64"/>
      </bottom>
      <diagonal/>
    </border>
    <border>
      <left style="dashed">
        <color indexed="64"/>
      </left>
      <right style="medium">
        <color indexed="64"/>
      </right>
      <top style="dashed">
        <color indexed="64"/>
      </top>
      <bottom style="dashed">
        <color indexed="64"/>
      </bottom>
      <diagonal/>
    </border>
    <border>
      <left/>
      <right style="medium">
        <color indexed="64"/>
      </right>
      <top/>
      <bottom style="dashed">
        <color indexed="64"/>
      </bottom>
      <diagonal/>
    </border>
    <border>
      <left style="medium">
        <color auto="1"/>
      </left>
      <right style="thin">
        <color auto="1"/>
      </right>
      <top style="hair">
        <color auto="1"/>
      </top>
      <bottom style="thin">
        <color indexed="64"/>
      </bottom>
      <diagonal/>
    </border>
    <border>
      <left style="medium">
        <color indexed="64"/>
      </left>
      <right style="medium">
        <color indexed="64"/>
      </right>
      <top style="dotted">
        <color indexed="64"/>
      </top>
      <bottom style="double">
        <color indexed="64"/>
      </bottom>
      <diagonal/>
    </border>
    <border>
      <left style="thin">
        <color indexed="64"/>
      </left>
      <right style="medium">
        <color indexed="64"/>
      </right>
      <top style="dotted">
        <color indexed="64"/>
      </top>
      <bottom/>
      <diagonal/>
    </border>
    <border>
      <left style="thin">
        <color indexed="64"/>
      </left>
      <right style="medium">
        <color indexed="64"/>
      </right>
      <top style="thin">
        <color indexed="64"/>
      </top>
      <bottom style="dashed">
        <color indexed="64"/>
      </bottom>
      <diagonal/>
    </border>
    <border>
      <left style="thin">
        <color indexed="64"/>
      </left>
      <right style="medium">
        <color indexed="64"/>
      </right>
      <top style="dashed">
        <color indexed="64"/>
      </top>
      <bottom/>
      <diagonal/>
    </border>
    <border>
      <left/>
      <right/>
      <top style="dashed">
        <color indexed="64"/>
      </top>
      <bottom style="dashed">
        <color indexed="64"/>
      </bottom>
      <diagonal/>
    </border>
    <border>
      <left style="medium">
        <color indexed="64"/>
      </left>
      <right style="thin">
        <color auto="1"/>
      </right>
      <top style="thin">
        <color indexed="64"/>
      </top>
      <bottom style="hair">
        <color auto="1"/>
      </bottom>
      <diagonal/>
    </border>
    <border>
      <left style="thin">
        <color indexed="64"/>
      </left>
      <right/>
      <top/>
      <bottom style="double">
        <color indexed="64"/>
      </bottom>
      <diagonal/>
    </border>
    <border>
      <left/>
      <right/>
      <top/>
      <bottom style="dotted">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dotted">
        <color indexed="64"/>
      </bottom>
      <diagonal/>
    </border>
    <border>
      <left style="thin">
        <color auto="1"/>
      </left>
      <right style="medium">
        <color auto="1"/>
      </right>
      <top style="double">
        <color indexed="64"/>
      </top>
      <bottom style="hair">
        <color auto="1"/>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medium">
        <color indexed="64"/>
      </left>
      <right style="medium">
        <color indexed="64"/>
      </right>
      <top style="dashed">
        <color indexed="64"/>
      </top>
      <bottom style="medium">
        <color indexed="64"/>
      </bottom>
      <diagonal/>
    </border>
    <border>
      <left/>
      <right style="thin">
        <color indexed="64"/>
      </right>
      <top style="hair">
        <color auto="1"/>
      </top>
      <bottom style="medium">
        <color indexed="64"/>
      </bottom>
      <diagonal/>
    </border>
    <border>
      <left style="thin">
        <color auto="1"/>
      </left>
      <right/>
      <top style="hair">
        <color auto="1"/>
      </top>
      <bottom style="medium">
        <color indexed="64"/>
      </bottom>
      <diagonal/>
    </border>
    <border>
      <left style="thin">
        <color auto="1"/>
      </left>
      <right style="medium">
        <color auto="1"/>
      </right>
      <top style="hair">
        <color auto="1"/>
      </top>
      <bottom style="medium">
        <color indexed="64"/>
      </bottom>
      <diagonal/>
    </border>
    <border>
      <left/>
      <right/>
      <top style="medium">
        <color indexed="64"/>
      </top>
      <bottom/>
      <diagonal/>
    </border>
    <border>
      <left/>
      <right/>
      <top style="hair">
        <color auto="1"/>
      </top>
      <bottom style="thin">
        <color indexed="64"/>
      </bottom>
      <diagonal/>
    </border>
    <border>
      <left style="medium">
        <color indexed="64"/>
      </left>
      <right style="medium">
        <color indexed="64"/>
      </right>
      <top style="hair">
        <color auto="1"/>
      </top>
      <bottom style="hair">
        <color auto="1"/>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dotted">
        <color indexed="64"/>
      </top>
      <bottom style="medium">
        <color indexed="64"/>
      </bottom>
      <diagonal/>
    </border>
  </borders>
  <cellStyleXfs count="4">
    <xf numFmtId="0" fontId="0" fillId="0" borderId="0">
      <alignment vertical="center"/>
    </xf>
    <xf numFmtId="0" fontId="2" fillId="0" borderId="0"/>
    <xf numFmtId="0" fontId="31" fillId="0" borderId="0"/>
    <xf numFmtId="0" fontId="33" fillId="0" borderId="0">
      <alignment vertical="center"/>
    </xf>
  </cellStyleXfs>
  <cellXfs count="634">
    <xf numFmtId="0" fontId="0" fillId="0" borderId="0" xfId="0">
      <alignment vertical="center"/>
    </xf>
    <xf numFmtId="0" fontId="7" fillId="0" borderId="0" xfId="1" applyFont="1"/>
    <xf numFmtId="0" fontId="8" fillId="0" borderId="0" xfId="1" applyFont="1" applyAlignment="1">
      <alignment horizontal="left" vertical="top"/>
    </xf>
    <xf numFmtId="49" fontId="9" fillId="3" borderId="9" xfId="1" applyNumberFormat="1" applyFont="1" applyFill="1" applyBorder="1" applyAlignment="1">
      <alignment horizontal="center" vertical="center" wrapText="1"/>
    </xf>
    <xf numFmtId="49" fontId="9" fillId="3" borderId="10" xfId="1" applyNumberFormat="1" applyFont="1" applyFill="1" applyBorder="1" applyAlignment="1">
      <alignment horizontal="center" vertical="center" wrapText="1"/>
    </xf>
    <xf numFmtId="49" fontId="9" fillId="3" borderId="0" xfId="1" applyNumberFormat="1" applyFont="1" applyFill="1" applyAlignment="1">
      <alignment horizontal="center" vertical="center" wrapText="1"/>
    </xf>
    <xf numFmtId="0" fontId="9" fillId="3" borderId="10" xfId="1" applyFont="1" applyFill="1" applyBorder="1" applyAlignment="1">
      <alignment horizontal="center" vertical="center" wrapText="1"/>
    </xf>
    <xf numFmtId="49" fontId="11" fillId="0" borderId="13" xfId="1" applyNumberFormat="1" applyFont="1" applyBorder="1" applyAlignment="1">
      <alignment horizontal="center" vertical="center" wrapText="1"/>
    </xf>
    <xf numFmtId="0" fontId="11" fillId="2" borderId="15" xfId="1" applyFont="1" applyFill="1" applyBorder="1" applyAlignment="1">
      <alignment horizontal="center" vertical="center"/>
    </xf>
    <xf numFmtId="49" fontId="13" fillId="2" borderId="16" xfId="1" applyNumberFormat="1" applyFont="1" applyFill="1" applyBorder="1" applyAlignment="1">
      <alignment horizontal="center" vertical="center"/>
    </xf>
    <xf numFmtId="0" fontId="6" fillId="0" borderId="17" xfId="1" applyFont="1" applyBorder="1" applyAlignment="1">
      <alignment horizontal="left" vertical="center" wrapText="1"/>
    </xf>
    <xf numFmtId="0" fontId="6" fillId="0" borderId="18" xfId="1" applyFont="1" applyBorder="1" applyAlignment="1">
      <alignment horizontal="center" vertical="center" wrapText="1"/>
    </xf>
    <xf numFmtId="0" fontId="6" fillId="0" borderId="19" xfId="1" applyFont="1" applyBorder="1" applyAlignment="1">
      <alignment horizontal="left" vertical="center" wrapText="1"/>
    </xf>
    <xf numFmtId="0" fontId="8" fillId="4" borderId="20" xfId="1" applyFont="1" applyFill="1" applyBorder="1"/>
    <xf numFmtId="0" fontId="14" fillId="4" borderId="20" xfId="1" applyFont="1" applyFill="1" applyBorder="1"/>
    <xf numFmtId="49" fontId="11" fillId="0" borderId="23" xfId="1" applyNumberFormat="1" applyFont="1" applyBorder="1" applyAlignment="1">
      <alignment horizontal="center" vertical="center" wrapText="1"/>
    </xf>
    <xf numFmtId="0" fontId="11" fillId="2" borderId="25" xfId="1" applyFont="1" applyFill="1" applyBorder="1" applyAlignment="1">
      <alignment horizontal="center" vertical="center"/>
    </xf>
    <xf numFmtId="49" fontId="13" fillId="2" borderId="26" xfId="1" applyNumberFormat="1" applyFont="1" applyFill="1" applyBorder="1" applyAlignment="1">
      <alignment horizontal="center" vertical="center"/>
    </xf>
    <xf numFmtId="0" fontId="6" fillId="0" borderId="27" xfId="1" applyFont="1" applyBorder="1" applyAlignment="1">
      <alignment horizontal="left" vertical="center" wrapText="1"/>
    </xf>
    <xf numFmtId="0" fontId="6" fillId="0" borderId="28" xfId="1" applyFont="1" applyBorder="1" applyAlignment="1">
      <alignment horizontal="center" vertical="center" wrapText="1"/>
    </xf>
    <xf numFmtId="0" fontId="6" fillId="0" borderId="29" xfId="1" applyFont="1" applyBorder="1" applyAlignment="1">
      <alignment horizontal="left" vertical="center" wrapText="1"/>
    </xf>
    <xf numFmtId="0" fontId="7" fillId="4" borderId="20" xfId="1" applyFont="1" applyFill="1" applyBorder="1"/>
    <xf numFmtId="49" fontId="11" fillId="0" borderId="30" xfId="1" applyNumberFormat="1" applyFont="1" applyBorder="1" applyAlignment="1">
      <alignment horizontal="center" vertical="center" wrapText="1"/>
    </xf>
    <xf numFmtId="49" fontId="13" fillId="2" borderId="32" xfId="1" applyNumberFormat="1" applyFont="1" applyFill="1" applyBorder="1" applyAlignment="1">
      <alignment horizontal="center" vertical="center"/>
    </xf>
    <xf numFmtId="0" fontId="6" fillId="0" borderId="33" xfId="1" applyFont="1" applyBorder="1" applyAlignment="1">
      <alignment horizontal="left" vertical="center" wrapText="1"/>
    </xf>
    <xf numFmtId="49" fontId="11" fillId="0" borderId="34" xfId="1" applyNumberFormat="1" applyFont="1" applyBorder="1" applyAlignment="1">
      <alignment horizontal="center" vertical="center" wrapText="1"/>
    </xf>
    <xf numFmtId="0" fontId="6" fillId="0" borderId="36" xfId="1" applyFont="1" applyBorder="1" applyAlignment="1">
      <alignment horizontal="left" vertical="center" wrapText="1"/>
    </xf>
    <xf numFmtId="0" fontId="6" fillId="0" borderId="37" xfId="1" applyFont="1" applyBorder="1" applyAlignment="1">
      <alignment horizontal="center" vertical="center" wrapText="1"/>
    </xf>
    <xf numFmtId="0" fontId="15" fillId="0" borderId="38" xfId="1" applyFont="1" applyBorder="1" applyAlignment="1">
      <alignment horizontal="left" vertical="center" wrapText="1"/>
    </xf>
    <xf numFmtId="0" fontId="11" fillId="2" borderId="25" xfId="1" applyFont="1" applyFill="1" applyBorder="1" applyAlignment="1">
      <alignment horizontal="center" vertical="center" wrapText="1"/>
    </xf>
    <xf numFmtId="49" fontId="13" fillId="2" borderId="16" xfId="1" applyNumberFormat="1" applyFont="1" applyFill="1" applyBorder="1" applyAlignment="1">
      <alignment horizontal="center" vertical="center" wrapText="1"/>
    </xf>
    <xf numFmtId="0" fontId="9" fillId="2" borderId="36" xfId="1" applyFont="1" applyFill="1" applyBorder="1" applyAlignment="1">
      <alignment horizontal="left" vertical="center" wrapText="1"/>
    </xf>
    <xf numFmtId="0" fontId="9" fillId="0" borderId="37" xfId="1" applyFont="1" applyBorder="1" applyAlignment="1">
      <alignment horizontal="center" vertical="center" wrapText="1"/>
    </xf>
    <xf numFmtId="0" fontId="14" fillId="0" borderId="38" xfId="1" applyFont="1" applyBorder="1" applyAlignment="1">
      <alignment horizontal="left" vertical="center" wrapText="1"/>
    </xf>
    <xf numFmtId="49" fontId="11" fillId="0" borderId="39" xfId="1" applyNumberFormat="1" applyFont="1" applyBorder="1" applyAlignment="1">
      <alignment horizontal="center" vertical="center" wrapText="1"/>
    </xf>
    <xf numFmtId="49" fontId="11" fillId="0" borderId="41" xfId="1" applyNumberFormat="1" applyFont="1" applyBorder="1" applyAlignment="1">
      <alignment horizontal="center" vertical="center" wrapText="1"/>
    </xf>
    <xf numFmtId="49" fontId="13" fillId="2" borderId="42" xfId="1" applyNumberFormat="1" applyFont="1" applyFill="1" applyBorder="1" applyAlignment="1">
      <alignment horizontal="center" vertical="center"/>
    </xf>
    <xf numFmtId="0" fontId="13" fillId="0" borderId="43" xfId="1" applyFont="1" applyBorder="1" applyAlignment="1">
      <alignment horizontal="left" vertical="center" wrapText="1"/>
    </xf>
    <xf numFmtId="0" fontId="13" fillId="0" borderId="44" xfId="1" applyFont="1" applyBorder="1" applyAlignment="1">
      <alignment horizontal="center" vertical="center"/>
    </xf>
    <xf numFmtId="0" fontId="19" fillId="0" borderId="45" xfId="1" applyFont="1" applyBorder="1" applyAlignment="1">
      <alignment horizontal="left" vertical="center" wrapText="1"/>
    </xf>
    <xf numFmtId="0" fontId="14" fillId="0" borderId="0" xfId="1" applyFont="1" applyAlignment="1">
      <alignment horizontal="left" vertical="top"/>
    </xf>
    <xf numFmtId="0" fontId="11" fillId="2" borderId="47" xfId="1" applyFont="1" applyFill="1" applyBorder="1" applyAlignment="1">
      <alignment horizontal="center" vertical="center"/>
    </xf>
    <xf numFmtId="49" fontId="13" fillId="2" borderId="48" xfId="1" applyNumberFormat="1" applyFont="1" applyFill="1" applyBorder="1" applyAlignment="1">
      <alignment horizontal="center" vertical="center"/>
    </xf>
    <xf numFmtId="0" fontId="6" fillId="0" borderId="49" xfId="1" applyFont="1" applyBorder="1" applyAlignment="1">
      <alignment horizontal="center" vertical="center" wrapText="1"/>
    </xf>
    <xf numFmtId="0" fontId="18" fillId="0" borderId="43" xfId="1" applyFont="1" applyBorder="1" applyAlignment="1">
      <alignment horizontal="left" vertical="center" wrapText="1"/>
    </xf>
    <xf numFmtId="0" fontId="14" fillId="0" borderId="29" xfId="1" applyFont="1" applyBorder="1" applyAlignment="1">
      <alignment horizontal="left" vertical="center" wrapText="1"/>
    </xf>
    <xf numFmtId="49" fontId="11" fillId="2" borderId="51" xfId="1" applyNumberFormat="1" applyFont="1" applyFill="1" applyBorder="1" applyAlignment="1">
      <alignment horizontal="center" vertical="center" wrapText="1"/>
    </xf>
    <xf numFmtId="49" fontId="11" fillId="2" borderId="30" xfId="1" applyNumberFormat="1" applyFont="1" applyFill="1" applyBorder="1" applyAlignment="1">
      <alignment horizontal="center" vertical="center" wrapText="1"/>
    </xf>
    <xf numFmtId="0" fontId="11" fillId="2" borderId="53" xfId="1" applyFont="1" applyFill="1" applyBorder="1" applyAlignment="1">
      <alignment horizontal="center" vertical="center"/>
    </xf>
    <xf numFmtId="0" fontId="9" fillId="2" borderId="37" xfId="1" applyFont="1" applyFill="1" applyBorder="1" applyAlignment="1">
      <alignment horizontal="left" vertical="center" wrapText="1"/>
    </xf>
    <xf numFmtId="0" fontId="6" fillId="0" borderId="36" xfId="1" applyFont="1" applyBorder="1" applyAlignment="1">
      <alignment horizontal="center" vertical="center" wrapText="1"/>
    </xf>
    <xf numFmtId="49" fontId="11" fillId="0" borderId="55" xfId="1" applyNumberFormat="1" applyFont="1" applyBorder="1" applyAlignment="1">
      <alignment horizontal="center" vertical="center" wrapText="1"/>
    </xf>
    <xf numFmtId="0" fontId="11" fillId="2" borderId="57" xfId="1" applyFont="1" applyFill="1" applyBorder="1" applyAlignment="1">
      <alignment horizontal="center" vertical="center"/>
    </xf>
    <xf numFmtId="0" fontId="6" fillId="0" borderId="43" xfId="1" applyFont="1" applyBorder="1" applyAlignment="1">
      <alignment horizontal="left" vertical="center" wrapText="1"/>
    </xf>
    <xf numFmtId="0" fontId="6" fillId="0" borderId="44" xfId="1" applyFont="1" applyBorder="1" applyAlignment="1">
      <alignment horizontal="center" vertical="center" wrapText="1"/>
    </xf>
    <xf numFmtId="0" fontId="15" fillId="0" borderId="45" xfId="1" applyFont="1" applyBorder="1" applyAlignment="1">
      <alignment horizontal="left" vertical="center" wrapText="1"/>
    </xf>
    <xf numFmtId="0" fontId="9" fillId="2" borderId="17" xfId="1" applyFont="1" applyFill="1" applyBorder="1" applyAlignment="1">
      <alignment horizontal="left" vertical="center" wrapText="1"/>
    </xf>
    <xf numFmtId="0" fontId="20" fillId="0" borderId="49" xfId="1" applyFont="1" applyBorder="1" applyAlignment="1">
      <alignment horizontal="center" vertical="center" wrapText="1"/>
    </xf>
    <xf numFmtId="49" fontId="13" fillId="2" borderId="60" xfId="1" applyNumberFormat="1" applyFont="1" applyFill="1" applyBorder="1" applyAlignment="1">
      <alignment horizontal="center" vertical="center"/>
    </xf>
    <xf numFmtId="0" fontId="9" fillId="2" borderId="44" xfId="1" applyFont="1" applyFill="1" applyBorder="1" applyAlignment="1">
      <alignment horizontal="left" vertical="center" wrapText="1"/>
    </xf>
    <xf numFmtId="0" fontId="6" fillId="0" borderId="43" xfId="1" applyFont="1" applyBorder="1" applyAlignment="1">
      <alignment horizontal="center" vertical="center" wrapText="1"/>
    </xf>
    <xf numFmtId="0" fontId="14" fillId="0" borderId="45" xfId="1" applyFont="1" applyBorder="1" applyAlignment="1">
      <alignment horizontal="left" vertical="center" wrapText="1"/>
    </xf>
    <xf numFmtId="49" fontId="13" fillId="2" borderId="32" xfId="1" applyNumberFormat="1" applyFont="1" applyFill="1" applyBorder="1" applyAlignment="1">
      <alignment horizontal="center" vertical="center" wrapText="1"/>
    </xf>
    <xf numFmtId="49" fontId="11" fillId="0" borderId="61" xfId="1" applyNumberFormat="1" applyFont="1" applyBorder="1" applyAlignment="1">
      <alignment horizontal="center" vertical="center" wrapText="1"/>
    </xf>
    <xf numFmtId="49" fontId="13" fillId="2" borderId="42" xfId="1" applyNumberFormat="1" applyFont="1" applyFill="1" applyBorder="1" applyAlignment="1">
      <alignment horizontal="center" vertical="center" wrapText="1"/>
    </xf>
    <xf numFmtId="0" fontId="15" fillId="0" borderId="29" xfId="1" applyFont="1" applyBorder="1" applyAlignment="1">
      <alignment horizontal="left" vertical="center" wrapText="1"/>
    </xf>
    <xf numFmtId="49" fontId="13" fillId="2" borderId="63" xfId="1" applyNumberFormat="1" applyFont="1" applyFill="1" applyBorder="1" applyAlignment="1">
      <alignment horizontal="center" vertical="center"/>
    </xf>
    <xf numFmtId="0" fontId="11" fillId="2" borderId="64" xfId="1" applyFont="1" applyFill="1" applyBorder="1" applyAlignment="1">
      <alignment horizontal="center" vertical="center"/>
    </xf>
    <xf numFmtId="49" fontId="9" fillId="0" borderId="27" xfId="1" applyNumberFormat="1" applyFont="1" applyBorder="1" applyAlignment="1">
      <alignment horizontal="left" vertical="center" wrapText="1"/>
    </xf>
    <xf numFmtId="49" fontId="9" fillId="0" borderId="36" xfId="1" applyNumberFormat="1" applyFont="1" applyBorder="1" applyAlignment="1">
      <alignment horizontal="left" vertical="center" wrapText="1"/>
    </xf>
    <xf numFmtId="0" fontId="6" fillId="0" borderId="22" xfId="1" applyFont="1" applyBorder="1" applyAlignment="1">
      <alignment horizontal="left" vertical="center" wrapText="1"/>
    </xf>
    <xf numFmtId="49" fontId="11" fillId="0" borderId="65" xfId="1" applyNumberFormat="1" applyFont="1" applyBorder="1" applyAlignment="1">
      <alignment horizontal="center" vertical="center" wrapText="1"/>
    </xf>
    <xf numFmtId="49" fontId="11" fillId="2" borderId="61" xfId="1" applyNumberFormat="1" applyFont="1" applyFill="1" applyBorder="1" applyAlignment="1">
      <alignment horizontal="center" vertical="center" wrapText="1"/>
    </xf>
    <xf numFmtId="0" fontId="9" fillId="0" borderId="37" xfId="1" applyFont="1" applyBorder="1" applyAlignment="1">
      <alignment horizontal="center" vertical="center"/>
    </xf>
    <xf numFmtId="0" fontId="13" fillId="2" borderId="70" xfId="1" applyFont="1" applyFill="1" applyBorder="1" applyAlignment="1">
      <alignment horizontal="left" vertical="center" wrapText="1"/>
    </xf>
    <xf numFmtId="0" fontId="13" fillId="0" borderId="28" xfId="1" applyFont="1" applyBorder="1" applyAlignment="1">
      <alignment horizontal="center" vertical="center" wrapText="1"/>
    </xf>
    <xf numFmtId="49" fontId="11" fillId="0" borderId="72" xfId="1" applyNumberFormat="1" applyFont="1" applyBorder="1" applyAlignment="1">
      <alignment vertical="top" wrapText="1"/>
    </xf>
    <xf numFmtId="49" fontId="11" fillId="0" borderId="22" xfId="1" applyNumberFormat="1" applyFont="1" applyBorder="1" applyAlignment="1">
      <alignment horizontal="center" vertical="center" wrapText="1"/>
    </xf>
    <xf numFmtId="49" fontId="11" fillId="2" borderId="73" xfId="1" applyNumberFormat="1" applyFont="1" applyFill="1" applyBorder="1" applyAlignment="1">
      <alignment horizontal="center" vertical="center" wrapText="1"/>
    </xf>
    <xf numFmtId="49" fontId="13" fillId="2" borderId="63" xfId="1" applyNumberFormat="1" applyFont="1" applyFill="1" applyBorder="1" applyAlignment="1">
      <alignment horizontal="center" vertical="center" wrapText="1"/>
    </xf>
    <xf numFmtId="0" fontId="6" fillId="0" borderId="12" xfId="1" applyFont="1" applyBorder="1" applyAlignment="1">
      <alignment horizontal="left" vertical="center" wrapText="1"/>
    </xf>
    <xf numFmtId="0" fontId="6" fillId="0" borderId="74" xfId="1" applyFont="1" applyBorder="1" applyAlignment="1">
      <alignment horizontal="center" vertical="center" wrapText="1"/>
    </xf>
    <xf numFmtId="49" fontId="11" fillId="2" borderId="47" xfId="1" applyNumberFormat="1" applyFont="1" applyFill="1" applyBorder="1" applyAlignment="1">
      <alignment horizontal="center" vertical="center" wrapText="1"/>
    </xf>
    <xf numFmtId="49" fontId="11" fillId="2" borderId="25" xfId="1" applyNumberFormat="1" applyFont="1" applyFill="1" applyBorder="1" applyAlignment="1">
      <alignment horizontal="center" vertical="center" wrapText="1"/>
    </xf>
    <xf numFmtId="49" fontId="11" fillId="2" borderId="57" xfId="1" applyNumberFormat="1" applyFont="1" applyFill="1" applyBorder="1" applyAlignment="1">
      <alignment horizontal="center" vertical="center" wrapText="1"/>
    </xf>
    <xf numFmtId="49" fontId="13" fillId="2" borderId="48" xfId="1" applyNumberFormat="1" applyFont="1" applyFill="1" applyBorder="1" applyAlignment="1">
      <alignment horizontal="center" vertical="center" wrapText="1"/>
    </xf>
    <xf numFmtId="0" fontId="6" fillId="0" borderId="77" xfId="1" applyFont="1" applyBorder="1" applyAlignment="1">
      <alignment horizontal="center" vertical="center" wrapText="1"/>
    </xf>
    <xf numFmtId="49" fontId="13" fillId="2" borderId="27" xfId="1" applyNumberFormat="1" applyFont="1" applyFill="1" applyBorder="1" applyAlignment="1">
      <alignment horizontal="left" vertical="center" wrapText="1"/>
    </xf>
    <xf numFmtId="49" fontId="9" fillId="0" borderId="77" xfId="1" applyNumberFormat="1" applyFont="1" applyBorder="1" applyAlignment="1">
      <alignment horizontal="left" vertical="center" wrapText="1"/>
    </xf>
    <xf numFmtId="0" fontId="6" fillId="0" borderId="82" xfId="1" applyFont="1" applyBorder="1" applyAlignment="1">
      <alignment horizontal="center" vertical="center" wrapText="1"/>
    </xf>
    <xf numFmtId="0" fontId="9" fillId="0" borderId="58" xfId="1" applyFont="1" applyBorder="1" applyAlignment="1">
      <alignment horizontal="left" vertical="center" wrapText="1"/>
    </xf>
    <xf numFmtId="0" fontId="9" fillId="0" borderId="17" xfId="1" applyFont="1" applyBorder="1" applyAlignment="1">
      <alignment horizontal="left" vertical="center" wrapText="1"/>
    </xf>
    <xf numFmtId="0" fontId="9" fillId="0" borderId="36" xfId="1" applyFont="1" applyBorder="1" applyAlignment="1">
      <alignment horizontal="left" vertical="center" wrapText="1"/>
    </xf>
    <xf numFmtId="0" fontId="11" fillId="2" borderId="57" xfId="1" applyFont="1" applyFill="1" applyBorder="1" applyAlignment="1">
      <alignment horizontal="center" vertical="center" wrapText="1"/>
    </xf>
    <xf numFmtId="0" fontId="11" fillId="2" borderId="53" xfId="1" applyFont="1" applyFill="1" applyBorder="1" applyAlignment="1">
      <alignment horizontal="center" vertical="center" wrapText="1"/>
    </xf>
    <xf numFmtId="0" fontId="6" fillId="0" borderId="77" xfId="1" applyFont="1" applyBorder="1" applyAlignment="1">
      <alignment horizontal="left" vertical="center" wrapText="1"/>
    </xf>
    <xf numFmtId="49" fontId="13" fillId="2" borderId="60" xfId="1" applyNumberFormat="1" applyFont="1" applyFill="1" applyBorder="1" applyAlignment="1">
      <alignment horizontal="center" vertical="center" wrapText="1"/>
    </xf>
    <xf numFmtId="49" fontId="11" fillId="0" borderId="83" xfId="1" applyNumberFormat="1" applyFont="1" applyBorder="1" applyAlignment="1">
      <alignment horizontal="center" vertical="center" wrapText="1"/>
    </xf>
    <xf numFmtId="0" fontId="15" fillId="0" borderId="84" xfId="1" applyFont="1" applyBorder="1" applyAlignment="1">
      <alignment horizontal="left" vertical="center" wrapText="1"/>
    </xf>
    <xf numFmtId="49" fontId="11" fillId="0" borderId="86" xfId="1" applyNumberFormat="1" applyFont="1" applyBorder="1" applyAlignment="1">
      <alignment horizontal="center" vertical="center" wrapText="1"/>
    </xf>
    <xf numFmtId="49" fontId="11" fillId="2" borderId="69" xfId="1" applyNumberFormat="1" applyFont="1" applyFill="1" applyBorder="1" applyAlignment="1">
      <alignment horizontal="center" vertical="center" wrapText="1"/>
    </xf>
    <xf numFmtId="49" fontId="9" fillId="2" borderId="33" xfId="1" applyNumberFormat="1" applyFont="1" applyFill="1" applyBorder="1" applyAlignment="1">
      <alignment horizontal="left" vertical="center" wrapText="1"/>
    </xf>
    <xf numFmtId="0" fontId="9" fillId="0" borderId="18" xfId="1" applyFont="1" applyBorder="1" applyAlignment="1">
      <alignment horizontal="center" vertical="center" wrapText="1"/>
    </xf>
    <xf numFmtId="0" fontId="4" fillId="0" borderId="36" xfId="1" applyFont="1" applyBorder="1" applyAlignment="1">
      <alignment horizontal="left" vertical="center" wrapText="1"/>
    </xf>
    <xf numFmtId="0" fontId="19" fillId="0" borderId="38" xfId="1" applyFont="1" applyBorder="1" applyAlignment="1">
      <alignment horizontal="left" vertical="center" wrapText="1"/>
    </xf>
    <xf numFmtId="0" fontId="11" fillId="0" borderId="25" xfId="1" applyFont="1" applyBorder="1" applyAlignment="1">
      <alignment horizontal="center" vertical="center"/>
    </xf>
    <xf numFmtId="49" fontId="13" fillId="0" borderId="16" xfId="1" applyNumberFormat="1" applyFont="1" applyBorder="1" applyAlignment="1">
      <alignment horizontal="center" vertical="center"/>
    </xf>
    <xf numFmtId="49" fontId="9" fillId="2" borderId="36" xfId="1" applyNumberFormat="1" applyFont="1" applyFill="1" applyBorder="1" applyAlignment="1">
      <alignment horizontal="left" vertical="center" wrapText="1"/>
    </xf>
    <xf numFmtId="0" fontId="24" fillId="0" borderId="36" xfId="1" applyFont="1" applyBorder="1" applyAlignment="1">
      <alignment horizontal="left" vertical="center" wrapText="1"/>
    </xf>
    <xf numFmtId="49" fontId="13" fillId="0" borderId="36" xfId="1" applyNumberFormat="1" applyFont="1" applyBorder="1" applyAlignment="1">
      <alignment horizontal="left" vertical="center" wrapText="1"/>
    </xf>
    <xf numFmtId="0" fontId="18" fillId="0" borderId="36" xfId="1" applyFont="1" applyBorder="1" applyAlignment="1">
      <alignment horizontal="left" vertical="center" wrapText="1"/>
    </xf>
    <xf numFmtId="0" fontId="13" fillId="0" borderId="36" xfId="1" applyFont="1" applyBorder="1" applyAlignment="1">
      <alignment horizontal="left" vertical="center" wrapText="1"/>
    </xf>
    <xf numFmtId="0" fontId="13" fillId="0" borderId="37" xfId="1" applyFont="1" applyBorder="1" applyAlignment="1">
      <alignment horizontal="center" vertical="center" wrapText="1"/>
    </xf>
    <xf numFmtId="0" fontId="13" fillId="0" borderId="44" xfId="1" applyFont="1" applyBorder="1" applyAlignment="1">
      <alignment horizontal="center" vertical="center" wrapText="1"/>
    </xf>
    <xf numFmtId="0" fontId="13" fillId="2" borderId="36" xfId="1" applyFont="1" applyFill="1" applyBorder="1" applyAlignment="1">
      <alignment horizontal="left" vertical="center" wrapText="1"/>
    </xf>
    <xf numFmtId="0" fontId="13" fillId="2" borderId="27" xfId="1" applyFont="1" applyFill="1" applyBorder="1" applyAlignment="1">
      <alignment horizontal="left" vertical="center" wrapText="1"/>
    </xf>
    <xf numFmtId="0" fontId="13" fillId="0" borderId="37" xfId="1" applyFont="1" applyBorder="1" applyAlignment="1">
      <alignment horizontal="center" vertical="center"/>
    </xf>
    <xf numFmtId="0" fontId="11" fillId="2" borderId="92" xfId="1" applyFont="1" applyFill="1" applyBorder="1" applyAlignment="1">
      <alignment horizontal="center" vertical="center"/>
    </xf>
    <xf numFmtId="0" fontId="11" fillId="2" borderId="94" xfId="1" applyFont="1" applyFill="1" applyBorder="1" applyAlignment="1">
      <alignment horizontal="center" vertical="center"/>
    </xf>
    <xf numFmtId="49" fontId="13" fillId="0" borderId="27" xfId="1" applyNumberFormat="1" applyFont="1" applyBorder="1" applyAlignment="1">
      <alignment horizontal="left" vertical="center" wrapText="1"/>
    </xf>
    <xf numFmtId="49" fontId="13" fillId="2" borderId="70" xfId="1" applyNumberFormat="1" applyFont="1" applyFill="1" applyBorder="1" applyAlignment="1">
      <alignment horizontal="left" vertical="center" wrapText="1"/>
    </xf>
    <xf numFmtId="0" fontId="13" fillId="0" borderId="95" xfId="1" applyFont="1" applyBorder="1" applyAlignment="1">
      <alignment horizontal="center" vertical="center" wrapText="1"/>
    </xf>
    <xf numFmtId="0" fontId="19" fillId="0" borderId="29" xfId="1" applyFont="1" applyBorder="1" applyAlignment="1">
      <alignment horizontal="left" vertical="center" wrapText="1"/>
    </xf>
    <xf numFmtId="49" fontId="13" fillId="2" borderId="96" xfId="1" applyNumberFormat="1" applyFont="1" applyFill="1" applyBorder="1" applyAlignment="1">
      <alignment horizontal="center" vertical="center"/>
    </xf>
    <xf numFmtId="0" fontId="13" fillId="2" borderId="43" xfId="1" applyFont="1" applyFill="1" applyBorder="1" applyAlignment="1">
      <alignment horizontal="left" vertical="center" wrapText="1"/>
    </xf>
    <xf numFmtId="49" fontId="9" fillId="0" borderId="17" xfId="1" applyNumberFormat="1" applyFont="1" applyBorder="1" applyAlignment="1">
      <alignment horizontal="left" vertical="center" wrapText="1"/>
    </xf>
    <xf numFmtId="0" fontId="9" fillId="0" borderId="49" xfId="1" applyFont="1" applyBorder="1" applyAlignment="1">
      <alignment horizontal="center" vertical="center"/>
    </xf>
    <xf numFmtId="49" fontId="11" fillId="0" borderId="97" xfId="1" applyNumberFormat="1" applyFont="1" applyBorder="1" applyAlignment="1">
      <alignment horizontal="center" vertical="center" wrapText="1"/>
    </xf>
    <xf numFmtId="0" fontId="18" fillId="0" borderId="17" xfId="1" applyFont="1" applyBorder="1" applyAlignment="1">
      <alignment horizontal="left" vertical="center" wrapText="1"/>
    </xf>
    <xf numFmtId="0" fontId="19" fillId="0" borderId="19" xfId="1" applyFont="1" applyBorder="1" applyAlignment="1">
      <alignment horizontal="left" vertical="center" wrapText="1"/>
    </xf>
    <xf numFmtId="0" fontId="9" fillId="2" borderId="37" xfId="1" applyFont="1" applyFill="1" applyBorder="1" applyAlignment="1">
      <alignment horizontal="center" vertical="center"/>
    </xf>
    <xf numFmtId="0" fontId="13" fillId="0" borderId="70" xfId="1" applyFont="1" applyBorder="1" applyAlignment="1">
      <alignment horizontal="left" vertical="center" wrapText="1"/>
    </xf>
    <xf numFmtId="49" fontId="11" fillId="2" borderId="34" xfId="1" applyNumberFormat="1" applyFont="1" applyFill="1" applyBorder="1" applyAlignment="1">
      <alignment horizontal="center" vertical="center" wrapText="1"/>
    </xf>
    <xf numFmtId="49" fontId="11" fillId="0" borderId="34" xfId="1" quotePrefix="1" applyNumberFormat="1" applyFont="1" applyBorder="1" applyAlignment="1">
      <alignment horizontal="center" vertical="center" wrapText="1"/>
    </xf>
    <xf numFmtId="49" fontId="13" fillId="2" borderId="36" xfId="1" applyNumberFormat="1" applyFont="1" applyFill="1" applyBorder="1" applyAlignment="1">
      <alignment horizontal="left" vertical="center" wrapText="1"/>
    </xf>
    <xf numFmtId="49" fontId="13" fillId="2" borderId="36" xfId="1" applyNumberFormat="1" applyFont="1" applyFill="1" applyBorder="1" applyAlignment="1">
      <alignment horizontal="left" vertical="center"/>
    </xf>
    <xf numFmtId="49" fontId="11" fillId="0" borderId="102" xfId="1" applyNumberFormat="1" applyFont="1" applyBorder="1" applyAlignment="1">
      <alignment horizontal="center" vertical="center" wrapText="1"/>
    </xf>
    <xf numFmtId="0" fontId="13" fillId="0" borderId="27" xfId="1" applyFont="1" applyBorder="1" applyAlignment="1">
      <alignment horizontal="left" vertical="center" wrapText="1"/>
    </xf>
    <xf numFmtId="0" fontId="13" fillId="0" borderId="77" xfId="1" applyFont="1" applyBorder="1" applyAlignment="1">
      <alignment horizontal="left" vertical="center" wrapText="1"/>
    </xf>
    <xf numFmtId="0" fontId="11" fillId="2" borderId="69" xfId="1" applyFont="1" applyFill="1" applyBorder="1" applyAlignment="1">
      <alignment horizontal="center" vertical="center"/>
    </xf>
    <xf numFmtId="49" fontId="9" fillId="0" borderId="33" xfId="1" applyNumberFormat="1" applyFont="1" applyBorder="1" applyAlignment="1">
      <alignment horizontal="left" vertical="center" wrapText="1"/>
    </xf>
    <xf numFmtId="0" fontId="9" fillId="0" borderId="18" xfId="1" applyFont="1" applyBorder="1" applyAlignment="1">
      <alignment horizontal="center" vertical="center"/>
    </xf>
    <xf numFmtId="49" fontId="11" fillId="0" borderId="100" xfId="1" applyNumberFormat="1" applyFont="1" applyBorder="1" applyAlignment="1">
      <alignment horizontal="center" vertical="center" wrapText="1"/>
    </xf>
    <xf numFmtId="49" fontId="11" fillId="0" borderId="79" xfId="1" applyNumberFormat="1" applyFont="1" applyBorder="1" applyAlignment="1">
      <alignment horizontal="center" vertical="center" wrapText="1"/>
    </xf>
    <xf numFmtId="0" fontId="11" fillId="2" borderId="80" xfId="1" applyFont="1" applyFill="1" applyBorder="1" applyAlignment="1">
      <alignment horizontal="center" vertical="center"/>
    </xf>
    <xf numFmtId="0" fontId="11" fillId="2" borderId="47" xfId="1" applyFont="1" applyFill="1" applyBorder="1" applyAlignment="1">
      <alignment horizontal="center" vertical="center" wrapText="1"/>
    </xf>
    <xf numFmtId="49" fontId="13" fillId="0" borderId="106" xfId="1" applyNumberFormat="1" applyFont="1" applyBorder="1" applyAlignment="1">
      <alignment horizontal="center" vertical="center" wrapText="1"/>
    </xf>
    <xf numFmtId="0" fontId="26" fillId="0" borderId="38" xfId="1" applyFont="1" applyBorder="1" applyAlignment="1">
      <alignment horizontal="left" vertical="center" wrapText="1"/>
    </xf>
    <xf numFmtId="0" fontId="6" fillId="2" borderId="36" xfId="1" applyFont="1" applyFill="1" applyBorder="1" applyAlignment="1">
      <alignment horizontal="left" vertical="center" wrapText="1"/>
    </xf>
    <xf numFmtId="49" fontId="11" fillId="0" borderId="107" xfId="1" applyNumberFormat="1" applyFont="1" applyBorder="1" applyAlignment="1">
      <alignment horizontal="center" vertical="center" wrapText="1"/>
    </xf>
    <xf numFmtId="0" fontId="9" fillId="0" borderId="49" xfId="1" applyFont="1" applyBorder="1" applyAlignment="1">
      <alignment horizontal="center" vertical="center" wrapText="1"/>
    </xf>
    <xf numFmtId="0" fontId="18" fillId="2" borderId="37" xfId="1" applyFont="1" applyFill="1" applyBorder="1" applyAlignment="1">
      <alignment horizontal="left" vertical="center" wrapText="1"/>
    </xf>
    <xf numFmtId="0" fontId="27" fillId="2" borderId="37" xfId="1" applyFont="1" applyFill="1" applyBorder="1" applyAlignment="1">
      <alignment horizontal="left" vertical="center" wrapText="1"/>
    </xf>
    <xf numFmtId="0" fontId="13" fillId="0" borderId="79" xfId="1" applyFont="1" applyBorder="1" applyAlignment="1">
      <alignment horizontal="left" vertical="center" wrapText="1"/>
    </xf>
    <xf numFmtId="49" fontId="9" fillId="0" borderId="49" xfId="1" applyNumberFormat="1" applyFont="1" applyBorder="1" applyAlignment="1">
      <alignment horizontal="center" vertical="center" wrapText="1"/>
    </xf>
    <xf numFmtId="49" fontId="11" fillId="0" borderId="34" xfId="1" applyNumberFormat="1" applyFont="1" applyBorder="1" applyAlignment="1">
      <alignment horizontal="center" vertical="top" wrapText="1"/>
    </xf>
    <xf numFmtId="0" fontId="20" fillId="0" borderId="37" xfId="1" applyFont="1" applyBorder="1" applyAlignment="1">
      <alignment horizontal="center" vertical="center" wrapText="1"/>
    </xf>
    <xf numFmtId="0" fontId="28" fillId="0" borderId="36" xfId="1" applyFont="1" applyBorder="1" applyAlignment="1">
      <alignment horizontal="left" vertical="center" wrapText="1"/>
    </xf>
    <xf numFmtId="0" fontId="15" fillId="6" borderId="38" xfId="1" applyFont="1" applyFill="1" applyBorder="1" applyAlignment="1">
      <alignment horizontal="left" vertical="center" wrapText="1"/>
    </xf>
    <xf numFmtId="49" fontId="11" fillId="2" borderId="53" xfId="1" applyNumberFormat="1" applyFont="1" applyFill="1" applyBorder="1" applyAlignment="1">
      <alignment horizontal="center" vertical="center" wrapText="1"/>
    </xf>
    <xf numFmtId="0" fontId="13" fillId="0" borderId="17" xfId="1" applyFont="1" applyBorder="1" applyAlignment="1">
      <alignment horizontal="left" vertical="center" wrapText="1"/>
    </xf>
    <xf numFmtId="0" fontId="29" fillId="0" borderId="17" xfId="1" applyFont="1" applyBorder="1" applyAlignment="1">
      <alignment horizontal="left" vertical="center" wrapText="1"/>
    </xf>
    <xf numFmtId="0" fontId="30" fillId="2" borderId="37" xfId="1" applyFont="1" applyFill="1" applyBorder="1" applyAlignment="1">
      <alignment horizontal="center" vertical="center"/>
    </xf>
    <xf numFmtId="49" fontId="29" fillId="0" borderId="36" xfId="1" applyNumberFormat="1" applyFont="1" applyBorder="1" applyAlignment="1">
      <alignment horizontal="left" vertical="center" wrapText="1"/>
    </xf>
    <xf numFmtId="0" fontId="29" fillId="0" borderId="37" xfId="1" applyFont="1" applyBorder="1" applyAlignment="1">
      <alignment horizontal="center" vertical="center"/>
    </xf>
    <xf numFmtId="0" fontId="24" fillId="0" borderId="37" xfId="1" applyFont="1" applyBorder="1" applyAlignment="1">
      <alignment horizontal="center" vertical="center" wrapText="1"/>
    </xf>
    <xf numFmtId="0" fontId="11" fillId="2" borderId="25" xfId="1" quotePrefix="1" applyFont="1" applyFill="1" applyBorder="1" applyAlignment="1">
      <alignment horizontal="center" vertical="center" wrapText="1"/>
    </xf>
    <xf numFmtId="49" fontId="13" fillId="2" borderId="16" xfId="1" quotePrefix="1" applyNumberFormat="1" applyFont="1" applyFill="1" applyBorder="1" applyAlignment="1">
      <alignment horizontal="center" vertical="center" wrapText="1"/>
    </xf>
    <xf numFmtId="0" fontId="9" fillId="0" borderId="44" xfId="1" applyFont="1" applyBorder="1" applyAlignment="1">
      <alignment horizontal="center" vertical="center" wrapText="1"/>
    </xf>
    <xf numFmtId="0" fontId="13" fillId="0" borderId="43" xfId="1" applyFont="1" applyBorder="1" applyAlignment="1">
      <alignment horizontal="center" vertical="center" wrapText="1"/>
    </xf>
    <xf numFmtId="0" fontId="15" fillId="0" borderId="37" xfId="1" applyFont="1" applyBorder="1" applyAlignment="1">
      <alignment horizontal="left" vertical="center" wrapText="1"/>
    </xf>
    <xf numFmtId="0" fontId="18" fillId="2" borderId="36" xfId="1" applyFont="1" applyFill="1" applyBorder="1" applyAlignment="1">
      <alignment horizontal="left" vertical="center" wrapText="1"/>
    </xf>
    <xf numFmtId="49" fontId="13" fillId="0" borderId="22" xfId="1" applyNumberFormat="1" applyFont="1" applyBorder="1" applyAlignment="1">
      <alignment horizontal="left" vertical="center" wrapText="1"/>
    </xf>
    <xf numFmtId="49" fontId="9" fillId="0" borderId="37" xfId="1" applyNumberFormat="1" applyFont="1" applyBorder="1" applyAlignment="1">
      <alignment horizontal="center" vertical="center" wrapText="1"/>
    </xf>
    <xf numFmtId="49" fontId="9" fillId="0" borderId="82" xfId="1" applyNumberFormat="1" applyFont="1" applyBorder="1" applyAlignment="1">
      <alignment horizontal="center" vertical="center" wrapText="1"/>
    </xf>
    <xf numFmtId="0" fontId="29" fillId="0" borderId="36" xfId="1" applyFont="1" applyBorder="1" applyAlignment="1">
      <alignment horizontal="left" vertical="center" wrapText="1"/>
    </xf>
    <xf numFmtId="0" fontId="32" fillId="0" borderId="36" xfId="1" applyFont="1" applyBorder="1" applyAlignment="1">
      <alignment horizontal="left" vertical="center" wrapText="1"/>
    </xf>
    <xf numFmtId="0" fontId="11" fillId="2" borderId="25" xfId="3" applyFont="1" applyFill="1" applyBorder="1" applyAlignment="1">
      <alignment horizontal="center" vertical="center"/>
    </xf>
    <xf numFmtId="49" fontId="13" fillId="2" borderId="16" xfId="3" applyNumberFormat="1" applyFont="1" applyFill="1" applyBorder="1" applyAlignment="1">
      <alignment horizontal="center" vertical="center"/>
    </xf>
    <xf numFmtId="0" fontId="9" fillId="0" borderId="37" xfId="3" applyFont="1" applyBorder="1" applyAlignment="1">
      <alignment horizontal="center" vertical="center"/>
    </xf>
    <xf numFmtId="0" fontId="11" fillId="2" borderId="92" xfId="3" applyFont="1" applyFill="1" applyBorder="1" applyAlignment="1">
      <alignment horizontal="center" vertical="center"/>
    </xf>
    <xf numFmtId="0" fontId="11" fillId="2" borderId="115" xfId="3" applyFont="1" applyFill="1" applyBorder="1" applyAlignment="1">
      <alignment horizontal="center" vertical="center"/>
    </xf>
    <xf numFmtId="49" fontId="13" fillId="2" borderId="42" xfId="3" applyNumberFormat="1" applyFont="1" applyFill="1" applyBorder="1" applyAlignment="1">
      <alignment horizontal="center" vertical="center"/>
    </xf>
    <xf numFmtId="0" fontId="11" fillId="2" borderId="53" xfId="3" applyFont="1" applyFill="1" applyBorder="1" applyAlignment="1">
      <alignment horizontal="center" vertical="center"/>
    </xf>
    <xf numFmtId="49" fontId="13" fillId="2" borderId="48" xfId="3" applyNumberFormat="1" applyFont="1" applyFill="1" applyBorder="1" applyAlignment="1">
      <alignment horizontal="center" vertical="center"/>
    </xf>
    <xf numFmtId="0" fontId="9" fillId="5" borderId="17" xfId="1" applyFont="1" applyFill="1" applyBorder="1" applyAlignment="1">
      <alignment horizontal="left" vertical="center" wrapText="1"/>
    </xf>
    <xf numFmtId="0" fontId="9" fillId="0" borderId="49" xfId="3" applyFont="1" applyBorder="1" applyAlignment="1">
      <alignment horizontal="center" vertical="center"/>
    </xf>
    <xf numFmtId="0" fontId="9" fillId="5" borderId="36" xfId="1" applyFont="1" applyFill="1" applyBorder="1" applyAlignment="1">
      <alignment horizontal="left" vertical="center" wrapText="1"/>
    </xf>
    <xf numFmtId="0" fontId="11" fillId="2" borderId="94" xfId="3" applyFont="1" applyFill="1" applyBorder="1" applyAlignment="1">
      <alignment horizontal="center" vertical="center"/>
    </xf>
    <xf numFmtId="0" fontId="13" fillId="5" borderId="27" xfId="1" applyFont="1" applyFill="1" applyBorder="1" applyAlignment="1">
      <alignment horizontal="left" vertical="center" wrapText="1"/>
    </xf>
    <xf numFmtId="0" fontId="9" fillId="0" borderId="77" xfId="1" applyFont="1" applyBorder="1" applyAlignment="1">
      <alignment horizontal="left" vertical="center" wrapText="1"/>
    </xf>
    <xf numFmtId="0" fontId="29" fillId="5" borderId="27" xfId="1" applyFont="1" applyFill="1" applyBorder="1" applyAlignment="1">
      <alignment horizontal="left" vertical="center" wrapText="1"/>
    </xf>
    <xf numFmtId="0" fontId="20" fillId="0" borderId="43" xfId="1" applyFont="1" applyBorder="1" applyAlignment="1">
      <alignment horizontal="center" vertical="center" wrapText="1"/>
    </xf>
    <xf numFmtId="0" fontId="11" fillId="2" borderId="47" xfId="3" applyFont="1" applyFill="1" applyBorder="1" applyAlignment="1">
      <alignment horizontal="center" vertical="center"/>
    </xf>
    <xf numFmtId="0" fontId="11" fillId="2" borderId="57" xfId="3" applyFont="1" applyFill="1" applyBorder="1" applyAlignment="1">
      <alignment horizontal="center" vertical="center"/>
    </xf>
    <xf numFmtId="49" fontId="13" fillId="2" borderId="60" xfId="3" applyNumberFormat="1" applyFont="1" applyFill="1" applyBorder="1" applyAlignment="1">
      <alignment horizontal="center" vertical="center"/>
    </xf>
    <xf numFmtId="0" fontId="11" fillId="2" borderId="80" xfId="3" applyFont="1" applyFill="1" applyBorder="1" applyAlignment="1">
      <alignment horizontal="center" vertical="center"/>
    </xf>
    <xf numFmtId="49" fontId="13" fillId="2" borderId="32" xfId="3" applyNumberFormat="1" applyFont="1" applyFill="1" applyBorder="1" applyAlignment="1">
      <alignment horizontal="center" vertical="center"/>
    </xf>
    <xf numFmtId="0" fontId="13" fillId="2" borderId="27" xfId="1" applyFont="1" applyFill="1" applyBorder="1" applyAlignment="1">
      <alignment horizontal="left" vertical="center"/>
    </xf>
    <xf numFmtId="0" fontId="13" fillId="0" borderId="46" xfId="1" applyFont="1" applyBorder="1" applyAlignment="1">
      <alignment horizontal="center" vertical="center" wrapText="1"/>
    </xf>
    <xf numFmtId="0" fontId="11" fillId="2" borderId="117" xfId="3" applyFont="1" applyFill="1" applyBorder="1" applyAlignment="1">
      <alignment horizontal="center" vertical="center"/>
    </xf>
    <xf numFmtId="0" fontId="13" fillId="0" borderId="36" xfId="1" applyFont="1" applyBorder="1" applyAlignment="1">
      <alignment horizontal="center" vertical="center" wrapText="1"/>
    </xf>
    <xf numFmtId="0" fontId="13" fillId="0" borderId="49" xfId="1" applyFont="1" applyBorder="1" applyAlignment="1">
      <alignment horizontal="center" vertical="center" wrapText="1"/>
    </xf>
    <xf numFmtId="0" fontId="13" fillId="2" borderId="28" xfId="1" applyFont="1" applyFill="1" applyBorder="1" applyAlignment="1">
      <alignment horizontal="left" vertical="center"/>
    </xf>
    <xf numFmtId="0" fontId="11" fillId="2" borderId="69" xfId="3" applyFont="1" applyFill="1" applyBorder="1" applyAlignment="1">
      <alignment horizontal="center" vertical="center"/>
    </xf>
    <xf numFmtId="49" fontId="13" fillId="2" borderId="26" xfId="3" applyNumberFormat="1" applyFont="1" applyFill="1" applyBorder="1" applyAlignment="1">
      <alignment horizontal="center" vertical="center"/>
    </xf>
    <xf numFmtId="0" fontId="17" fillId="2" borderId="70" xfId="1" applyFont="1" applyFill="1" applyBorder="1" applyAlignment="1">
      <alignment horizontal="left" vertical="center"/>
    </xf>
    <xf numFmtId="0" fontId="15" fillId="0" borderId="0" xfId="1" applyFont="1"/>
    <xf numFmtId="49" fontId="29" fillId="0" borderId="77" xfId="1" applyNumberFormat="1" applyFont="1" applyBorder="1" applyAlignment="1">
      <alignment horizontal="left" vertical="center" wrapText="1"/>
    </xf>
    <xf numFmtId="0" fontId="29" fillId="0" borderId="82" xfId="1" applyFont="1" applyBorder="1" applyAlignment="1">
      <alignment horizontal="center" vertical="center" wrapText="1"/>
    </xf>
    <xf numFmtId="0" fontId="29" fillId="0" borderId="37" xfId="1" applyFont="1" applyBorder="1" applyAlignment="1">
      <alignment horizontal="center" vertical="center" wrapText="1"/>
    </xf>
    <xf numFmtId="0" fontId="29" fillId="2" borderId="36" xfId="1" applyFont="1" applyFill="1" applyBorder="1" applyAlignment="1">
      <alignment horizontal="left" vertical="center" wrapText="1"/>
    </xf>
    <xf numFmtId="0" fontId="13" fillId="0" borderId="36" xfId="1" applyFont="1" applyBorder="1" applyAlignment="1">
      <alignment horizontal="left" vertical="center"/>
    </xf>
    <xf numFmtId="0" fontId="11" fillId="2" borderId="120" xfId="1" applyFont="1" applyFill="1" applyBorder="1" applyAlignment="1">
      <alignment horizontal="center" vertical="center" wrapText="1"/>
    </xf>
    <xf numFmtId="0" fontId="11" fillId="2" borderId="117" xfId="1" applyFont="1" applyFill="1" applyBorder="1" applyAlignment="1">
      <alignment horizontal="center" vertical="center" wrapText="1"/>
    </xf>
    <xf numFmtId="49" fontId="6" fillId="0" borderId="36" xfId="1" applyNumberFormat="1" applyFont="1" applyBorder="1" applyAlignment="1">
      <alignment horizontal="left" vertical="center" wrapText="1"/>
    </xf>
    <xf numFmtId="49" fontId="11" fillId="2" borderId="117" xfId="1" applyNumberFormat="1" applyFont="1" applyFill="1" applyBorder="1" applyAlignment="1">
      <alignment horizontal="center" vertical="center" wrapText="1"/>
    </xf>
    <xf numFmtId="49" fontId="29" fillId="2" borderId="36" xfId="1" applyNumberFormat="1" applyFont="1" applyFill="1" applyBorder="1" applyAlignment="1">
      <alignment horizontal="left" vertical="center" wrapText="1"/>
    </xf>
    <xf numFmtId="0" fontId="29" fillId="0" borderId="36" xfId="1" applyFont="1" applyBorder="1" applyAlignment="1">
      <alignment horizontal="left" vertical="center"/>
    </xf>
    <xf numFmtId="0" fontId="11" fillId="2" borderId="121" xfId="1" applyFont="1" applyFill="1" applyBorder="1" applyAlignment="1">
      <alignment horizontal="center" vertical="center" wrapText="1"/>
    </xf>
    <xf numFmtId="0" fontId="11" fillId="2" borderId="123" xfId="1" applyFont="1" applyFill="1" applyBorder="1" applyAlignment="1">
      <alignment horizontal="center" vertical="center" wrapText="1"/>
    </xf>
    <xf numFmtId="0" fontId="9" fillId="2" borderId="43" xfId="1" applyFont="1" applyFill="1" applyBorder="1" applyAlignment="1">
      <alignment horizontal="left" vertical="center" wrapText="1"/>
    </xf>
    <xf numFmtId="0" fontId="20" fillId="0" borderId="28" xfId="1" applyFont="1" applyBorder="1" applyAlignment="1">
      <alignment horizontal="center" vertical="center" wrapText="1"/>
    </xf>
    <xf numFmtId="49" fontId="11" fillId="2" borderId="123" xfId="1" applyNumberFormat="1" applyFont="1" applyFill="1" applyBorder="1" applyAlignment="1">
      <alignment horizontal="center" vertical="center" wrapText="1"/>
    </xf>
    <xf numFmtId="0" fontId="6" fillId="0" borderId="17" xfId="1" applyFont="1" applyBorder="1" applyAlignment="1">
      <alignment horizontal="left" vertical="center"/>
    </xf>
    <xf numFmtId="0" fontId="20" fillId="0" borderId="82" xfId="1" applyFont="1" applyBorder="1" applyAlignment="1">
      <alignment horizontal="center" vertical="center" wrapText="1"/>
    </xf>
    <xf numFmtId="0" fontId="6" fillId="0" borderId="36" xfId="1" applyFont="1" applyBorder="1" applyAlignment="1">
      <alignment horizontal="left" vertical="center"/>
    </xf>
    <xf numFmtId="0" fontId="35" fillId="2" borderId="37" xfId="1" applyFont="1" applyFill="1" applyBorder="1" applyAlignment="1">
      <alignment horizontal="left" vertical="center" wrapText="1"/>
    </xf>
    <xf numFmtId="0" fontId="9" fillId="0" borderId="36" xfId="1" applyFont="1" applyBorder="1" applyAlignment="1">
      <alignment horizontal="center" vertical="center" wrapText="1"/>
    </xf>
    <xf numFmtId="0" fontId="9" fillId="0" borderId="28" xfId="1" applyFont="1" applyBorder="1" applyAlignment="1">
      <alignment horizontal="center" vertical="center" wrapText="1"/>
    </xf>
    <xf numFmtId="49" fontId="10" fillId="0" borderId="77" xfId="1" applyNumberFormat="1" applyFont="1" applyBorder="1" applyAlignment="1">
      <alignment horizontal="left" vertical="center" wrapText="1"/>
    </xf>
    <xf numFmtId="0" fontId="13" fillId="0" borderId="82" xfId="1" applyFont="1" applyBorder="1" applyAlignment="1">
      <alignment horizontal="center" vertical="center" wrapText="1"/>
    </xf>
    <xf numFmtId="0" fontId="14" fillId="6" borderId="19" xfId="1" applyFont="1" applyFill="1" applyBorder="1" applyAlignment="1">
      <alignment horizontal="left" vertical="center" wrapText="1"/>
    </xf>
    <xf numFmtId="49" fontId="10" fillId="0" borderId="36" xfId="1" applyNumberFormat="1" applyFont="1" applyBorder="1" applyAlignment="1">
      <alignment horizontal="left" vertical="center" wrapText="1"/>
    </xf>
    <xf numFmtId="0" fontId="19" fillId="6" borderId="38" xfId="1" applyFont="1" applyFill="1" applyBorder="1" applyAlignment="1">
      <alignment horizontal="left" vertical="center" wrapText="1"/>
    </xf>
    <xf numFmtId="49" fontId="11" fillId="2" borderId="125" xfId="1" applyNumberFormat="1" applyFont="1" applyFill="1" applyBorder="1" applyAlignment="1">
      <alignment horizontal="center" vertical="center" wrapText="1"/>
    </xf>
    <xf numFmtId="49" fontId="25" fillId="0" borderId="82" xfId="1" applyNumberFormat="1" applyFont="1" applyBorder="1" applyAlignment="1">
      <alignment horizontal="center" vertical="center" wrapText="1"/>
    </xf>
    <xf numFmtId="49" fontId="13" fillId="2" borderId="43" xfId="1" applyNumberFormat="1" applyFont="1" applyFill="1" applyBorder="1" applyAlignment="1">
      <alignment horizontal="left" vertical="center" wrapText="1"/>
    </xf>
    <xf numFmtId="49" fontId="11" fillId="0" borderId="66" xfId="1" applyNumberFormat="1" applyFont="1" applyBorder="1" applyAlignment="1">
      <alignment horizontal="center" vertical="center" wrapText="1"/>
    </xf>
    <xf numFmtId="49" fontId="29" fillId="2" borderId="17" xfId="1" applyNumberFormat="1" applyFont="1" applyFill="1" applyBorder="1" applyAlignment="1">
      <alignment horizontal="left" vertical="center" wrapText="1"/>
    </xf>
    <xf numFmtId="0" fontId="11" fillId="2" borderId="125" xfId="1" applyFont="1" applyFill="1" applyBorder="1" applyAlignment="1">
      <alignment horizontal="center" vertical="center" wrapText="1"/>
    </xf>
    <xf numFmtId="0" fontId="20" fillId="0" borderId="36" xfId="1" applyFont="1" applyBorder="1" applyAlignment="1">
      <alignment horizontal="left" vertical="center" wrapText="1"/>
    </xf>
    <xf numFmtId="0" fontId="9" fillId="0" borderId="82" xfId="1" applyFont="1" applyBorder="1" applyAlignment="1">
      <alignment horizontal="center" vertical="center" wrapText="1"/>
    </xf>
    <xf numFmtId="49" fontId="11" fillId="2" borderId="121" xfId="1" applyNumberFormat="1" applyFont="1" applyFill="1" applyBorder="1" applyAlignment="1">
      <alignment horizontal="center" vertical="center" wrapText="1"/>
    </xf>
    <xf numFmtId="0" fontId="12" fillId="2" borderId="121" xfId="1" applyFont="1" applyFill="1" applyBorder="1" applyAlignment="1">
      <alignment horizontal="center" vertical="center" wrapText="1"/>
    </xf>
    <xf numFmtId="49" fontId="13" fillId="2" borderId="128" xfId="1" applyNumberFormat="1" applyFont="1" applyFill="1" applyBorder="1" applyAlignment="1">
      <alignment horizontal="center" vertical="center" wrapText="1"/>
    </xf>
    <xf numFmtId="0" fontId="17" fillId="0" borderId="36" xfId="1" applyFont="1" applyBorder="1" applyAlignment="1">
      <alignment horizontal="left" vertical="center" wrapText="1"/>
    </xf>
    <xf numFmtId="49" fontId="13" fillId="0" borderId="32" xfId="1" applyNumberFormat="1" applyFont="1" applyBorder="1" applyAlignment="1">
      <alignment horizontal="center" vertical="center" wrapText="1"/>
    </xf>
    <xf numFmtId="49" fontId="13" fillId="0" borderId="16" xfId="1" applyNumberFormat="1" applyFont="1" applyBorder="1" applyAlignment="1">
      <alignment horizontal="center" vertical="center" wrapText="1"/>
    </xf>
    <xf numFmtId="0" fontId="11" fillId="2" borderId="129" xfId="1" applyFont="1" applyFill="1" applyBorder="1" applyAlignment="1">
      <alignment horizontal="center" vertical="center" wrapText="1"/>
    </xf>
    <xf numFmtId="49" fontId="13" fillId="2" borderId="128" xfId="1" applyNumberFormat="1" applyFont="1" applyFill="1" applyBorder="1" applyAlignment="1">
      <alignment horizontal="center" vertical="center"/>
    </xf>
    <xf numFmtId="0" fontId="15" fillId="7" borderId="38" xfId="1" applyFont="1" applyFill="1" applyBorder="1" applyAlignment="1">
      <alignment horizontal="left" vertical="center" wrapText="1"/>
    </xf>
    <xf numFmtId="0" fontId="6" fillId="0" borderId="27" xfId="1" applyFont="1" applyBorder="1" applyAlignment="1">
      <alignment horizontal="center" vertical="center" wrapText="1"/>
    </xf>
    <xf numFmtId="0" fontId="17" fillId="2" borderId="77" xfId="1" applyFont="1" applyFill="1" applyBorder="1" applyAlignment="1">
      <alignment horizontal="left" vertical="center" wrapText="1"/>
    </xf>
    <xf numFmtId="0" fontId="13" fillId="2" borderId="77" xfId="1" applyFont="1" applyFill="1" applyBorder="1" applyAlignment="1">
      <alignment horizontal="center" vertical="center" wrapText="1"/>
    </xf>
    <xf numFmtId="0" fontId="13" fillId="2" borderId="36" xfId="1" applyFont="1" applyFill="1" applyBorder="1" applyAlignment="1">
      <alignment horizontal="center" vertical="center" wrapText="1"/>
    </xf>
    <xf numFmtId="0" fontId="13" fillId="2" borderId="17" xfId="1" applyFont="1" applyFill="1" applyBorder="1" applyAlignment="1">
      <alignment horizontal="left" vertical="center" wrapText="1"/>
    </xf>
    <xf numFmtId="0" fontId="13" fillId="2" borderId="49" xfId="1" applyFont="1" applyFill="1" applyBorder="1" applyAlignment="1">
      <alignment horizontal="center" vertical="center" wrapText="1"/>
    </xf>
    <xf numFmtId="0" fontId="13" fillId="2" borderId="37" xfId="1" applyFont="1" applyFill="1" applyBorder="1" applyAlignment="1">
      <alignment horizontal="center" vertical="center" wrapText="1"/>
    </xf>
    <xf numFmtId="0" fontId="13" fillId="2" borderId="95" xfId="1" applyFont="1" applyFill="1" applyBorder="1" applyAlignment="1">
      <alignment horizontal="center" vertical="center" wrapText="1"/>
    </xf>
    <xf numFmtId="0" fontId="15" fillId="2" borderId="29" xfId="1" applyFont="1" applyFill="1" applyBorder="1" applyAlignment="1">
      <alignment horizontal="left" vertical="center" wrapText="1"/>
    </xf>
    <xf numFmtId="49" fontId="9" fillId="0" borderId="58" xfId="1" applyNumberFormat="1" applyFont="1" applyBorder="1" applyAlignment="1">
      <alignment horizontal="left" vertical="center" wrapText="1"/>
    </xf>
    <xf numFmtId="0" fontId="18" fillId="0" borderId="37" xfId="1" applyFont="1" applyBorder="1" applyAlignment="1">
      <alignment horizontal="center" vertical="center" wrapText="1"/>
    </xf>
    <xf numFmtId="49" fontId="13" fillId="2" borderId="27" xfId="1" applyNumberFormat="1" applyFont="1" applyFill="1" applyBorder="1" applyAlignment="1">
      <alignment horizontal="left" vertical="center"/>
    </xf>
    <xf numFmtId="0" fontId="13" fillId="2" borderId="22" xfId="1" applyFont="1" applyFill="1" applyBorder="1" applyAlignment="1">
      <alignment horizontal="left" vertical="center" wrapText="1"/>
    </xf>
    <xf numFmtId="0" fontId="13" fillId="0" borderId="70" xfId="1" applyFont="1" applyBorder="1" applyAlignment="1">
      <alignment horizontal="center" vertical="center" wrapText="1"/>
    </xf>
    <xf numFmtId="49" fontId="11" fillId="2" borderId="39" xfId="1" applyNumberFormat="1" applyFont="1" applyFill="1" applyBorder="1" applyAlignment="1">
      <alignment horizontal="center" vertical="center" wrapText="1"/>
    </xf>
    <xf numFmtId="0" fontId="13" fillId="0" borderId="28" xfId="1" applyFont="1" applyBorder="1" applyAlignment="1">
      <alignment horizontal="left" vertical="center" wrapText="1"/>
    </xf>
    <xf numFmtId="0" fontId="13" fillId="2" borderId="28" xfId="1" applyFont="1" applyFill="1" applyBorder="1" applyAlignment="1">
      <alignment horizontal="left" vertical="center" wrapText="1"/>
    </xf>
    <xf numFmtId="0" fontId="13" fillId="0" borderId="16" xfId="1" applyFont="1" applyBorder="1" applyAlignment="1">
      <alignment horizontal="center" vertical="center" wrapText="1"/>
    </xf>
    <xf numFmtId="0" fontId="13" fillId="2" borderId="58" xfId="1" applyFont="1" applyFill="1" applyBorder="1" applyAlignment="1">
      <alignment horizontal="left" vertical="center" wrapText="1"/>
    </xf>
    <xf numFmtId="49" fontId="11" fillId="0" borderId="85" xfId="1" applyNumberFormat="1" applyFont="1" applyBorder="1" applyAlignment="1">
      <alignment horizontal="center" vertical="center" wrapText="1"/>
    </xf>
    <xf numFmtId="0" fontId="19" fillId="7" borderId="38" xfId="1" applyFont="1" applyFill="1" applyBorder="1" applyAlignment="1">
      <alignment horizontal="left" vertical="center" wrapText="1"/>
    </xf>
    <xf numFmtId="49" fontId="13" fillId="2" borderId="0" xfId="1" applyNumberFormat="1" applyFont="1" applyFill="1" applyAlignment="1">
      <alignment horizontal="center" vertical="center"/>
    </xf>
    <xf numFmtId="49" fontId="13" fillId="2" borderId="134" xfId="1" applyNumberFormat="1" applyFont="1" applyFill="1" applyBorder="1" applyAlignment="1">
      <alignment horizontal="center" vertical="center"/>
    </xf>
    <xf numFmtId="49" fontId="11" fillId="2" borderId="15" xfId="1" applyNumberFormat="1" applyFont="1" applyFill="1" applyBorder="1" applyAlignment="1">
      <alignment horizontal="center" vertical="center" wrapText="1"/>
    </xf>
    <xf numFmtId="49" fontId="11" fillId="0" borderId="110" xfId="1" applyNumberFormat="1" applyFont="1" applyBorder="1" applyAlignment="1">
      <alignment horizontal="center" vertical="center" wrapText="1"/>
    </xf>
    <xf numFmtId="0" fontId="11" fillId="0" borderId="41" xfId="1" applyFont="1" applyBorder="1" applyAlignment="1">
      <alignment horizontal="center" vertical="center" wrapText="1"/>
    </xf>
    <xf numFmtId="0" fontId="11" fillId="0" borderId="86" xfId="1" applyFont="1" applyBorder="1" applyAlignment="1">
      <alignment horizontal="center" vertical="center" wrapText="1"/>
    </xf>
    <xf numFmtId="0" fontId="11" fillId="2" borderId="69" xfId="1" applyFont="1" applyFill="1" applyBorder="1" applyAlignment="1">
      <alignment horizontal="center" vertical="center" wrapText="1"/>
    </xf>
    <xf numFmtId="0" fontId="6" fillId="0" borderId="95" xfId="1" applyFont="1" applyBorder="1" applyAlignment="1">
      <alignment horizontal="center" vertical="center" wrapText="1"/>
    </xf>
    <xf numFmtId="49" fontId="11" fillId="0" borderId="72" xfId="1" applyNumberFormat="1" applyFont="1" applyBorder="1" applyAlignment="1">
      <alignment horizontal="center" vertical="center" wrapText="1"/>
    </xf>
    <xf numFmtId="0" fontId="11" fillId="2" borderId="73" xfId="1" applyFont="1" applyFill="1" applyBorder="1" applyAlignment="1">
      <alignment horizontal="center" vertical="center"/>
    </xf>
    <xf numFmtId="49" fontId="11" fillId="2" borderId="41" xfId="1" applyNumberFormat="1" applyFont="1" applyFill="1" applyBorder="1" applyAlignment="1">
      <alignment horizontal="center" vertical="center" wrapText="1"/>
    </xf>
    <xf numFmtId="0" fontId="20" fillId="0" borderId="18" xfId="1" applyFont="1" applyBorder="1" applyAlignment="1">
      <alignment horizontal="center" vertical="center" wrapText="1"/>
    </xf>
    <xf numFmtId="0" fontId="15" fillId="0" borderId="139" xfId="1" applyFont="1" applyBorder="1" applyAlignment="1">
      <alignment horizontal="left" vertical="center" wrapText="1"/>
    </xf>
    <xf numFmtId="0" fontId="18" fillId="0" borderId="44" xfId="1" applyFont="1" applyBorder="1" applyAlignment="1">
      <alignment horizontal="center" vertical="center" wrapText="1"/>
    </xf>
    <xf numFmtId="0" fontId="11" fillId="0" borderId="22" xfId="1" applyFont="1" applyBorder="1" applyAlignment="1">
      <alignment vertical="center" wrapText="1"/>
    </xf>
    <xf numFmtId="49" fontId="11" fillId="0" borderId="142" xfId="1" applyNumberFormat="1" applyFont="1" applyBorder="1" applyAlignment="1">
      <alignment horizontal="center" vertical="center" wrapText="1"/>
    </xf>
    <xf numFmtId="0" fontId="11" fillId="2" borderId="144" xfId="1" applyFont="1" applyFill="1" applyBorder="1" applyAlignment="1">
      <alignment horizontal="center" vertical="center"/>
    </xf>
    <xf numFmtId="49" fontId="13" fillId="2" borderId="145" xfId="1" applyNumberFormat="1" applyFont="1" applyFill="1" applyBorder="1" applyAlignment="1">
      <alignment horizontal="center" vertical="center"/>
    </xf>
    <xf numFmtId="0" fontId="6" fillId="0" borderId="141" xfId="1" applyFont="1" applyBorder="1" applyAlignment="1">
      <alignment horizontal="left" vertical="center" wrapText="1"/>
    </xf>
    <xf numFmtId="0" fontId="6" fillId="0" borderId="146" xfId="1" applyFont="1" applyBorder="1" applyAlignment="1">
      <alignment horizontal="center" vertical="center" wrapText="1"/>
    </xf>
    <xf numFmtId="0" fontId="15" fillId="0" borderId="147" xfId="1" applyFont="1" applyBorder="1" applyAlignment="1">
      <alignment horizontal="left" vertical="center" wrapText="1"/>
    </xf>
    <xf numFmtId="49" fontId="13" fillId="0" borderId="148" xfId="1" applyNumberFormat="1" applyFont="1" applyBorder="1" applyAlignment="1">
      <alignment horizontal="center" vertical="center"/>
    </xf>
    <xf numFmtId="0" fontId="15" fillId="0" borderId="0" xfId="1" applyFont="1" applyAlignment="1">
      <alignment horizontal="left" vertical="center"/>
    </xf>
    <xf numFmtId="0" fontId="15" fillId="0" borderId="0" xfId="1" applyFont="1" applyAlignment="1">
      <alignment horizontal="left" vertical="center" wrapText="1"/>
    </xf>
    <xf numFmtId="0" fontId="6" fillId="0" borderId="0" xfId="1" applyFont="1" applyAlignment="1">
      <alignment horizontal="center" vertical="center" wrapText="1"/>
    </xf>
    <xf numFmtId="0" fontId="6" fillId="0" borderId="0" xfId="1" applyFont="1" applyAlignment="1">
      <alignment horizontal="left" vertical="center" wrapText="1"/>
    </xf>
    <xf numFmtId="0" fontId="11" fillId="0" borderId="22" xfId="1" applyFont="1" applyBorder="1" applyAlignment="1">
      <alignment vertical="top" wrapText="1"/>
    </xf>
    <xf numFmtId="49" fontId="11" fillId="0" borderId="21" xfId="1" applyNumberFormat="1" applyFont="1" applyBorder="1" applyAlignment="1">
      <alignment horizontal="left" vertical="top" wrapText="1"/>
    </xf>
    <xf numFmtId="49" fontId="11" fillId="0" borderId="22" xfId="1" applyNumberFormat="1" applyFont="1" applyBorder="1" applyAlignment="1">
      <alignment vertical="top" wrapText="1"/>
    </xf>
    <xf numFmtId="0" fontId="15" fillId="0" borderId="75" xfId="1" applyFont="1" applyBorder="1" applyAlignment="1">
      <alignment horizontal="left" vertical="center" wrapText="1"/>
    </xf>
    <xf numFmtId="0" fontId="15" fillId="0" borderId="88" xfId="1" applyFont="1" applyBorder="1" applyAlignment="1">
      <alignment horizontal="left" vertical="center" wrapText="1"/>
    </xf>
    <xf numFmtId="0" fontId="15" fillId="0" borderId="19" xfId="1" applyFont="1" applyBorder="1" applyAlignment="1">
      <alignment horizontal="left" vertical="center" wrapText="1"/>
    </xf>
    <xf numFmtId="0" fontId="15" fillId="0" borderId="54" xfId="1" applyFont="1" applyBorder="1" applyAlignment="1">
      <alignment horizontal="left" vertical="center" wrapText="1"/>
    </xf>
    <xf numFmtId="0" fontId="19" fillId="2" borderId="54" xfId="1" applyFont="1" applyFill="1" applyBorder="1" applyAlignment="1">
      <alignment horizontal="left" vertical="center" wrapText="1"/>
    </xf>
    <xf numFmtId="0" fontId="19" fillId="0" borderId="54" xfId="1" applyFont="1" applyBorder="1" applyAlignment="1">
      <alignment horizontal="left" vertical="center" wrapText="1"/>
    </xf>
    <xf numFmtId="0" fontId="36" fillId="0" borderId="35" xfId="1" applyFont="1" applyBorder="1" applyAlignment="1">
      <alignment vertical="center" wrapText="1"/>
    </xf>
    <xf numFmtId="0" fontId="16" fillId="0" borderId="43" xfId="1" applyFont="1" applyBorder="1" applyAlignment="1">
      <alignment horizontal="left" vertical="center" wrapText="1"/>
    </xf>
    <xf numFmtId="49" fontId="36" fillId="0" borderId="35" xfId="1" applyNumberFormat="1" applyFont="1" applyBorder="1" applyAlignment="1">
      <alignment vertical="center" wrapText="1"/>
    </xf>
    <xf numFmtId="49" fontId="36" fillId="0" borderId="14" xfId="1" applyNumberFormat="1" applyFont="1" applyBorder="1" applyAlignment="1">
      <alignment vertical="center" wrapText="1"/>
    </xf>
    <xf numFmtId="49" fontId="36" fillId="0" borderId="24" xfId="1" applyNumberFormat="1" applyFont="1" applyBorder="1" applyAlignment="1">
      <alignment vertical="center" wrapText="1"/>
    </xf>
    <xf numFmtId="49" fontId="36" fillId="0" borderId="31" xfId="1" applyNumberFormat="1" applyFont="1" applyBorder="1" applyAlignment="1">
      <alignment vertical="center" wrapText="1"/>
    </xf>
    <xf numFmtId="49" fontId="36" fillId="2" borderId="35" xfId="1" applyNumberFormat="1" applyFont="1" applyFill="1" applyBorder="1" applyAlignment="1">
      <alignment vertical="center" wrapText="1"/>
    </xf>
    <xf numFmtId="0" fontId="36" fillId="0" borderId="40" xfId="1" applyFont="1" applyBorder="1" applyAlignment="1">
      <alignment vertical="center" wrapText="1"/>
    </xf>
    <xf numFmtId="0" fontId="36" fillId="0" borderId="116" xfId="1" applyFont="1" applyBorder="1" applyAlignment="1">
      <alignment vertical="center" wrapText="1"/>
    </xf>
    <xf numFmtId="49" fontId="36" fillId="2" borderId="52" xfId="1" applyNumberFormat="1" applyFont="1" applyFill="1" applyBorder="1" applyAlignment="1">
      <alignment vertical="center" wrapText="1"/>
    </xf>
    <xf numFmtId="49" fontId="36" fillId="2" borderId="31" xfId="1" applyNumberFormat="1" applyFont="1" applyFill="1" applyBorder="1" applyAlignment="1">
      <alignment vertical="center" wrapText="1"/>
    </xf>
    <xf numFmtId="0" fontId="36" fillId="0" borderId="56" xfId="1" applyFont="1" applyBorder="1" applyAlignment="1">
      <alignment vertical="center" wrapText="1"/>
    </xf>
    <xf numFmtId="0" fontId="36" fillId="2" borderId="58" xfId="1" applyFont="1" applyFill="1" applyBorder="1" applyAlignment="1">
      <alignment vertical="center" wrapText="1"/>
    </xf>
    <xf numFmtId="0" fontId="36" fillId="0" borderId="59" xfId="1" applyFont="1" applyBorder="1" applyAlignment="1">
      <alignment vertical="center" wrapText="1"/>
    </xf>
    <xf numFmtId="49" fontId="36" fillId="0" borderId="62" xfId="1" applyNumberFormat="1" applyFont="1" applyBorder="1" applyAlignment="1">
      <alignment vertical="center" wrapText="1"/>
    </xf>
    <xf numFmtId="49" fontId="36" fillId="0" borderId="56" xfId="1" applyNumberFormat="1" applyFont="1" applyBorder="1" applyAlignment="1">
      <alignment vertical="center" wrapText="1"/>
    </xf>
    <xf numFmtId="49" fontId="36" fillId="2" borderId="62" xfId="1" applyNumberFormat="1" applyFont="1" applyFill="1" applyBorder="1" applyAlignment="1">
      <alignment vertical="center" wrapText="1"/>
    </xf>
    <xf numFmtId="49" fontId="36" fillId="0" borderId="66" xfId="1" applyNumberFormat="1" applyFont="1" applyBorder="1" applyAlignment="1">
      <alignment vertical="center" wrapText="1"/>
    </xf>
    <xf numFmtId="0" fontId="36" fillId="2" borderId="62" xfId="1" applyFont="1" applyFill="1" applyBorder="1" applyAlignment="1">
      <alignment vertical="center" wrapText="1"/>
    </xf>
    <xf numFmtId="49" fontId="36" fillId="0" borderId="58" xfId="1" applyNumberFormat="1" applyFont="1" applyBorder="1" applyAlignment="1">
      <alignment vertical="center" wrapText="1"/>
    </xf>
    <xf numFmtId="49" fontId="36" fillId="0" borderId="76" xfId="1" applyNumberFormat="1" applyFont="1" applyBorder="1" applyAlignment="1">
      <alignment vertical="center" wrapText="1"/>
    </xf>
    <xf numFmtId="49" fontId="36" fillId="0" borderId="85" xfId="1" applyNumberFormat="1" applyFont="1" applyBorder="1" applyAlignment="1">
      <alignment vertical="center" wrapText="1"/>
    </xf>
    <xf numFmtId="49" fontId="36" fillId="0" borderId="87" xfId="1" applyNumberFormat="1" applyFont="1" applyBorder="1" applyAlignment="1">
      <alignment vertical="center" wrapText="1"/>
    </xf>
    <xf numFmtId="49" fontId="36" fillId="2" borderId="14" xfId="1" applyNumberFormat="1" applyFont="1" applyFill="1" applyBorder="1" applyAlignment="1">
      <alignment vertical="center" wrapText="1"/>
    </xf>
    <xf numFmtId="0" fontId="36" fillId="2" borderId="35" xfId="1" applyFont="1" applyFill="1" applyBorder="1" applyAlignment="1">
      <alignment vertical="center" wrapText="1"/>
    </xf>
    <xf numFmtId="0" fontId="36" fillId="5" borderId="35" xfId="1" applyFont="1" applyFill="1" applyBorder="1" applyAlignment="1">
      <alignment vertical="center" wrapText="1"/>
    </xf>
    <xf numFmtId="0" fontId="36" fillId="5" borderId="90" xfId="1" applyFont="1" applyFill="1" applyBorder="1" applyAlignment="1">
      <alignment vertical="center" wrapText="1"/>
    </xf>
    <xf numFmtId="49" fontId="36" fillId="0" borderId="91" xfId="1" applyNumberFormat="1" applyFont="1" applyBorder="1" applyAlignment="1">
      <alignment vertical="center" wrapText="1"/>
    </xf>
    <xf numFmtId="49" fontId="36" fillId="2" borderId="90" xfId="1" applyNumberFormat="1" applyFont="1" applyFill="1" applyBorder="1" applyAlignment="1">
      <alignment vertical="center" wrapText="1"/>
    </xf>
    <xf numFmtId="0" fontId="36" fillId="0" borderId="62" xfId="1" applyFont="1" applyBorder="1" applyAlignment="1">
      <alignment vertical="center" wrapText="1"/>
    </xf>
    <xf numFmtId="49" fontId="36" fillId="0" borderId="98" xfId="1" applyNumberFormat="1" applyFont="1" applyBorder="1" applyAlignment="1">
      <alignment vertical="center" wrapText="1"/>
    </xf>
    <xf numFmtId="0" fontId="36" fillId="0" borderId="66" xfId="1" applyFont="1" applyBorder="1" applyAlignment="1">
      <alignment vertical="center" wrapText="1"/>
    </xf>
    <xf numFmtId="49" fontId="36" fillId="0" borderId="68" xfId="1" applyNumberFormat="1" applyFont="1" applyBorder="1" applyAlignment="1">
      <alignment vertical="center" wrapText="1"/>
    </xf>
    <xf numFmtId="49" fontId="36" fillId="0" borderId="90" xfId="1" applyNumberFormat="1" applyFont="1" applyBorder="1" applyAlignment="1">
      <alignment vertical="center" wrapText="1"/>
    </xf>
    <xf numFmtId="49" fontId="36" fillId="0" borderId="105" xfId="1" applyNumberFormat="1" applyFont="1" applyBorder="1" applyAlignment="1">
      <alignment vertical="center" wrapText="1"/>
    </xf>
    <xf numFmtId="0" fontId="36" fillId="0" borderId="90" xfId="1" applyFont="1" applyBorder="1" applyAlignment="1">
      <alignment vertical="center" wrapText="1"/>
    </xf>
    <xf numFmtId="49" fontId="36" fillId="0" borderId="109" xfId="1" applyNumberFormat="1" applyFont="1" applyBorder="1" applyAlignment="1">
      <alignment vertical="center" wrapText="1"/>
    </xf>
    <xf numFmtId="49" fontId="36" fillId="0" borderId="59" xfId="1" applyNumberFormat="1" applyFont="1" applyBorder="1" applyAlignment="1">
      <alignment vertical="center" wrapText="1"/>
    </xf>
    <xf numFmtId="0" fontId="36" fillId="5" borderId="66" xfId="1" applyFont="1" applyFill="1" applyBorder="1" applyAlignment="1">
      <alignment vertical="center" wrapText="1"/>
    </xf>
    <xf numFmtId="0" fontId="36" fillId="5" borderId="40" xfId="1" applyFont="1" applyFill="1" applyBorder="1" applyAlignment="1">
      <alignment vertical="center" wrapText="1"/>
    </xf>
    <xf numFmtId="0" fontId="36" fillId="0" borderId="31" xfId="1" applyFont="1" applyBorder="1" applyAlignment="1">
      <alignment vertical="center" wrapText="1"/>
    </xf>
    <xf numFmtId="0" fontId="36" fillId="5" borderId="116" xfId="1" applyFont="1" applyFill="1" applyBorder="1" applyAlignment="1">
      <alignment vertical="center" wrapText="1"/>
    </xf>
    <xf numFmtId="0" fontId="36" fillId="5" borderId="58" xfId="1" applyFont="1" applyFill="1" applyBorder="1" applyAlignment="1">
      <alignment vertical="center" wrapText="1"/>
    </xf>
    <xf numFmtId="0" fontId="36" fillId="5" borderId="91" xfId="1" applyFont="1" applyFill="1" applyBorder="1" applyAlignment="1">
      <alignment vertical="center" wrapText="1"/>
    </xf>
    <xf numFmtId="0" fontId="36" fillId="0" borderId="58" xfId="1" applyFont="1" applyBorder="1" applyAlignment="1">
      <alignment vertical="center" wrapText="1"/>
    </xf>
    <xf numFmtId="49" fontId="36" fillId="0" borderId="101" xfId="1" applyNumberFormat="1" applyFont="1" applyBorder="1" applyAlignment="1">
      <alignment vertical="center" wrapText="1"/>
    </xf>
    <xf numFmtId="0" fontId="36" fillId="0" borderId="124" xfId="1" applyFont="1" applyBorder="1" applyAlignment="1">
      <alignment vertical="center" wrapText="1"/>
    </xf>
    <xf numFmtId="0" fontId="36" fillId="0" borderId="85" xfId="1" applyFont="1" applyBorder="1" applyAlignment="1">
      <alignment vertical="center" wrapText="1"/>
    </xf>
    <xf numFmtId="0" fontId="36" fillId="5" borderId="130" xfId="1" applyFont="1" applyFill="1" applyBorder="1" applyAlignment="1">
      <alignment vertical="center" wrapText="1"/>
    </xf>
    <xf numFmtId="0" fontId="36" fillId="2" borderId="91" xfId="1" applyFont="1" applyFill="1" applyBorder="1" applyAlignment="1">
      <alignment vertical="center" wrapText="1"/>
    </xf>
    <xf numFmtId="0" fontId="36" fillId="2" borderId="88" xfId="1" applyFont="1" applyFill="1" applyBorder="1" applyAlignment="1">
      <alignment vertical="center" wrapText="1"/>
    </xf>
    <xf numFmtId="0" fontId="36" fillId="0" borderId="109" xfId="1" applyFont="1" applyBorder="1" applyAlignment="1">
      <alignment vertical="center" wrapText="1"/>
    </xf>
    <xf numFmtId="0" fontId="36" fillId="0" borderId="91" xfId="1" applyFont="1" applyBorder="1" applyAlignment="1">
      <alignment vertical="center" wrapText="1"/>
    </xf>
    <xf numFmtId="0" fontId="36" fillId="0" borderId="132" xfId="1" applyFont="1" applyBorder="1" applyAlignment="1">
      <alignment vertical="center" wrapText="1"/>
    </xf>
    <xf numFmtId="0" fontId="36" fillId="0" borderId="104" xfId="1" applyFont="1" applyBorder="1" applyAlignment="1">
      <alignment vertical="center" wrapText="1"/>
    </xf>
    <xf numFmtId="0" fontId="36" fillId="0" borderId="131" xfId="1" applyFont="1" applyBorder="1" applyAlignment="1">
      <alignment vertical="center" wrapText="1"/>
    </xf>
    <xf numFmtId="0" fontId="36" fillId="0" borderId="119" xfId="1" applyFont="1" applyBorder="1" applyAlignment="1">
      <alignment vertical="center" wrapText="1"/>
    </xf>
    <xf numFmtId="0" fontId="36" fillId="5" borderId="136" xfId="1" applyFont="1" applyFill="1" applyBorder="1" applyAlignment="1">
      <alignment vertical="center" wrapText="1"/>
    </xf>
    <xf numFmtId="0" fontId="36" fillId="0" borderId="137" xfId="1" applyFont="1" applyBorder="1" applyAlignment="1">
      <alignment vertical="center" wrapText="1"/>
    </xf>
    <xf numFmtId="0" fontId="36" fillId="0" borderId="76" xfId="1" applyFont="1" applyBorder="1" applyAlignment="1">
      <alignment vertical="center" wrapText="1"/>
    </xf>
    <xf numFmtId="0" fontId="36" fillId="2" borderId="85" xfId="1" applyFont="1" applyFill="1" applyBorder="1" applyAlignment="1">
      <alignment vertical="center" wrapText="1"/>
    </xf>
    <xf numFmtId="0" fontId="36" fillId="0" borderId="138" xfId="1" applyFont="1" applyBorder="1" applyAlignment="1">
      <alignment vertical="center" wrapText="1"/>
    </xf>
    <xf numFmtId="0" fontId="36" fillId="0" borderId="93" xfId="1" applyFont="1" applyBorder="1" applyAlignment="1">
      <alignment vertical="center" wrapText="1"/>
    </xf>
    <xf numFmtId="0" fontId="36" fillId="0" borderId="143" xfId="1" applyFont="1" applyBorder="1" applyAlignment="1">
      <alignment vertical="center" wrapText="1"/>
    </xf>
    <xf numFmtId="49" fontId="11" fillId="2" borderId="23" xfId="1" applyNumberFormat="1" applyFont="1" applyFill="1" applyBorder="1" applyAlignment="1">
      <alignment horizontal="center" vertical="center" wrapText="1"/>
    </xf>
    <xf numFmtId="49" fontId="11" fillId="0" borderId="6" xfId="1" applyNumberFormat="1" applyFont="1" applyBorder="1" applyAlignment="1">
      <alignment horizontal="center" vertical="center" wrapText="1"/>
    </xf>
    <xf numFmtId="49" fontId="36" fillId="0" borderId="7" xfId="1" applyNumberFormat="1" applyFont="1" applyBorder="1" applyAlignment="1">
      <alignment vertical="center" wrapText="1"/>
    </xf>
    <xf numFmtId="0" fontId="36" fillId="0" borderId="0" xfId="1" applyFont="1" applyAlignment="1">
      <alignment vertical="center"/>
    </xf>
    <xf numFmtId="0" fontId="11" fillId="0" borderId="0" xfId="1" applyFont="1"/>
    <xf numFmtId="0" fontId="11" fillId="0" borderId="0" xfId="1" applyFont="1" applyAlignment="1">
      <alignment horizontal="center" vertical="center"/>
    </xf>
    <xf numFmtId="0" fontId="23" fillId="0" borderId="0" xfId="1" applyFont="1"/>
    <xf numFmtId="0" fontId="36" fillId="0" borderId="148" xfId="1" applyFont="1" applyBorder="1" applyAlignment="1">
      <alignment vertical="center"/>
    </xf>
    <xf numFmtId="0" fontId="36" fillId="0" borderId="0" xfId="1" applyFont="1" applyAlignment="1">
      <alignment vertical="center" wrapText="1"/>
    </xf>
    <xf numFmtId="49" fontId="11" fillId="2" borderId="10" xfId="1" applyNumberFormat="1" applyFont="1" applyFill="1" applyBorder="1" applyAlignment="1">
      <alignment horizontal="center" vertical="center" wrapText="1"/>
    </xf>
    <xf numFmtId="0" fontId="11" fillId="2" borderId="10" xfId="1" applyFont="1" applyFill="1" applyBorder="1" applyAlignment="1">
      <alignment horizontal="center" vertical="center"/>
    </xf>
    <xf numFmtId="0" fontId="23" fillId="0" borderId="148" xfId="1" applyFont="1" applyBorder="1" applyAlignment="1">
      <alignment horizontal="center" vertical="center"/>
    </xf>
    <xf numFmtId="0" fontId="11" fillId="0" borderId="0" xfId="1" applyFont="1" applyAlignment="1">
      <alignment horizontal="center" vertical="center" wrapText="1"/>
    </xf>
    <xf numFmtId="0" fontId="11" fillId="2" borderId="0" xfId="1" applyFont="1" applyFill="1" applyAlignment="1">
      <alignment horizontal="center" vertical="center"/>
    </xf>
    <xf numFmtId="49" fontId="11" fillId="2" borderId="55" xfId="1" applyNumberFormat="1" applyFont="1" applyFill="1" applyBorder="1" applyAlignment="1">
      <alignment horizontal="center" vertical="center" wrapText="1"/>
    </xf>
    <xf numFmtId="49" fontId="36" fillId="2" borderId="58" xfId="1" applyNumberFormat="1" applyFont="1" applyFill="1" applyBorder="1" applyAlignment="1">
      <alignment vertical="center" wrapText="1"/>
    </xf>
    <xf numFmtId="0" fontId="36" fillId="2" borderId="31" xfId="1" applyFont="1" applyFill="1" applyBorder="1" applyAlignment="1">
      <alignment vertical="center" wrapText="1"/>
    </xf>
    <xf numFmtId="49" fontId="36" fillId="0" borderId="93" xfId="1" applyNumberFormat="1" applyFont="1" applyBorder="1" applyAlignment="1">
      <alignment vertical="center" wrapText="1"/>
    </xf>
    <xf numFmtId="0" fontId="36" fillId="2" borderId="59" xfId="1" applyFont="1" applyFill="1" applyBorder="1" applyAlignment="1">
      <alignment vertical="center" wrapText="1"/>
    </xf>
    <xf numFmtId="0" fontId="36" fillId="0" borderId="99" xfId="1" applyFont="1" applyBorder="1" applyAlignment="1">
      <alignment vertical="center" wrapText="1"/>
    </xf>
    <xf numFmtId="0" fontId="36" fillId="0" borderId="41" xfId="1" applyFont="1" applyBorder="1" applyAlignment="1">
      <alignment vertical="center" wrapText="1"/>
    </xf>
    <xf numFmtId="49" fontId="11" fillId="2" borderId="100" xfId="1" applyNumberFormat="1" applyFont="1" applyFill="1" applyBorder="1" applyAlignment="1">
      <alignment horizontal="center" vertical="center" wrapText="1"/>
    </xf>
    <xf numFmtId="49" fontId="11" fillId="2" borderId="102" xfId="1" applyNumberFormat="1" applyFont="1" applyFill="1" applyBorder="1" applyAlignment="1">
      <alignment horizontal="center" vertical="center" wrapText="1"/>
    </xf>
    <xf numFmtId="0" fontId="11" fillId="0" borderId="57" xfId="1" applyFont="1" applyBorder="1" applyAlignment="1">
      <alignment horizontal="center" vertical="center"/>
    </xf>
    <xf numFmtId="0" fontId="36" fillId="0" borderId="89" xfId="1" applyFont="1" applyBorder="1" applyAlignment="1">
      <alignment vertical="center" wrapText="1"/>
    </xf>
    <xf numFmtId="0" fontId="36" fillId="0" borderId="81" xfId="1" applyFont="1" applyBorder="1" applyAlignment="1">
      <alignment vertical="center" wrapText="1"/>
    </xf>
    <xf numFmtId="0" fontId="36" fillId="5" borderId="93" xfId="1" applyFont="1" applyFill="1" applyBorder="1" applyAlignment="1">
      <alignment vertical="center" wrapText="1"/>
    </xf>
    <xf numFmtId="0" fontId="36" fillId="0" borderId="68" xfId="1" applyFont="1" applyBorder="1" applyAlignment="1">
      <alignment vertical="center" wrapText="1"/>
    </xf>
    <xf numFmtId="0" fontId="36" fillId="2" borderId="119" xfId="1" applyFont="1" applyFill="1" applyBorder="1" applyAlignment="1">
      <alignment vertical="center" wrapText="1"/>
    </xf>
    <xf numFmtId="0" fontId="36" fillId="2" borderId="90" xfId="1" applyFont="1" applyFill="1" applyBorder="1" applyAlignment="1">
      <alignment vertical="center" wrapText="1"/>
    </xf>
    <xf numFmtId="0" fontId="11" fillId="2" borderId="122" xfId="1" applyFont="1" applyFill="1" applyBorder="1" applyAlignment="1">
      <alignment horizontal="center" vertical="center" wrapText="1"/>
    </xf>
    <xf numFmtId="0" fontId="11" fillId="2" borderId="80" xfId="1" applyFont="1" applyFill="1" applyBorder="1" applyAlignment="1">
      <alignment horizontal="center" vertical="center" wrapText="1"/>
    </xf>
    <xf numFmtId="49" fontId="36" fillId="2" borderId="124" xfId="1" applyNumberFormat="1" applyFont="1" applyFill="1" applyBorder="1" applyAlignment="1">
      <alignment vertical="center" wrapText="1"/>
    </xf>
    <xf numFmtId="49" fontId="36" fillId="2" borderId="81" xfId="1" applyNumberFormat="1" applyFont="1" applyFill="1" applyBorder="1" applyAlignment="1">
      <alignment vertical="center" wrapText="1"/>
    </xf>
    <xf numFmtId="0" fontId="11" fillId="2" borderId="94" xfId="1" applyFont="1" applyFill="1" applyBorder="1" applyAlignment="1">
      <alignment horizontal="center" vertical="center" wrapText="1"/>
    </xf>
    <xf numFmtId="49" fontId="36" fillId="2" borderId="40" xfId="1" applyNumberFormat="1" applyFont="1" applyFill="1" applyBorder="1" applyAlignment="1">
      <alignment vertical="center" wrapText="1"/>
    </xf>
    <xf numFmtId="49" fontId="11" fillId="2" borderId="79" xfId="1" applyNumberFormat="1" applyFont="1" applyFill="1" applyBorder="1" applyAlignment="1">
      <alignment horizontal="center" vertical="center" wrapText="1"/>
    </xf>
    <xf numFmtId="49" fontId="11" fillId="2" borderId="114" xfId="1" applyNumberFormat="1" applyFont="1" applyFill="1" applyBorder="1" applyAlignment="1">
      <alignment horizontal="center" vertical="center" wrapText="1"/>
    </xf>
    <xf numFmtId="0" fontId="11" fillId="0" borderId="123" xfId="1" applyFont="1" applyBorder="1" applyAlignment="1">
      <alignment horizontal="center" vertical="center" wrapText="1"/>
    </xf>
    <xf numFmtId="0" fontId="36" fillId="0" borderId="24" xfId="1" applyFont="1" applyBorder="1" applyAlignment="1">
      <alignment vertical="center" wrapText="1"/>
    </xf>
    <xf numFmtId="0" fontId="36" fillId="0" borderId="130" xfId="1" applyFont="1" applyBorder="1" applyAlignment="1">
      <alignment vertical="center" wrapText="1"/>
    </xf>
    <xf numFmtId="0" fontId="36" fillId="2" borderId="68" xfId="1" applyFont="1" applyFill="1" applyBorder="1" applyAlignment="1">
      <alignment vertical="center" wrapText="1"/>
    </xf>
    <xf numFmtId="0" fontId="11" fillId="2" borderId="115" xfId="1" applyFont="1" applyFill="1" applyBorder="1" applyAlignment="1">
      <alignment horizontal="center" vertical="center"/>
    </xf>
    <xf numFmtId="0" fontId="36" fillId="5" borderId="131" xfId="1" applyFont="1" applyFill="1" applyBorder="1" applyAlignment="1">
      <alignment vertical="center" wrapText="1"/>
    </xf>
    <xf numFmtId="0" fontId="36" fillId="5" borderId="85" xfId="1" applyFont="1" applyFill="1" applyBorder="1" applyAlignment="1">
      <alignment vertical="center" wrapText="1"/>
    </xf>
    <xf numFmtId="0" fontId="36" fillId="5" borderId="119" xfId="1" applyFont="1" applyFill="1" applyBorder="1" applyAlignment="1">
      <alignment vertical="center" wrapText="1"/>
    </xf>
    <xf numFmtId="0" fontId="36" fillId="5" borderId="71" xfId="1" applyFont="1" applyFill="1" applyBorder="1" applyAlignment="1">
      <alignment vertical="center" wrapText="1"/>
    </xf>
    <xf numFmtId="0" fontId="12" fillId="2" borderId="25" xfId="1" applyFont="1" applyFill="1" applyBorder="1" applyAlignment="1">
      <alignment horizontal="center" vertical="center" wrapText="1"/>
    </xf>
    <xf numFmtId="49" fontId="11" fillId="2" borderId="107" xfId="1" applyNumberFormat="1" applyFont="1" applyFill="1" applyBorder="1" applyAlignment="1">
      <alignment horizontal="center" vertical="center" wrapText="1"/>
    </xf>
    <xf numFmtId="0" fontId="36" fillId="2" borderId="132" xfId="1" applyFont="1" applyFill="1" applyBorder="1" applyAlignment="1">
      <alignment vertical="center" wrapText="1"/>
    </xf>
    <xf numFmtId="0" fontId="36" fillId="2" borderId="40" xfId="1" applyFont="1" applyFill="1" applyBorder="1" applyAlignment="1">
      <alignment vertical="center" wrapText="1"/>
    </xf>
    <xf numFmtId="0" fontId="36" fillId="0" borderId="118" xfId="1" applyFont="1" applyBorder="1" applyAlignment="1">
      <alignment vertical="center" wrapText="1"/>
    </xf>
    <xf numFmtId="0" fontId="36" fillId="2" borderId="135" xfId="1" applyFont="1" applyFill="1" applyBorder="1" applyAlignment="1">
      <alignment vertical="center" wrapText="1"/>
    </xf>
    <xf numFmtId="49" fontId="11" fillId="2" borderId="16" xfId="1" applyNumberFormat="1" applyFont="1" applyFill="1" applyBorder="1" applyAlignment="1">
      <alignment horizontal="center" vertical="center"/>
    </xf>
    <xf numFmtId="0" fontId="36" fillId="0" borderId="108" xfId="1" applyFont="1" applyBorder="1" applyAlignment="1">
      <alignment vertical="center" wrapText="1"/>
    </xf>
    <xf numFmtId="0" fontId="12" fillId="2" borderId="53" xfId="1" applyFont="1" applyFill="1" applyBorder="1" applyAlignment="1">
      <alignment horizontal="center" vertical="center"/>
    </xf>
    <xf numFmtId="49" fontId="13" fillId="2" borderId="149" xfId="1" applyNumberFormat="1" applyFont="1" applyFill="1" applyBorder="1" applyAlignment="1">
      <alignment horizontal="center" vertical="center"/>
    </xf>
    <xf numFmtId="49" fontId="18" fillId="2" borderId="149" xfId="1" applyNumberFormat="1" applyFont="1" applyFill="1" applyBorder="1" applyAlignment="1">
      <alignment horizontal="center" vertical="center"/>
    </xf>
    <xf numFmtId="0" fontId="11" fillId="0" borderId="150" xfId="1" applyFont="1" applyBorder="1" applyAlignment="1">
      <alignment horizontal="center" vertical="center" wrapText="1"/>
    </xf>
    <xf numFmtId="0" fontId="12" fillId="0" borderId="37" xfId="1" applyFont="1" applyBorder="1" applyAlignment="1">
      <alignment horizontal="left" vertical="center" wrapText="1"/>
    </xf>
    <xf numFmtId="0" fontId="12" fillId="0" borderId="150" xfId="1" applyFont="1" applyBorder="1" applyAlignment="1">
      <alignment horizontal="center" vertical="center" wrapText="1"/>
    </xf>
    <xf numFmtId="0" fontId="12" fillId="2" borderId="8" xfId="1" applyFont="1" applyFill="1" applyBorder="1" applyAlignment="1">
      <alignment horizontal="center" vertical="center" wrapText="1"/>
    </xf>
    <xf numFmtId="49" fontId="11" fillId="2" borderId="80" xfId="1" applyNumberFormat="1" applyFont="1" applyFill="1" applyBorder="1" applyAlignment="1">
      <alignment horizontal="center" vertical="center" wrapText="1"/>
    </xf>
    <xf numFmtId="49" fontId="36" fillId="2" borderId="101" xfId="1" applyNumberFormat="1" applyFont="1" applyFill="1" applyBorder="1" applyAlignment="1">
      <alignment vertical="center" wrapText="1"/>
    </xf>
    <xf numFmtId="0" fontId="36" fillId="0" borderId="103" xfId="1" applyFont="1" applyBorder="1" applyAlignment="1">
      <alignment vertical="center" wrapText="1"/>
    </xf>
    <xf numFmtId="49" fontId="36" fillId="0" borderId="104" xfId="1" applyNumberFormat="1" applyFont="1" applyBorder="1" applyAlignment="1">
      <alignment vertical="center" wrapText="1"/>
    </xf>
    <xf numFmtId="0" fontId="36" fillId="0" borderId="110" xfId="1" applyFont="1" applyBorder="1" applyAlignment="1">
      <alignment vertical="center" wrapText="1"/>
    </xf>
    <xf numFmtId="0" fontId="36" fillId="0" borderId="111" xfId="1" applyFont="1" applyBorder="1" applyAlignment="1">
      <alignment vertical="center" wrapText="1"/>
    </xf>
    <xf numFmtId="0" fontId="36" fillId="0" borderId="112" xfId="1" applyFont="1" applyBorder="1" applyAlignment="1">
      <alignment vertical="center" wrapText="1"/>
    </xf>
    <xf numFmtId="0" fontId="36" fillId="0" borderId="113" xfId="1" applyFont="1" applyBorder="1" applyAlignment="1">
      <alignment vertical="center" wrapText="1"/>
    </xf>
    <xf numFmtId="0" fontId="36" fillId="0" borderId="90" xfId="2" applyFont="1" applyBorder="1" applyAlignment="1">
      <alignment vertical="center" wrapText="1"/>
    </xf>
    <xf numFmtId="0" fontId="36" fillId="0" borderId="114" xfId="1" applyFont="1" applyBorder="1" applyAlignment="1">
      <alignment vertical="center" wrapText="1"/>
    </xf>
    <xf numFmtId="0" fontId="36" fillId="2" borderId="110" xfId="1" applyFont="1" applyFill="1" applyBorder="1" applyAlignment="1">
      <alignment vertical="center" wrapText="1"/>
    </xf>
    <xf numFmtId="0" fontId="36" fillId="2" borderId="113" xfId="1" applyFont="1" applyFill="1" applyBorder="1" applyAlignment="1">
      <alignment vertical="center" wrapText="1"/>
    </xf>
    <xf numFmtId="0" fontId="36" fillId="2" borderId="89" xfId="1" applyFont="1" applyFill="1" applyBorder="1" applyAlignment="1">
      <alignment vertical="center" wrapText="1"/>
    </xf>
    <xf numFmtId="0" fontId="36" fillId="2" borderId="0" xfId="1" applyFont="1" applyFill="1" applyAlignment="1">
      <alignment vertical="center" wrapText="1"/>
    </xf>
    <xf numFmtId="0" fontId="36" fillId="2" borderId="126" xfId="1" applyFont="1" applyFill="1" applyBorder="1" applyAlignment="1">
      <alignment vertical="center" wrapText="1"/>
    </xf>
    <xf numFmtId="0" fontId="36" fillId="2" borderId="127" xfId="1" applyFont="1" applyFill="1" applyBorder="1" applyAlignment="1">
      <alignment vertical="center" wrapText="1"/>
    </xf>
    <xf numFmtId="0" fontId="36" fillId="0" borderId="133" xfId="1" applyFont="1" applyBorder="1" applyAlignment="1">
      <alignment vertical="center" wrapText="1"/>
    </xf>
    <xf numFmtId="0" fontId="36" fillId="0" borderId="37" xfId="1" applyFont="1" applyBorder="1" applyAlignment="1">
      <alignment horizontal="left" vertical="center" wrapText="1"/>
    </xf>
    <xf numFmtId="0" fontId="11" fillId="0" borderId="148" xfId="1" applyFont="1" applyBorder="1" applyAlignment="1">
      <alignment horizontal="center" vertical="center"/>
    </xf>
    <xf numFmtId="49" fontId="12" fillId="0" borderId="7" xfId="1" applyNumberFormat="1" applyFont="1" applyBorder="1" applyAlignment="1">
      <alignment horizontal="center" vertical="center" wrapText="1"/>
    </xf>
    <xf numFmtId="49" fontId="11" fillId="6" borderId="34" xfId="1" applyNumberFormat="1" applyFont="1" applyFill="1" applyBorder="1" applyAlignment="1">
      <alignment horizontal="center" vertical="center" wrapText="1"/>
    </xf>
    <xf numFmtId="49" fontId="36" fillId="6" borderId="35" xfId="1" applyNumberFormat="1" applyFont="1" applyFill="1" applyBorder="1" applyAlignment="1">
      <alignment vertical="center" wrapText="1"/>
    </xf>
    <xf numFmtId="0" fontId="11" fillId="6" borderId="25" xfId="1" applyFont="1" applyFill="1" applyBorder="1" applyAlignment="1">
      <alignment horizontal="center" vertical="center"/>
    </xf>
    <xf numFmtId="0" fontId="36" fillId="6" borderId="35" xfId="1" applyFont="1" applyFill="1" applyBorder="1" applyAlignment="1">
      <alignment vertical="center" wrapText="1"/>
    </xf>
    <xf numFmtId="49" fontId="11" fillId="6" borderId="30" xfId="1" applyNumberFormat="1" applyFont="1" applyFill="1" applyBorder="1" applyAlignment="1">
      <alignment horizontal="center" vertical="center" wrapText="1"/>
    </xf>
    <xf numFmtId="49" fontId="36" fillId="6" borderId="31" xfId="1" applyNumberFormat="1" applyFont="1" applyFill="1" applyBorder="1" applyAlignment="1">
      <alignment vertical="center" wrapText="1"/>
    </xf>
    <xf numFmtId="49" fontId="11" fillId="6" borderId="47" xfId="1" applyNumberFormat="1" applyFont="1" applyFill="1" applyBorder="1" applyAlignment="1">
      <alignment horizontal="center" vertical="center" wrapText="1"/>
    </xf>
    <xf numFmtId="49" fontId="11" fillId="6" borderId="25" xfId="1" applyNumberFormat="1" applyFont="1" applyFill="1" applyBorder="1" applyAlignment="1">
      <alignment horizontal="center" vertical="center" wrapText="1"/>
    </xf>
    <xf numFmtId="49" fontId="11" fillId="6" borderId="61" xfId="1" applyNumberFormat="1" applyFont="1" applyFill="1" applyBorder="1" applyAlignment="1">
      <alignment horizontal="center" vertical="center" wrapText="1"/>
    </xf>
    <xf numFmtId="49" fontId="36" fillId="6" borderId="62" xfId="1" applyNumberFormat="1" applyFont="1" applyFill="1" applyBorder="1" applyAlignment="1">
      <alignment vertical="center" wrapText="1"/>
    </xf>
    <xf numFmtId="49" fontId="11" fillId="6" borderId="13" xfId="1" applyNumberFormat="1" applyFont="1" applyFill="1" applyBorder="1" applyAlignment="1">
      <alignment horizontal="center" vertical="center" wrapText="1"/>
    </xf>
    <xf numFmtId="49" fontId="36" fillId="6" borderId="14" xfId="1" applyNumberFormat="1" applyFont="1" applyFill="1" applyBorder="1" applyAlignment="1">
      <alignment vertical="center" wrapText="1"/>
    </xf>
    <xf numFmtId="0" fontId="11" fillId="6" borderId="15" xfId="1" applyFont="1" applyFill="1" applyBorder="1" applyAlignment="1">
      <alignment horizontal="center" vertical="center"/>
    </xf>
    <xf numFmtId="49" fontId="11" fillId="6" borderId="55" xfId="1" applyNumberFormat="1" applyFont="1" applyFill="1" applyBorder="1" applyAlignment="1">
      <alignment horizontal="center" vertical="center" wrapText="1"/>
    </xf>
    <xf numFmtId="49" fontId="36" fillId="6" borderId="56" xfId="1" applyNumberFormat="1" applyFont="1" applyFill="1" applyBorder="1" applyAlignment="1">
      <alignment vertical="center" wrapText="1"/>
    </xf>
    <xf numFmtId="0" fontId="11" fillId="6" borderId="64" xfId="1" applyFont="1" applyFill="1" applyBorder="1" applyAlignment="1">
      <alignment horizontal="center" vertical="center"/>
    </xf>
    <xf numFmtId="49" fontId="11" fillId="6" borderId="22" xfId="1" applyNumberFormat="1" applyFont="1" applyFill="1" applyBorder="1" applyAlignment="1">
      <alignment horizontal="center" vertical="center" wrapText="1"/>
    </xf>
    <xf numFmtId="49" fontId="36" fillId="6" borderId="58" xfId="1" applyNumberFormat="1" applyFont="1" applyFill="1" applyBorder="1" applyAlignment="1">
      <alignment vertical="center" wrapText="1"/>
    </xf>
    <xf numFmtId="49" fontId="11" fillId="6" borderId="73" xfId="1" applyNumberFormat="1" applyFont="1" applyFill="1" applyBorder="1" applyAlignment="1">
      <alignment horizontal="center" vertical="center" wrapText="1"/>
    </xf>
    <xf numFmtId="49" fontId="11" fillId="6" borderId="57" xfId="1" applyNumberFormat="1" applyFont="1" applyFill="1" applyBorder="1" applyAlignment="1">
      <alignment horizontal="center" vertical="center" wrapText="1"/>
    </xf>
    <xf numFmtId="49" fontId="36" fillId="6" borderId="76" xfId="1" applyNumberFormat="1" applyFont="1" applyFill="1" applyBorder="1" applyAlignment="1">
      <alignment vertical="center" wrapText="1"/>
    </xf>
    <xf numFmtId="49" fontId="11" fillId="6" borderId="80" xfId="1" applyNumberFormat="1" applyFont="1" applyFill="1" applyBorder="1" applyAlignment="1">
      <alignment horizontal="center" vertical="center" wrapText="1"/>
    </xf>
    <xf numFmtId="0" fontId="11" fillId="6" borderId="25" xfId="1" applyFont="1" applyFill="1" applyBorder="1" applyAlignment="1">
      <alignment horizontal="center" vertical="center" wrapText="1"/>
    </xf>
    <xf numFmtId="49" fontId="11" fillId="6" borderId="41" xfId="1" applyNumberFormat="1" applyFont="1" applyFill="1" applyBorder="1" applyAlignment="1">
      <alignment horizontal="center" vertical="center" wrapText="1"/>
    </xf>
    <xf numFmtId="49" fontId="36" fillId="6" borderId="85" xfId="1" applyNumberFormat="1" applyFont="1" applyFill="1" applyBorder="1" applyAlignment="1">
      <alignment vertical="center" wrapText="1"/>
    </xf>
    <xf numFmtId="49" fontId="11" fillId="6" borderId="86" xfId="1" applyNumberFormat="1" applyFont="1" applyFill="1" applyBorder="1" applyAlignment="1">
      <alignment horizontal="center" vertical="center" wrapText="1"/>
    </xf>
    <xf numFmtId="49" fontId="36" fillId="6" borderId="87" xfId="1" applyNumberFormat="1" applyFont="1" applyFill="1" applyBorder="1" applyAlignment="1">
      <alignment vertical="center" wrapText="1"/>
    </xf>
    <xf numFmtId="49" fontId="11" fillId="6" borderId="69" xfId="1" applyNumberFormat="1" applyFont="1" applyFill="1" applyBorder="1" applyAlignment="1">
      <alignment horizontal="center" vertical="center" wrapText="1"/>
    </xf>
    <xf numFmtId="49" fontId="36" fillId="6" borderId="90" xfId="1" applyNumberFormat="1" applyFont="1" applyFill="1" applyBorder="1" applyAlignment="1">
      <alignment vertical="center" wrapText="1"/>
    </xf>
    <xf numFmtId="0" fontId="11" fillId="6" borderId="57" xfId="1" applyFont="1" applyFill="1" applyBorder="1" applyAlignment="1">
      <alignment horizontal="center" vertical="center"/>
    </xf>
    <xf numFmtId="0" fontId="11" fillId="6" borderId="53" xfId="1" applyFont="1" applyFill="1" applyBorder="1" applyAlignment="1">
      <alignment horizontal="center" vertical="center"/>
    </xf>
    <xf numFmtId="49" fontId="11" fillId="6" borderId="23" xfId="1" applyNumberFormat="1" applyFont="1" applyFill="1" applyBorder="1" applyAlignment="1">
      <alignment horizontal="center" vertical="center" wrapText="1"/>
    </xf>
    <xf numFmtId="49" fontId="36" fillId="6" borderId="68" xfId="1" applyNumberFormat="1" applyFont="1" applyFill="1" applyBorder="1" applyAlignment="1">
      <alignment vertical="center" wrapText="1"/>
    </xf>
    <xf numFmtId="0" fontId="11" fillId="6" borderId="69" xfId="1" applyFont="1" applyFill="1" applyBorder="1" applyAlignment="1">
      <alignment horizontal="center" vertical="center"/>
    </xf>
    <xf numFmtId="49" fontId="11" fillId="6" borderId="39" xfId="1" applyNumberFormat="1" applyFont="1" applyFill="1" applyBorder="1" applyAlignment="1">
      <alignment horizontal="center" vertical="center" wrapText="1"/>
    </xf>
    <xf numFmtId="0" fontId="36" fillId="6" borderId="90" xfId="1" applyFont="1" applyFill="1" applyBorder="1" applyAlignment="1">
      <alignment vertical="center" wrapText="1"/>
    </xf>
    <xf numFmtId="0" fontId="11" fillId="6" borderId="47" xfId="1" applyFont="1" applyFill="1" applyBorder="1" applyAlignment="1">
      <alignment horizontal="center" vertical="center" wrapText="1"/>
    </xf>
    <xf numFmtId="0" fontId="11" fillId="6" borderId="57" xfId="1" applyFont="1" applyFill="1" applyBorder="1" applyAlignment="1">
      <alignment horizontal="center" vertical="center" wrapText="1"/>
    </xf>
    <xf numFmtId="49" fontId="11" fillId="6" borderId="117" xfId="1" applyNumberFormat="1" applyFont="1" applyFill="1" applyBorder="1" applyAlignment="1">
      <alignment horizontal="center" vertical="center" wrapText="1"/>
    </xf>
    <xf numFmtId="0" fontId="11" fillId="6" borderId="117" xfId="1" applyFont="1" applyFill="1" applyBorder="1" applyAlignment="1">
      <alignment horizontal="center" vertical="center" wrapText="1"/>
    </xf>
    <xf numFmtId="0" fontId="36" fillId="6" borderId="62" xfId="1" applyFont="1" applyFill="1" applyBorder="1" applyAlignment="1">
      <alignment vertical="center" wrapText="1"/>
    </xf>
    <xf numFmtId="49" fontId="11" fillId="6" borderId="123" xfId="1" applyNumberFormat="1" applyFont="1" applyFill="1" applyBorder="1" applyAlignment="1">
      <alignment horizontal="center" vertical="center" wrapText="1"/>
    </xf>
    <xf numFmtId="0" fontId="12" fillId="6" borderId="121" xfId="1" applyFont="1" applyFill="1" applyBorder="1" applyAlignment="1">
      <alignment horizontal="center" vertical="center" wrapText="1"/>
    </xf>
    <xf numFmtId="0" fontId="36" fillId="6" borderId="116" xfId="1" applyFont="1" applyFill="1" applyBorder="1" applyAlignment="1">
      <alignment vertical="center" wrapText="1"/>
    </xf>
    <xf numFmtId="0" fontId="36" fillId="6" borderId="130" xfId="1" applyFont="1" applyFill="1" applyBorder="1" applyAlignment="1">
      <alignment vertical="center" wrapText="1"/>
    </xf>
    <xf numFmtId="0" fontId="11" fillId="6" borderId="25" xfId="1" quotePrefix="1" applyFont="1" applyFill="1" applyBorder="1" applyAlignment="1">
      <alignment horizontal="center" vertical="center" wrapText="1"/>
    </xf>
    <xf numFmtId="0" fontId="36" fillId="6" borderId="85" xfId="1" applyFont="1" applyFill="1" applyBorder="1" applyAlignment="1">
      <alignment vertical="center" wrapText="1"/>
    </xf>
    <xf numFmtId="49" fontId="11" fillId="6" borderId="65" xfId="1" applyNumberFormat="1" applyFont="1" applyFill="1" applyBorder="1" applyAlignment="1">
      <alignment horizontal="center" vertical="center" wrapText="1"/>
    </xf>
    <xf numFmtId="0" fontId="36" fillId="6" borderId="131" xfId="1" applyFont="1" applyFill="1" applyBorder="1" applyAlignment="1">
      <alignment vertical="center" wrapText="1"/>
    </xf>
    <xf numFmtId="0" fontId="11" fillId="6" borderId="47" xfId="1" applyFont="1" applyFill="1" applyBorder="1" applyAlignment="1">
      <alignment horizontal="center" vertical="center"/>
    </xf>
    <xf numFmtId="0" fontId="36" fillId="6" borderId="119" xfId="1" applyFont="1" applyFill="1" applyBorder="1" applyAlignment="1">
      <alignment vertical="center" wrapText="1"/>
    </xf>
    <xf numFmtId="0" fontId="11" fillId="6" borderId="73" xfId="1" applyFont="1" applyFill="1" applyBorder="1" applyAlignment="1">
      <alignment horizontal="center" vertical="center"/>
    </xf>
    <xf numFmtId="49" fontId="11" fillId="6" borderId="83" xfId="1" applyNumberFormat="1" applyFont="1" applyFill="1" applyBorder="1" applyAlignment="1">
      <alignment horizontal="center" vertical="center" wrapText="1"/>
    </xf>
    <xf numFmtId="0" fontId="36" fillId="6" borderId="76" xfId="1" applyFont="1" applyFill="1" applyBorder="1" applyAlignment="1">
      <alignment vertical="center" wrapText="1"/>
    </xf>
    <xf numFmtId="0" fontId="36" fillId="6" borderId="56" xfId="1" applyFont="1" applyFill="1" applyBorder="1" applyAlignment="1">
      <alignment vertical="center" wrapText="1"/>
    </xf>
    <xf numFmtId="0" fontId="36" fillId="6" borderId="66" xfId="1" applyFont="1" applyFill="1" applyBorder="1" applyAlignment="1">
      <alignment vertical="center" wrapText="1"/>
    </xf>
    <xf numFmtId="0" fontId="36" fillId="6" borderId="31" xfId="1" applyFont="1" applyFill="1" applyBorder="1" applyAlignment="1">
      <alignment vertical="center" wrapText="1"/>
    </xf>
    <xf numFmtId="49" fontId="11" fillId="6" borderId="79" xfId="1" applyNumberFormat="1" applyFont="1" applyFill="1" applyBorder="1" applyAlignment="1">
      <alignment horizontal="center" vertical="center" wrapText="1"/>
    </xf>
    <xf numFmtId="0" fontId="36" fillId="6" borderId="93" xfId="1" applyFont="1" applyFill="1" applyBorder="1" applyAlignment="1">
      <alignment vertical="center" wrapText="1"/>
    </xf>
    <xf numFmtId="49" fontId="42" fillId="0" borderId="34" xfId="1" applyNumberFormat="1" applyFont="1" applyBorder="1" applyAlignment="1">
      <alignment horizontal="center" vertical="center" wrapText="1"/>
    </xf>
    <xf numFmtId="0" fontId="40" fillId="0" borderId="35" xfId="1" applyFont="1" applyBorder="1" applyAlignment="1">
      <alignment vertical="center" wrapText="1"/>
    </xf>
    <xf numFmtId="0" fontId="42" fillId="2" borderId="25" xfId="1" applyFont="1" applyFill="1" applyBorder="1" applyAlignment="1">
      <alignment horizontal="center" vertical="center"/>
    </xf>
    <xf numFmtId="49" fontId="42" fillId="0" borderId="83" xfId="1" applyNumberFormat="1" applyFont="1" applyBorder="1" applyAlignment="1">
      <alignment horizontal="center" vertical="center" wrapText="1"/>
    </xf>
    <xf numFmtId="49" fontId="40" fillId="0" borderId="76" xfId="1" applyNumberFormat="1" applyFont="1" applyBorder="1" applyAlignment="1">
      <alignment vertical="center" wrapText="1"/>
    </xf>
    <xf numFmtId="0" fontId="42" fillId="2" borderId="47" xfId="1" applyFont="1" applyFill="1" applyBorder="1" applyAlignment="1">
      <alignment horizontal="center" vertical="center" wrapText="1"/>
    </xf>
    <xf numFmtId="49" fontId="42" fillId="0" borderId="100" xfId="1" applyNumberFormat="1" applyFont="1" applyBorder="1" applyAlignment="1">
      <alignment horizontal="center" vertical="center" wrapText="1"/>
    </xf>
    <xf numFmtId="49" fontId="40" fillId="0" borderId="101" xfId="1" applyNumberFormat="1" applyFont="1" applyBorder="1" applyAlignment="1">
      <alignment vertical="center" wrapText="1"/>
    </xf>
    <xf numFmtId="0" fontId="42" fillId="2" borderId="53" xfId="1" applyFont="1" applyFill="1" applyBorder="1" applyAlignment="1">
      <alignment horizontal="center" vertical="center" wrapText="1"/>
    </xf>
    <xf numFmtId="49" fontId="40" fillId="0" borderId="35" xfId="1" applyNumberFormat="1" applyFont="1" applyBorder="1" applyAlignment="1">
      <alignment vertical="center" wrapText="1"/>
    </xf>
    <xf numFmtId="0" fontId="40" fillId="0" borderId="91" xfId="1" applyFont="1" applyBorder="1" applyAlignment="1">
      <alignment vertical="center" wrapText="1"/>
    </xf>
    <xf numFmtId="49" fontId="11" fillId="6" borderId="100" xfId="1" applyNumberFormat="1" applyFont="1" applyFill="1" applyBorder="1" applyAlignment="1">
      <alignment horizontal="center" vertical="center" wrapText="1"/>
    </xf>
    <xf numFmtId="49" fontId="36" fillId="6" borderId="101" xfId="1" applyNumberFormat="1" applyFont="1" applyFill="1" applyBorder="1" applyAlignment="1">
      <alignment vertical="center" wrapText="1"/>
    </xf>
    <xf numFmtId="49" fontId="11" fillId="6" borderId="102" xfId="1" applyNumberFormat="1" applyFont="1" applyFill="1" applyBorder="1" applyAlignment="1">
      <alignment horizontal="center" vertical="center" wrapText="1"/>
    </xf>
    <xf numFmtId="0" fontId="36" fillId="6" borderId="103" xfId="1" applyFont="1" applyFill="1" applyBorder="1" applyAlignment="1">
      <alignment vertical="center" wrapText="1"/>
    </xf>
    <xf numFmtId="49" fontId="36" fillId="6" borderId="105" xfId="1" applyNumberFormat="1" applyFont="1" applyFill="1" applyBorder="1" applyAlignment="1">
      <alignment vertical="center" wrapText="1"/>
    </xf>
    <xf numFmtId="0" fontId="11" fillId="6" borderId="80" xfId="1" applyFont="1" applyFill="1" applyBorder="1" applyAlignment="1">
      <alignment horizontal="center" vertical="center"/>
    </xf>
    <xf numFmtId="0" fontId="12" fillId="6" borderId="25" xfId="1" applyFont="1" applyFill="1" applyBorder="1" applyAlignment="1">
      <alignment horizontal="center" vertical="center" wrapText="1"/>
    </xf>
    <xf numFmtId="0" fontId="36" fillId="6" borderId="37" xfId="1" applyFont="1" applyFill="1" applyBorder="1" applyAlignment="1">
      <alignment horizontal="left" vertical="center" wrapText="1"/>
    </xf>
    <xf numFmtId="0" fontId="12" fillId="6" borderId="150" xfId="1" applyFont="1" applyFill="1" applyBorder="1" applyAlignment="1">
      <alignment horizontal="center" vertical="center" wrapText="1"/>
    </xf>
    <xf numFmtId="0" fontId="11" fillId="6" borderId="150" xfId="1" applyFont="1" applyFill="1" applyBorder="1" applyAlignment="1">
      <alignment horizontal="center" vertical="center" wrapText="1"/>
    </xf>
    <xf numFmtId="0" fontId="12" fillId="6" borderId="53" xfId="1" applyFont="1" applyFill="1" applyBorder="1" applyAlignment="1">
      <alignment horizontal="center" vertical="center"/>
    </xf>
    <xf numFmtId="0" fontId="36" fillId="6" borderId="89" xfId="1" applyFont="1" applyFill="1" applyBorder="1" applyAlignment="1">
      <alignment vertical="center" wrapText="1"/>
    </xf>
    <xf numFmtId="0" fontId="36" fillId="6" borderId="90" xfId="2" applyFont="1" applyFill="1" applyBorder="1" applyAlignment="1">
      <alignment vertical="center" wrapText="1"/>
    </xf>
    <xf numFmtId="0" fontId="36" fillId="6" borderId="127" xfId="1" applyFont="1" applyFill="1" applyBorder="1" applyAlignment="1">
      <alignment vertical="center" wrapText="1"/>
    </xf>
    <xf numFmtId="0" fontId="11" fillId="6" borderId="125" xfId="1" applyFont="1" applyFill="1" applyBorder="1" applyAlignment="1">
      <alignment horizontal="center" vertical="center" wrapText="1"/>
    </xf>
    <xf numFmtId="0" fontId="11" fillId="6" borderId="121" xfId="1" applyFont="1" applyFill="1" applyBorder="1" applyAlignment="1">
      <alignment horizontal="center" vertical="center" wrapText="1"/>
    </xf>
    <xf numFmtId="0" fontId="36" fillId="6" borderId="58" xfId="1" applyFont="1" applyFill="1" applyBorder="1" applyAlignment="1">
      <alignment vertical="center" wrapText="1"/>
    </xf>
    <xf numFmtId="0" fontId="11" fillId="6" borderId="10" xfId="1" applyFont="1" applyFill="1" applyBorder="1" applyAlignment="1">
      <alignment horizontal="center" vertical="center"/>
    </xf>
    <xf numFmtId="0" fontId="11" fillId="2" borderId="122" xfId="1" applyFont="1" applyFill="1" applyBorder="1" applyAlignment="1">
      <alignment horizontal="center" vertical="center"/>
    </xf>
    <xf numFmtId="0" fontId="43" fillId="0" borderId="117" xfId="1" applyFont="1" applyBorder="1" applyAlignment="1">
      <alignment horizontal="center" vertical="center"/>
    </xf>
    <xf numFmtId="0" fontId="42" fillId="2" borderId="15" xfId="1" applyFont="1" applyFill="1" applyBorder="1" applyAlignment="1">
      <alignment horizontal="center" vertical="center"/>
    </xf>
    <xf numFmtId="0" fontId="42" fillId="2" borderId="69" xfId="1" applyFont="1" applyFill="1" applyBorder="1" applyAlignment="1">
      <alignment horizontal="center" vertical="center"/>
    </xf>
    <xf numFmtId="0" fontId="43" fillId="0" borderId="120" xfId="1" applyFont="1" applyBorder="1" applyAlignment="1">
      <alignment horizontal="center" vertical="center"/>
    </xf>
    <xf numFmtId="0" fontId="43" fillId="0" borderId="115" xfId="1" applyFont="1" applyBorder="1" applyAlignment="1">
      <alignment horizontal="center" vertical="center"/>
    </xf>
    <xf numFmtId="0" fontId="43" fillId="0" borderId="125" xfId="1" applyFont="1" applyBorder="1" applyAlignment="1">
      <alignment horizontal="center" vertical="center"/>
    </xf>
    <xf numFmtId="0" fontId="43" fillId="0" borderId="129" xfId="1" applyFont="1" applyBorder="1" applyAlignment="1">
      <alignment horizontal="center" vertical="center"/>
    </xf>
    <xf numFmtId="0" fontId="43" fillId="6" borderId="117" xfId="1" applyFont="1" applyFill="1" applyBorder="1" applyAlignment="1">
      <alignment horizontal="center" vertical="center"/>
    </xf>
    <xf numFmtId="0" fontId="43" fillId="6" borderId="125" xfId="1" applyFont="1" applyFill="1" applyBorder="1" applyAlignment="1">
      <alignment horizontal="center" vertical="center"/>
    </xf>
    <xf numFmtId="0" fontId="43" fillId="6" borderId="129" xfId="1" applyFont="1" applyFill="1" applyBorder="1" applyAlignment="1">
      <alignment horizontal="center" vertical="center"/>
    </xf>
    <xf numFmtId="0" fontId="43" fillId="6" borderId="121" xfId="1" applyFont="1" applyFill="1" applyBorder="1" applyAlignment="1">
      <alignment horizontal="center" vertical="center"/>
    </xf>
    <xf numFmtId="0" fontId="43" fillId="0" borderId="123" xfId="1" applyFont="1" applyBorder="1" applyAlignment="1">
      <alignment horizontal="center" vertical="center"/>
    </xf>
    <xf numFmtId="0" fontId="43" fillId="6" borderId="151" xfId="1" applyFont="1" applyFill="1" applyBorder="1" applyAlignment="1">
      <alignment horizontal="center" vertical="center"/>
    </xf>
    <xf numFmtId="0" fontId="43" fillId="6" borderId="115" xfId="1" applyFont="1" applyFill="1" applyBorder="1" applyAlignment="1">
      <alignment horizontal="center" vertical="center"/>
    </xf>
    <xf numFmtId="0" fontId="43" fillId="0" borderId="152" xfId="1" applyFont="1" applyBorder="1" applyAlignment="1">
      <alignment horizontal="center" vertical="center"/>
    </xf>
    <xf numFmtId="0" fontId="43" fillId="0" borderId="0" xfId="1" applyFont="1" applyAlignment="1">
      <alignment horizontal="center" vertical="center"/>
    </xf>
    <xf numFmtId="49" fontId="36" fillId="2" borderId="91" xfId="1" applyNumberFormat="1" applyFont="1" applyFill="1" applyBorder="1" applyAlignment="1">
      <alignment vertical="center" wrapText="1"/>
    </xf>
    <xf numFmtId="49" fontId="11" fillId="6" borderId="12" xfId="1" applyNumberFormat="1" applyFont="1" applyFill="1" applyBorder="1" applyAlignment="1">
      <alignment horizontal="center" vertical="center" wrapText="1"/>
    </xf>
    <xf numFmtId="0" fontId="36" fillId="6" borderId="74" xfId="1" applyFont="1" applyFill="1" applyBorder="1" applyAlignment="1">
      <alignment vertical="center" wrapText="1"/>
    </xf>
    <xf numFmtId="0" fontId="43" fillId="6" borderId="73" xfId="1" applyFont="1" applyFill="1" applyBorder="1" applyAlignment="1">
      <alignment horizontal="center" vertical="center"/>
    </xf>
    <xf numFmtId="0" fontId="11" fillId="6" borderId="122" xfId="1" applyFont="1" applyFill="1" applyBorder="1" applyAlignment="1">
      <alignment horizontal="center" vertical="center"/>
    </xf>
    <xf numFmtId="49" fontId="11" fillId="6" borderId="46" xfId="1" applyNumberFormat="1" applyFont="1" applyFill="1" applyBorder="1" applyAlignment="1">
      <alignment horizontal="center" vertical="center" wrapText="1"/>
    </xf>
    <xf numFmtId="49" fontId="11" fillId="0" borderId="39" xfId="1" quotePrefix="1" applyNumberFormat="1" applyFont="1" applyBorder="1" applyAlignment="1">
      <alignment horizontal="center" vertical="center" wrapText="1"/>
    </xf>
    <xf numFmtId="49" fontId="11" fillId="6" borderId="39" xfId="1" quotePrefix="1" applyNumberFormat="1" applyFont="1" applyFill="1" applyBorder="1" applyAlignment="1">
      <alignment horizontal="center" vertical="center" wrapText="1"/>
    </xf>
    <xf numFmtId="0" fontId="11" fillId="6" borderId="0" xfId="1" quotePrefix="1" applyFont="1" applyFill="1" applyAlignment="1">
      <alignment horizontal="center" vertical="center"/>
    </xf>
    <xf numFmtId="0" fontId="11" fillId="6" borderId="41" xfId="1" quotePrefix="1" applyFont="1" applyFill="1" applyBorder="1" applyAlignment="1">
      <alignment horizontal="center" vertical="center" wrapText="1"/>
    </xf>
    <xf numFmtId="0" fontId="11" fillId="0" borderId="86" xfId="1" quotePrefix="1" applyFont="1" applyBorder="1" applyAlignment="1">
      <alignment horizontal="center" vertical="center" wrapText="1"/>
    </xf>
    <xf numFmtId="0" fontId="41" fillId="0" borderId="0" xfId="1" applyFont="1" applyAlignment="1">
      <alignment horizontal="center" vertical="center"/>
    </xf>
    <xf numFmtId="49" fontId="37" fillId="0" borderId="2" xfId="1" applyNumberFormat="1" applyFont="1" applyBorder="1" applyAlignment="1">
      <alignment horizontal="center" vertical="center"/>
    </xf>
    <xf numFmtId="49" fontId="11" fillId="0" borderId="11" xfId="1" applyNumberFormat="1" applyFont="1" applyBorder="1" applyAlignment="1">
      <alignment horizontal="left" vertical="top" wrapText="1"/>
    </xf>
    <xf numFmtId="49" fontId="11" fillId="0" borderId="21" xfId="1" applyNumberFormat="1" applyFont="1" applyBorder="1" applyAlignment="1">
      <alignment horizontal="left" vertical="top" wrapText="1"/>
    </xf>
    <xf numFmtId="49" fontId="11" fillId="0" borderId="50" xfId="1" applyNumberFormat="1" applyFont="1" applyBorder="1" applyAlignment="1">
      <alignment horizontal="left" vertical="top" wrapText="1"/>
    </xf>
    <xf numFmtId="49" fontId="11" fillId="0" borderId="12" xfId="1" applyNumberFormat="1" applyFont="1" applyBorder="1" applyAlignment="1">
      <alignment vertical="top" wrapText="1"/>
    </xf>
    <xf numFmtId="49" fontId="11" fillId="0" borderId="22" xfId="1" applyNumberFormat="1" applyFont="1" applyBorder="1" applyAlignment="1">
      <alignment vertical="top" wrapText="1"/>
    </xf>
    <xf numFmtId="49" fontId="11" fillId="0" borderId="46" xfId="1" applyNumberFormat="1" applyFont="1" applyBorder="1" applyAlignment="1">
      <alignment horizontal="center" vertical="top" wrapText="1"/>
    </xf>
    <xf numFmtId="49" fontId="11" fillId="0" borderId="22" xfId="1" applyNumberFormat="1" applyFont="1" applyBorder="1" applyAlignment="1">
      <alignment horizontal="center" vertical="top" wrapText="1"/>
    </xf>
    <xf numFmtId="49" fontId="11" fillId="0" borderId="79" xfId="1" applyNumberFormat="1" applyFont="1" applyBorder="1" applyAlignment="1">
      <alignment horizontal="center" vertical="top" wrapText="1"/>
    </xf>
    <xf numFmtId="49" fontId="11" fillId="0" borderId="46" xfId="1" applyNumberFormat="1" applyFont="1" applyBorder="1" applyAlignment="1">
      <alignment vertical="top" wrapText="1"/>
    </xf>
    <xf numFmtId="49" fontId="11" fillId="0" borderId="79" xfId="1" applyNumberFormat="1" applyFont="1" applyBorder="1" applyAlignment="1">
      <alignment vertical="top" wrapText="1"/>
    </xf>
    <xf numFmtId="49" fontId="11" fillId="0" borderId="67" xfId="1" applyNumberFormat="1" applyFont="1" applyBorder="1" applyAlignment="1">
      <alignment vertical="top" wrapText="1"/>
    </xf>
    <xf numFmtId="0" fontId="11" fillId="0" borderId="79" xfId="1" applyFont="1" applyBorder="1"/>
    <xf numFmtId="49" fontId="11" fillId="0" borderId="46" xfId="1" applyNumberFormat="1" applyFont="1" applyBorder="1" applyAlignment="1">
      <alignment horizontal="left" vertical="top" wrapText="1"/>
    </xf>
    <xf numFmtId="49" fontId="11" fillId="0" borderId="22" xfId="1" applyNumberFormat="1" applyFont="1" applyBorder="1" applyAlignment="1">
      <alignment horizontal="left" vertical="top" wrapText="1"/>
    </xf>
    <xf numFmtId="49" fontId="11" fillId="0" borderId="67" xfId="1" applyNumberFormat="1" applyFont="1" applyBorder="1" applyAlignment="1">
      <alignment horizontal="left" vertical="top" wrapText="1"/>
    </xf>
    <xf numFmtId="49" fontId="11" fillId="0" borderId="4" xfId="1" applyNumberFormat="1" applyFont="1" applyBorder="1" applyAlignment="1">
      <alignment horizontal="center" vertical="center" wrapText="1"/>
    </xf>
    <xf numFmtId="49" fontId="11" fillId="0" borderId="5" xfId="1" applyNumberFormat="1" applyFont="1" applyBorder="1" applyAlignment="1">
      <alignment horizontal="center" vertical="center" wrapText="1"/>
    </xf>
    <xf numFmtId="49" fontId="11" fillId="0" borderId="67" xfId="1" applyNumberFormat="1" applyFont="1" applyBorder="1" applyAlignment="1">
      <alignment horizontal="center" vertical="top" wrapText="1"/>
    </xf>
    <xf numFmtId="49" fontId="11" fillId="0" borderId="12" xfId="1" applyNumberFormat="1" applyFont="1" applyBorder="1" applyAlignment="1">
      <alignment horizontal="left" vertical="top" wrapText="1"/>
    </xf>
    <xf numFmtId="49" fontId="11" fillId="0" borderId="79" xfId="1" applyNumberFormat="1" applyFont="1" applyBorder="1" applyAlignment="1">
      <alignment horizontal="left" vertical="top" wrapText="1"/>
    </xf>
    <xf numFmtId="0" fontId="11" fillId="5" borderId="46" xfId="1" applyFont="1" applyFill="1" applyBorder="1" applyAlignment="1">
      <alignment vertical="top" wrapText="1"/>
    </xf>
    <xf numFmtId="0" fontId="11" fillId="5" borderId="22" xfId="1" applyFont="1" applyFill="1" applyBorder="1" applyAlignment="1">
      <alignment vertical="top" wrapText="1"/>
    </xf>
    <xf numFmtId="0" fontId="11" fillId="0" borderId="65" xfId="1" applyFont="1" applyBorder="1" applyAlignment="1">
      <alignment vertical="top" wrapText="1"/>
    </xf>
    <xf numFmtId="0" fontId="11" fillId="0" borderId="22" xfId="1" applyFont="1" applyBorder="1" applyAlignment="1">
      <alignment vertical="top" wrapText="1"/>
    </xf>
    <xf numFmtId="0" fontId="11" fillId="0" borderId="55" xfId="1" applyFont="1" applyBorder="1" applyAlignment="1">
      <alignment vertical="top" wrapText="1"/>
    </xf>
    <xf numFmtId="49" fontId="11" fillId="0" borderId="140" xfId="1" applyNumberFormat="1" applyFont="1" applyBorder="1" applyAlignment="1">
      <alignment horizontal="left" vertical="top" wrapText="1"/>
    </xf>
    <xf numFmtId="0" fontId="11" fillId="0" borderId="12" xfId="1" applyFont="1" applyBorder="1" applyAlignment="1">
      <alignment vertical="top" wrapText="1"/>
    </xf>
    <xf numFmtId="0" fontId="11" fillId="0" borderId="79" xfId="1" applyFont="1" applyBorder="1" applyAlignment="1">
      <alignment vertical="top" wrapText="1"/>
    </xf>
    <xf numFmtId="0" fontId="11" fillId="0" borderId="46" xfId="1" applyFont="1" applyBorder="1" applyAlignment="1">
      <alignment vertical="top" wrapText="1"/>
    </xf>
    <xf numFmtId="0" fontId="11" fillId="0" borderId="46" xfId="1" applyFont="1" applyBorder="1" applyAlignment="1">
      <alignment horizontal="center" vertical="center" wrapText="1"/>
    </xf>
    <xf numFmtId="0" fontId="11" fillId="0" borderId="22" xfId="1" applyFont="1" applyBorder="1" applyAlignment="1">
      <alignment horizontal="center" vertical="center" wrapText="1"/>
    </xf>
    <xf numFmtId="0" fontId="11" fillId="0" borderId="79" xfId="1" applyFont="1" applyBorder="1" applyAlignment="1">
      <alignment horizontal="center" vertical="center" wrapText="1"/>
    </xf>
    <xf numFmtId="0" fontId="11" fillId="0" borderId="141" xfId="1" applyFont="1" applyBorder="1" applyAlignment="1">
      <alignment vertical="top" wrapText="1"/>
    </xf>
    <xf numFmtId="0" fontId="11" fillId="0" borderId="65" xfId="1" applyFont="1" applyBorder="1" applyAlignment="1">
      <alignment vertical="top"/>
    </xf>
    <xf numFmtId="0" fontId="11" fillId="0" borderId="22" xfId="1" applyFont="1" applyBorder="1" applyAlignment="1">
      <alignment vertical="top"/>
    </xf>
    <xf numFmtId="0" fontId="11" fillId="0" borderId="55" xfId="1" applyFont="1" applyBorder="1" applyAlignment="1">
      <alignment vertical="top"/>
    </xf>
    <xf numFmtId="49" fontId="37" fillId="0" borderId="0" xfId="1" applyNumberFormat="1" applyFont="1" applyAlignment="1">
      <alignment horizontal="center" vertical="center" wrapText="1"/>
    </xf>
    <xf numFmtId="49" fontId="39" fillId="0" borderId="0" xfId="1" applyNumberFormat="1" applyFont="1" applyAlignment="1">
      <alignment horizontal="center" vertical="center" wrapText="1"/>
    </xf>
    <xf numFmtId="49" fontId="39" fillId="0" borderId="1" xfId="1" applyNumberFormat="1" applyFont="1" applyBorder="1" applyAlignment="1">
      <alignment horizontal="center" vertical="center" wrapText="1"/>
    </xf>
    <xf numFmtId="49" fontId="39" fillId="0" borderId="2" xfId="1" applyNumberFormat="1" applyFont="1" applyBorder="1" applyAlignment="1">
      <alignment horizontal="center" vertical="center" wrapText="1"/>
    </xf>
    <xf numFmtId="49" fontId="39" fillId="0" borderId="3" xfId="1" applyNumberFormat="1" applyFont="1" applyBorder="1" applyAlignment="1">
      <alignment horizontal="center" vertical="center" wrapText="1"/>
    </xf>
    <xf numFmtId="0" fontId="4" fillId="2" borderId="0" xfId="1" applyFont="1" applyFill="1" applyAlignment="1">
      <alignment horizontal="center" vertical="center" wrapText="1"/>
    </xf>
    <xf numFmtId="0" fontId="6" fillId="2" borderId="0" xfId="1" applyFont="1" applyFill="1" applyAlignment="1">
      <alignment horizontal="center" vertical="center" wrapText="1"/>
    </xf>
    <xf numFmtId="0" fontId="6" fillId="2"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2" borderId="3" xfId="1" applyFont="1" applyFill="1" applyBorder="1" applyAlignment="1">
      <alignment horizontal="center" vertical="center" wrapText="1"/>
    </xf>
    <xf numFmtId="0" fontId="15" fillId="0" borderId="78" xfId="1" applyFont="1" applyBorder="1" applyAlignment="1">
      <alignment horizontal="left" vertical="center" wrapText="1"/>
    </xf>
    <xf numFmtId="0" fontId="15" fillId="0" borderId="81" xfId="1" applyFont="1" applyBorder="1" applyAlignment="1">
      <alignment horizontal="left" vertical="center" wrapText="1"/>
    </xf>
    <xf numFmtId="0" fontId="15" fillId="0" borderId="54" xfId="1" applyFont="1" applyBorder="1" applyAlignment="1">
      <alignment horizontal="left" vertical="center" wrapText="1"/>
    </xf>
    <xf numFmtId="0" fontId="15" fillId="0" borderId="19" xfId="1" applyFont="1" applyBorder="1" applyAlignment="1">
      <alignment horizontal="left" vertical="center" wrapText="1"/>
    </xf>
    <xf numFmtId="0" fontId="19" fillId="0" borderId="54" xfId="1" applyFont="1" applyBorder="1" applyAlignment="1">
      <alignment horizontal="left" vertical="center" wrapText="1"/>
    </xf>
    <xf numFmtId="0" fontId="15" fillId="0" borderId="71" xfId="1" applyFont="1" applyBorder="1" applyAlignment="1">
      <alignment horizontal="left" vertical="center" wrapText="1"/>
    </xf>
    <xf numFmtId="0" fontId="15" fillId="0" borderId="88" xfId="1" applyFont="1" applyBorder="1" applyAlignment="1">
      <alignment horizontal="left" vertical="center" wrapText="1"/>
    </xf>
    <xf numFmtId="0" fontId="14" fillId="0" borderId="54" xfId="1" applyFont="1" applyBorder="1" applyAlignment="1">
      <alignment horizontal="left" vertical="center" wrapText="1"/>
    </xf>
    <xf numFmtId="0" fontId="14" fillId="0" borderId="19" xfId="1" applyFont="1" applyBorder="1" applyAlignment="1">
      <alignment horizontal="left" vertical="center" wrapText="1"/>
    </xf>
    <xf numFmtId="0" fontId="14" fillId="0" borderId="78" xfId="1" applyFont="1" applyBorder="1" applyAlignment="1">
      <alignment horizontal="left" vertical="center" wrapText="1"/>
    </xf>
    <xf numFmtId="0" fontId="14" fillId="0" borderId="75" xfId="1" applyFont="1" applyBorder="1" applyAlignment="1">
      <alignment horizontal="left" vertical="center" wrapText="1"/>
    </xf>
    <xf numFmtId="0" fontId="19" fillId="2" borderId="78" xfId="1" applyFont="1" applyFill="1" applyBorder="1" applyAlignment="1">
      <alignment horizontal="left" vertical="center" wrapText="1"/>
    </xf>
    <xf numFmtId="0" fontId="15" fillId="2" borderId="19" xfId="1" applyFont="1" applyFill="1" applyBorder="1" applyAlignment="1">
      <alignment horizontal="left" vertical="center" wrapText="1"/>
    </xf>
    <xf numFmtId="0" fontId="19" fillId="2" borderId="54" xfId="1" applyFont="1" applyFill="1" applyBorder="1" applyAlignment="1">
      <alignment horizontal="left" vertical="center" wrapText="1"/>
    </xf>
    <xf numFmtId="0" fontId="15" fillId="0" borderId="75" xfId="1" applyFont="1" applyBorder="1" applyAlignment="1">
      <alignment horizontal="left" vertical="center" wrapText="1"/>
    </xf>
    <xf numFmtId="0" fontId="19" fillId="0" borderId="78" xfId="1" applyFont="1" applyBorder="1" applyAlignment="1">
      <alignment horizontal="left" vertical="center" wrapText="1"/>
    </xf>
  </cellXfs>
  <cellStyles count="4">
    <cellStyle name="一般" xfId="0" builtinId="0"/>
    <cellStyle name="一般 2" xfId="1" xr:uid="{00000000-0005-0000-0000-000001000000}"/>
    <cellStyle name="一般 2 2" xfId="2" xr:uid="{00000000-0005-0000-0000-000002000000}"/>
    <cellStyle name="一般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842"/>
  <sheetViews>
    <sheetView tabSelected="1" zoomScaleNormal="100" workbookViewId="0">
      <selection sqref="A1:F1"/>
    </sheetView>
  </sheetViews>
  <sheetFormatPr defaultColWidth="8.875" defaultRowHeight="18.75"/>
  <cols>
    <col min="1" max="1" width="12.625" style="376" customWidth="1"/>
    <col min="2" max="2" width="18.125" style="376" customWidth="1"/>
    <col min="3" max="3" width="19.125" style="376" customWidth="1"/>
    <col min="4" max="4" width="63.5" style="375" bestFit="1" customWidth="1"/>
    <col min="5" max="5" width="18.625" style="385" customWidth="1"/>
    <col min="6" max="6" width="10.625" style="558" customWidth="1"/>
    <col min="7" max="7" width="11.875" style="570" bestFit="1" customWidth="1"/>
    <col min="8" max="16384" width="8.875" style="1"/>
  </cols>
  <sheetData>
    <row r="1" spans="1:6" ht="35.1" customHeight="1" thickBot="1">
      <c r="A1" s="571" t="s">
        <v>3408</v>
      </c>
      <c r="B1" s="571"/>
      <c r="C1" s="571"/>
      <c r="D1" s="571"/>
      <c r="E1" s="571"/>
      <c r="F1" s="571"/>
    </row>
    <row r="2" spans="1:6" ht="20.25" thickBot="1">
      <c r="A2" s="587" t="s">
        <v>3403</v>
      </c>
      <c r="B2" s="588"/>
      <c r="C2" s="373" t="s">
        <v>2861</v>
      </c>
      <c r="D2" s="453" t="s">
        <v>2079</v>
      </c>
      <c r="E2" s="433" t="s">
        <v>3409</v>
      </c>
      <c r="F2" s="433" t="s">
        <v>3412</v>
      </c>
    </row>
    <row r="3" spans="1:6" ht="19.5" thickTop="1">
      <c r="A3" s="572" t="s">
        <v>5</v>
      </c>
      <c r="B3" s="575" t="s">
        <v>6</v>
      </c>
      <c r="C3" s="7" t="s">
        <v>7</v>
      </c>
      <c r="D3" s="311" t="s">
        <v>2080</v>
      </c>
      <c r="E3" s="8">
        <v>1</v>
      </c>
      <c r="F3" s="544"/>
    </row>
    <row r="4" spans="1:6" ht="19.5" thickBot="1">
      <c r="A4" s="573"/>
      <c r="B4" s="576"/>
      <c r="C4" s="15" t="s">
        <v>17</v>
      </c>
      <c r="D4" s="312" t="s">
        <v>2081</v>
      </c>
      <c r="E4" s="16">
        <v>2</v>
      </c>
      <c r="F4" s="545"/>
    </row>
    <row r="5" spans="1:6" ht="19.5" thickTop="1">
      <c r="A5" s="572" t="s">
        <v>18</v>
      </c>
      <c r="B5" s="575" t="s">
        <v>19</v>
      </c>
      <c r="C5" s="22" t="s">
        <v>20</v>
      </c>
      <c r="D5" s="313" t="s">
        <v>2082</v>
      </c>
      <c r="E5" s="8">
        <v>1</v>
      </c>
      <c r="F5" s="546"/>
    </row>
    <row r="6" spans="1:6">
      <c r="A6" s="573"/>
      <c r="B6" s="576"/>
      <c r="C6" s="25" t="s">
        <v>21</v>
      </c>
      <c r="D6" s="310" t="s">
        <v>2083</v>
      </c>
      <c r="E6" s="16">
        <v>2</v>
      </c>
      <c r="F6" s="543"/>
    </row>
    <row r="7" spans="1:6">
      <c r="A7" s="573"/>
      <c r="B7" s="576"/>
      <c r="C7" s="25" t="s">
        <v>22</v>
      </c>
      <c r="D7" s="310" t="s">
        <v>2084</v>
      </c>
      <c r="E7" s="16">
        <v>3</v>
      </c>
      <c r="F7" s="543"/>
    </row>
    <row r="8" spans="1:6">
      <c r="A8" s="573"/>
      <c r="B8" s="576"/>
      <c r="C8" s="25" t="s">
        <v>23</v>
      </c>
      <c r="D8" s="310" t="s">
        <v>2085</v>
      </c>
      <c r="E8" s="16">
        <v>3</v>
      </c>
      <c r="F8" s="543"/>
    </row>
    <row r="9" spans="1:6">
      <c r="A9" s="573"/>
      <c r="B9" s="576"/>
      <c r="C9" s="25" t="s">
        <v>24</v>
      </c>
      <c r="D9" s="310" t="s">
        <v>2086</v>
      </c>
      <c r="E9" s="16">
        <v>2</v>
      </c>
      <c r="F9" s="543"/>
    </row>
    <row r="10" spans="1:6">
      <c r="A10" s="573"/>
      <c r="B10" s="576"/>
      <c r="C10" s="25" t="s">
        <v>25</v>
      </c>
      <c r="D10" s="310" t="s">
        <v>2087</v>
      </c>
      <c r="E10" s="16">
        <v>2</v>
      </c>
      <c r="F10" s="543"/>
    </row>
    <row r="11" spans="1:6">
      <c r="A11" s="573"/>
      <c r="B11" s="576"/>
      <c r="C11" s="25" t="s">
        <v>26</v>
      </c>
      <c r="D11" s="310" t="s">
        <v>2088</v>
      </c>
      <c r="E11" s="16">
        <v>2</v>
      </c>
      <c r="F11" s="543"/>
    </row>
    <row r="12" spans="1:6">
      <c r="A12" s="573"/>
      <c r="B12" s="576"/>
      <c r="C12" s="25" t="s">
        <v>27</v>
      </c>
      <c r="D12" s="310" t="s">
        <v>2089</v>
      </c>
      <c r="E12" s="16">
        <v>2</v>
      </c>
      <c r="F12" s="543"/>
    </row>
    <row r="13" spans="1:6">
      <c r="A13" s="573"/>
      <c r="B13" s="576"/>
      <c r="C13" s="25" t="s">
        <v>28</v>
      </c>
      <c r="D13" s="308" t="s">
        <v>2090</v>
      </c>
      <c r="E13" s="16">
        <v>3</v>
      </c>
      <c r="F13" s="543"/>
    </row>
    <row r="14" spans="1:6">
      <c r="A14" s="573"/>
      <c r="B14" s="576"/>
      <c r="C14" s="25" t="s">
        <v>29</v>
      </c>
      <c r="D14" s="308" t="s">
        <v>2091</v>
      </c>
      <c r="E14" s="16">
        <v>2</v>
      </c>
      <c r="F14" s="543"/>
    </row>
    <row r="15" spans="1:6">
      <c r="A15" s="573"/>
      <c r="B15" s="576"/>
      <c r="C15" s="25" t="s">
        <v>30</v>
      </c>
      <c r="D15" s="308" t="s">
        <v>2092</v>
      </c>
      <c r="E15" s="29">
        <v>1</v>
      </c>
      <c r="F15" s="543"/>
    </row>
    <row r="16" spans="1:6">
      <c r="A16" s="573"/>
      <c r="B16" s="576"/>
      <c r="C16" s="25" t="s">
        <v>31</v>
      </c>
      <c r="D16" s="314" t="s">
        <v>2093</v>
      </c>
      <c r="E16" s="29">
        <v>2</v>
      </c>
      <c r="F16" s="543"/>
    </row>
    <row r="17" spans="1:6">
      <c r="A17" s="573"/>
      <c r="B17" s="576"/>
      <c r="C17" s="25" t="s">
        <v>32</v>
      </c>
      <c r="D17" s="314" t="s">
        <v>2094</v>
      </c>
      <c r="E17" s="16">
        <v>2</v>
      </c>
      <c r="F17" s="543"/>
    </row>
    <row r="18" spans="1:6">
      <c r="A18" s="573"/>
      <c r="B18" s="576"/>
      <c r="C18" s="25" t="s">
        <v>36</v>
      </c>
      <c r="D18" s="308" t="s">
        <v>2095</v>
      </c>
      <c r="E18" s="16">
        <v>3</v>
      </c>
      <c r="F18" s="543"/>
    </row>
    <row r="19" spans="1:6">
      <c r="A19" s="573"/>
      <c r="B19" s="576"/>
      <c r="C19" s="25" t="s">
        <v>37</v>
      </c>
      <c r="D19" s="308" t="s">
        <v>2096</v>
      </c>
      <c r="E19" s="16">
        <v>2</v>
      </c>
      <c r="F19" s="543"/>
    </row>
    <row r="20" spans="1:6">
      <c r="A20" s="573"/>
      <c r="B20" s="576"/>
      <c r="C20" s="25" t="s">
        <v>38</v>
      </c>
      <c r="D20" s="308" t="s">
        <v>2097</v>
      </c>
      <c r="E20" s="16">
        <v>2</v>
      </c>
      <c r="F20" s="543"/>
    </row>
    <row r="21" spans="1:6">
      <c r="A21" s="573"/>
      <c r="B21" s="576"/>
      <c r="C21" s="25" t="s">
        <v>39</v>
      </c>
      <c r="D21" s="308" t="s">
        <v>2098</v>
      </c>
      <c r="E21" s="16">
        <v>2</v>
      </c>
      <c r="F21" s="543"/>
    </row>
    <row r="22" spans="1:6">
      <c r="A22" s="573"/>
      <c r="B22" s="576"/>
      <c r="C22" s="25" t="s">
        <v>40</v>
      </c>
      <c r="D22" s="308" t="s">
        <v>2099</v>
      </c>
      <c r="E22" s="16">
        <v>2</v>
      </c>
      <c r="F22" s="543"/>
    </row>
    <row r="23" spans="1:6">
      <c r="A23" s="573"/>
      <c r="B23" s="576"/>
      <c r="C23" s="34" t="s">
        <v>41</v>
      </c>
      <c r="D23" s="315" t="s">
        <v>2100</v>
      </c>
      <c r="E23" s="16">
        <v>2</v>
      </c>
      <c r="F23" s="543"/>
    </row>
    <row r="24" spans="1:6">
      <c r="A24" s="573"/>
      <c r="B24" s="576"/>
      <c r="C24" s="136" t="s">
        <v>42</v>
      </c>
      <c r="D24" s="316" t="s">
        <v>2101</v>
      </c>
      <c r="E24" s="16">
        <v>1</v>
      </c>
      <c r="F24" s="547"/>
    </row>
    <row r="25" spans="1:6">
      <c r="A25" s="573"/>
      <c r="B25" s="580" t="s">
        <v>45</v>
      </c>
      <c r="C25" s="22" t="s">
        <v>46</v>
      </c>
      <c r="D25" s="313" t="s">
        <v>2102</v>
      </c>
      <c r="E25" s="41">
        <v>1</v>
      </c>
      <c r="F25" s="548"/>
    </row>
    <row r="26" spans="1:6">
      <c r="A26" s="573"/>
      <c r="B26" s="576"/>
      <c r="C26" s="25" t="s">
        <v>47</v>
      </c>
      <c r="D26" s="310" t="s">
        <v>2103</v>
      </c>
      <c r="E26" s="16">
        <v>3</v>
      </c>
      <c r="F26" s="543"/>
    </row>
    <row r="27" spans="1:6">
      <c r="A27" s="573"/>
      <c r="B27" s="576"/>
      <c r="C27" s="25" t="s">
        <v>48</v>
      </c>
      <c r="D27" s="308" t="s">
        <v>2104</v>
      </c>
      <c r="E27" s="16">
        <v>3</v>
      </c>
      <c r="F27" s="543"/>
    </row>
    <row r="28" spans="1:6">
      <c r="A28" s="573"/>
      <c r="B28" s="576"/>
      <c r="C28" s="25" t="s">
        <v>49</v>
      </c>
      <c r="D28" s="308" t="s">
        <v>2105</v>
      </c>
      <c r="E28" s="16">
        <v>4</v>
      </c>
      <c r="F28" s="543"/>
    </row>
    <row r="29" spans="1:6">
      <c r="A29" s="573"/>
      <c r="B29" s="576"/>
      <c r="C29" s="25" t="s">
        <v>50</v>
      </c>
      <c r="D29" s="308" t="s">
        <v>2106</v>
      </c>
      <c r="E29" s="16">
        <v>4</v>
      </c>
      <c r="F29" s="543"/>
    </row>
    <row r="30" spans="1:6" ht="19.5" thickBot="1">
      <c r="A30" s="574"/>
      <c r="B30" s="576"/>
      <c r="C30" s="25" t="s">
        <v>51</v>
      </c>
      <c r="D30" s="308" t="s">
        <v>2075</v>
      </c>
      <c r="E30" s="16">
        <v>3</v>
      </c>
      <c r="F30" s="549"/>
    </row>
    <row r="31" spans="1:6" ht="19.5" thickTop="1">
      <c r="A31" s="572" t="s">
        <v>55</v>
      </c>
      <c r="B31" s="575" t="s">
        <v>56</v>
      </c>
      <c r="C31" s="46" t="s">
        <v>57</v>
      </c>
      <c r="D31" s="317" t="s">
        <v>2107</v>
      </c>
      <c r="E31" s="8">
        <v>1</v>
      </c>
      <c r="F31" s="546"/>
    </row>
    <row r="32" spans="1:6">
      <c r="A32" s="573"/>
      <c r="B32" s="576"/>
      <c r="C32" s="47" t="s">
        <v>58</v>
      </c>
      <c r="D32" s="318" t="s">
        <v>2108</v>
      </c>
      <c r="E32" s="48">
        <v>3</v>
      </c>
      <c r="F32" s="543"/>
    </row>
    <row r="33" spans="1:6">
      <c r="A33" s="573"/>
      <c r="B33" s="576"/>
      <c r="C33" s="454" t="s">
        <v>59</v>
      </c>
      <c r="D33" s="455" t="s">
        <v>2076</v>
      </c>
      <c r="E33" s="456">
        <v>3</v>
      </c>
      <c r="F33" s="550" t="s">
        <v>1264</v>
      </c>
    </row>
    <row r="34" spans="1:6">
      <c r="A34" s="573"/>
      <c r="B34" s="576"/>
      <c r="C34" s="454" t="s">
        <v>62</v>
      </c>
      <c r="D34" s="455" t="s">
        <v>2077</v>
      </c>
      <c r="E34" s="456">
        <v>4</v>
      </c>
      <c r="F34" s="550" t="s">
        <v>1264</v>
      </c>
    </row>
    <row r="35" spans="1:6">
      <c r="A35" s="573"/>
      <c r="B35" s="576"/>
      <c r="C35" s="25" t="s">
        <v>64</v>
      </c>
      <c r="D35" s="310" t="s">
        <v>2109</v>
      </c>
      <c r="E35" s="16">
        <v>2</v>
      </c>
      <c r="F35" s="543"/>
    </row>
    <row r="36" spans="1:6">
      <c r="A36" s="573"/>
      <c r="B36" s="576"/>
      <c r="C36" s="454" t="s">
        <v>65</v>
      </c>
      <c r="D36" s="455" t="s">
        <v>2110</v>
      </c>
      <c r="E36" s="456">
        <v>3</v>
      </c>
      <c r="F36" s="550" t="s">
        <v>1264</v>
      </c>
    </row>
    <row r="37" spans="1:6">
      <c r="A37" s="573"/>
      <c r="B37" s="576"/>
      <c r="C37" s="454" t="s">
        <v>66</v>
      </c>
      <c r="D37" s="455" t="s">
        <v>2111</v>
      </c>
      <c r="E37" s="456">
        <v>4</v>
      </c>
      <c r="F37" s="550" t="s">
        <v>1264</v>
      </c>
    </row>
    <row r="38" spans="1:6">
      <c r="A38" s="573"/>
      <c r="B38" s="576"/>
      <c r="C38" s="25" t="s">
        <v>67</v>
      </c>
      <c r="D38" s="308" t="s">
        <v>2112</v>
      </c>
      <c r="E38" s="16">
        <v>1</v>
      </c>
      <c r="F38" s="543"/>
    </row>
    <row r="39" spans="1:6">
      <c r="A39" s="573"/>
      <c r="B39" s="576"/>
      <c r="C39" s="51" t="s">
        <v>68</v>
      </c>
      <c r="D39" s="319" t="s">
        <v>2113</v>
      </c>
      <c r="E39" s="52">
        <v>3</v>
      </c>
      <c r="F39" s="543"/>
    </row>
    <row r="40" spans="1:6">
      <c r="A40" s="573"/>
      <c r="B40" s="576"/>
      <c r="C40" s="454" t="s">
        <v>69</v>
      </c>
      <c r="D40" s="457" t="s">
        <v>2114</v>
      </c>
      <c r="E40" s="456">
        <v>3</v>
      </c>
      <c r="F40" s="550" t="s">
        <v>1264</v>
      </c>
    </row>
    <row r="41" spans="1:6">
      <c r="A41" s="573"/>
      <c r="B41" s="576"/>
      <c r="C41" s="25" t="s">
        <v>70</v>
      </c>
      <c r="D41" s="308" t="s">
        <v>2115</v>
      </c>
      <c r="E41" s="16">
        <v>1</v>
      </c>
      <c r="F41" s="543"/>
    </row>
    <row r="42" spans="1:6">
      <c r="A42" s="573"/>
      <c r="B42" s="576"/>
      <c r="C42" s="25" t="s">
        <v>71</v>
      </c>
      <c r="D42" s="320" t="s">
        <v>2116</v>
      </c>
      <c r="E42" s="16">
        <v>2</v>
      </c>
      <c r="F42" s="543"/>
    </row>
    <row r="43" spans="1:6">
      <c r="A43" s="573"/>
      <c r="B43" s="576"/>
      <c r="C43" s="25" t="s">
        <v>72</v>
      </c>
      <c r="D43" s="308" t="s">
        <v>2117</v>
      </c>
      <c r="E43" s="16">
        <v>2</v>
      </c>
      <c r="F43" s="543"/>
    </row>
    <row r="44" spans="1:6">
      <c r="A44" s="573"/>
      <c r="B44" s="576"/>
      <c r="C44" s="51" t="s">
        <v>73</v>
      </c>
      <c r="D44" s="321" t="s">
        <v>2078</v>
      </c>
      <c r="E44" s="16">
        <v>2</v>
      </c>
      <c r="F44" s="547"/>
    </row>
    <row r="45" spans="1:6" ht="19.5">
      <c r="A45" s="573"/>
      <c r="B45" s="580" t="s">
        <v>75</v>
      </c>
      <c r="C45" s="458" t="s">
        <v>76</v>
      </c>
      <c r="D45" s="459" t="s">
        <v>2118</v>
      </c>
      <c r="E45" s="460" t="s">
        <v>2862</v>
      </c>
      <c r="F45" s="551" t="s">
        <v>1264</v>
      </c>
    </row>
    <row r="46" spans="1:6" ht="19.5">
      <c r="A46" s="573"/>
      <c r="B46" s="576"/>
      <c r="C46" s="454" t="s">
        <v>77</v>
      </c>
      <c r="D46" s="455" t="s">
        <v>2119</v>
      </c>
      <c r="E46" s="461" t="s">
        <v>2862</v>
      </c>
      <c r="F46" s="550" t="s">
        <v>1264</v>
      </c>
    </row>
    <row r="47" spans="1:6" ht="20.25" thickBot="1">
      <c r="A47" s="573"/>
      <c r="B47" s="576"/>
      <c r="C47" s="462" t="s">
        <v>78</v>
      </c>
      <c r="D47" s="463" t="s">
        <v>2120</v>
      </c>
      <c r="E47" s="461" t="s">
        <v>2862</v>
      </c>
      <c r="F47" s="552" t="s">
        <v>1264</v>
      </c>
    </row>
    <row r="48" spans="1:6" ht="19.5" thickTop="1">
      <c r="A48" s="572" t="s">
        <v>79</v>
      </c>
      <c r="B48" s="575" t="s">
        <v>80</v>
      </c>
      <c r="C48" s="464" t="s">
        <v>81</v>
      </c>
      <c r="D48" s="465" t="s">
        <v>2121</v>
      </c>
      <c r="E48" s="466">
        <v>5</v>
      </c>
      <c r="F48" s="551" t="s">
        <v>1264</v>
      </c>
    </row>
    <row r="49" spans="1:6">
      <c r="A49" s="573"/>
      <c r="B49" s="576"/>
      <c r="C49" s="454" t="s">
        <v>82</v>
      </c>
      <c r="D49" s="455" t="s">
        <v>2122</v>
      </c>
      <c r="E49" s="456">
        <v>5</v>
      </c>
      <c r="F49" s="550" t="s">
        <v>1264</v>
      </c>
    </row>
    <row r="50" spans="1:6">
      <c r="A50" s="573"/>
      <c r="B50" s="576"/>
      <c r="C50" s="454" t="s">
        <v>83</v>
      </c>
      <c r="D50" s="455" t="s">
        <v>2123</v>
      </c>
      <c r="E50" s="456">
        <v>6</v>
      </c>
      <c r="F50" s="550" t="s">
        <v>1264</v>
      </c>
    </row>
    <row r="51" spans="1:6">
      <c r="A51" s="573"/>
      <c r="B51" s="576"/>
      <c r="C51" s="454" t="s">
        <v>84</v>
      </c>
      <c r="D51" s="455" t="s">
        <v>2124</v>
      </c>
      <c r="E51" s="456">
        <v>6</v>
      </c>
      <c r="F51" s="550" t="s">
        <v>1264</v>
      </c>
    </row>
    <row r="52" spans="1:6">
      <c r="A52" s="573"/>
      <c r="B52" s="576"/>
      <c r="C52" s="454" t="s">
        <v>85</v>
      </c>
      <c r="D52" s="455" t="s">
        <v>2125</v>
      </c>
      <c r="E52" s="456">
        <v>6</v>
      </c>
      <c r="F52" s="550" t="s">
        <v>1264</v>
      </c>
    </row>
    <row r="53" spans="1:6">
      <c r="A53" s="573"/>
      <c r="B53" s="576"/>
      <c r="C53" s="454" t="s">
        <v>86</v>
      </c>
      <c r="D53" s="455" t="s">
        <v>2126</v>
      </c>
      <c r="E53" s="456">
        <v>6</v>
      </c>
      <c r="F53" s="550" t="s">
        <v>1264</v>
      </c>
    </row>
    <row r="54" spans="1:6">
      <c r="A54" s="573"/>
      <c r="B54" s="576"/>
      <c r="C54" s="467" t="s">
        <v>87</v>
      </c>
      <c r="D54" s="468" t="s">
        <v>2127</v>
      </c>
      <c r="E54" s="469">
        <v>6</v>
      </c>
      <c r="F54" s="553" t="s">
        <v>1264</v>
      </c>
    </row>
    <row r="55" spans="1:6">
      <c r="A55" s="573"/>
      <c r="B55" s="580" t="s">
        <v>88</v>
      </c>
      <c r="C55" s="22" t="s">
        <v>89</v>
      </c>
      <c r="D55" s="313" t="s">
        <v>2128</v>
      </c>
      <c r="E55" s="41">
        <v>2</v>
      </c>
      <c r="F55" s="554"/>
    </row>
    <row r="56" spans="1:6">
      <c r="A56" s="573"/>
      <c r="B56" s="576"/>
      <c r="C56" s="25" t="s">
        <v>90</v>
      </c>
      <c r="D56" s="310" t="s">
        <v>2121</v>
      </c>
      <c r="E56" s="16">
        <v>3</v>
      </c>
      <c r="F56" s="543"/>
    </row>
    <row r="57" spans="1:6">
      <c r="A57" s="573"/>
      <c r="B57" s="576"/>
      <c r="C57" s="25" t="s">
        <v>91</v>
      </c>
      <c r="D57" s="310" t="s">
        <v>2129</v>
      </c>
      <c r="E57" s="16">
        <v>3</v>
      </c>
      <c r="F57" s="543"/>
    </row>
    <row r="58" spans="1:6">
      <c r="A58" s="573"/>
      <c r="B58" s="576"/>
      <c r="C58" s="25" t="s">
        <v>92</v>
      </c>
      <c r="D58" s="310" t="s">
        <v>2130</v>
      </c>
      <c r="E58" s="16">
        <v>3</v>
      </c>
      <c r="F58" s="543"/>
    </row>
    <row r="59" spans="1:6">
      <c r="A59" s="573"/>
      <c r="B59" s="576"/>
      <c r="C59" s="25" t="s">
        <v>93</v>
      </c>
      <c r="D59" s="310" t="s">
        <v>2131</v>
      </c>
      <c r="E59" s="16">
        <v>3</v>
      </c>
      <c r="F59" s="543"/>
    </row>
    <row r="60" spans="1:6">
      <c r="A60" s="573"/>
      <c r="B60" s="576"/>
      <c r="C60" s="25" t="s">
        <v>94</v>
      </c>
      <c r="D60" s="310" t="s">
        <v>2132</v>
      </c>
      <c r="E60" s="16">
        <v>3</v>
      </c>
      <c r="F60" s="543"/>
    </row>
    <row r="61" spans="1:6">
      <c r="A61" s="573"/>
      <c r="B61" s="576"/>
      <c r="C61" s="454" t="s">
        <v>95</v>
      </c>
      <c r="D61" s="455" t="s">
        <v>2124</v>
      </c>
      <c r="E61" s="456">
        <v>5</v>
      </c>
      <c r="F61" s="550" t="s">
        <v>1264</v>
      </c>
    </row>
    <row r="62" spans="1:6">
      <c r="A62" s="573"/>
      <c r="B62" s="576"/>
      <c r="C62" s="25" t="s">
        <v>96</v>
      </c>
      <c r="D62" s="310" t="s">
        <v>2133</v>
      </c>
      <c r="E62" s="16">
        <v>4</v>
      </c>
      <c r="F62" s="543"/>
    </row>
    <row r="63" spans="1:6">
      <c r="A63" s="573"/>
      <c r="B63" s="576"/>
      <c r="C63" s="25" t="s">
        <v>97</v>
      </c>
      <c r="D63" s="310" t="s">
        <v>2134</v>
      </c>
      <c r="E63" s="16">
        <v>4</v>
      </c>
      <c r="F63" s="543"/>
    </row>
    <row r="64" spans="1:6">
      <c r="A64" s="573"/>
      <c r="B64" s="576"/>
      <c r="C64" s="454" t="s">
        <v>98</v>
      </c>
      <c r="D64" s="455" t="s">
        <v>2135</v>
      </c>
      <c r="E64" s="456">
        <v>5</v>
      </c>
      <c r="F64" s="550" t="s">
        <v>1264</v>
      </c>
    </row>
    <row r="65" spans="1:6">
      <c r="A65" s="573"/>
      <c r="B65" s="576"/>
      <c r="C65" s="25" t="s">
        <v>99</v>
      </c>
      <c r="D65" s="310" t="s">
        <v>2136</v>
      </c>
      <c r="E65" s="16">
        <v>3</v>
      </c>
      <c r="F65" s="543"/>
    </row>
    <row r="66" spans="1:6">
      <c r="A66" s="573"/>
      <c r="B66" s="576"/>
      <c r="C66" s="25" t="s">
        <v>100</v>
      </c>
      <c r="D66" s="310" t="s">
        <v>2137</v>
      </c>
      <c r="E66" s="16">
        <v>4</v>
      </c>
      <c r="F66" s="543"/>
    </row>
    <row r="67" spans="1:6">
      <c r="A67" s="573"/>
      <c r="B67" s="576"/>
      <c r="C67" s="25" t="s">
        <v>101</v>
      </c>
      <c r="D67" s="310" t="s">
        <v>2138</v>
      </c>
      <c r="E67" s="16">
        <v>2</v>
      </c>
      <c r="F67" s="543"/>
    </row>
    <row r="68" spans="1:6">
      <c r="A68" s="573"/>
      <c r="B68" s="576"/>
      <c r="C68" s="63" t="s">
        <v>102</v>
      </c>
      <c r="D68" s="324" t="s">
        <v>2139</v>
      </c>
      <c r="E68" s="52">
        <v>3</v>
      </c>
      <c r="F68" s="547"/>
    </row>
    <row r="69" spans="1:6">
      <c r="A69" s="573"/>
      <c r="B69" s="580" t="s">
        <v>103</v>
      </c>
      <c r="C69" s="71" t="s">
        <v>104</v>
      </c>
      <c r="D69" s="325" t="s">
        <v>2140</v>
      </c>
      <c r="E69" s="48">
        <v>3</v>
      </c>
      <c r="F69" s="548"/>
    </row>
    <row r="70" spans="1:6">
      <c r="A70" s="573"/>
      <c r="B70" s="576"/>
      <c r="C70" s="25" t="s">
        <v>105</v>
      </c>
      <c r="D70" s="310" t="s">
        <v>2141</v>
      </c>
      <c r="E70" s="16">
        <v>4</v>
      </c>
      <c r="F70" s="543"/>
    </row>
    <row r="71" spans="1:6">
      <c r="A71" s="573"/>
      <c r="B71" s="576"/>
      <c r="C71" s="25" t="s">
        <v>106</v>
      </c>
      <c r="D71" s="310" t="s">
        <v>2142</v>
      </c>
      <c r="E71" s="16">
        <v>4</v>
      </c>
      <c r="F71" s="543"/>
    </row>
    <row r="72" spans="1:6">
      <c r="A72" s="573"/>
      <c r="B72" s="576"/>
      <c r="C72" s="454" t="s">
        <v>107</v>
      </c>
      <c r="D72" s="455" t="s">
        <v>2143</v>
      </c>
      <c r="E72" s="456">
        <v>6</v>
      </c>
      <c r="F72" s="550" t="s">
        <v>1264</v>
      </c>
    </row>
    <row r="73" spans="1:6">
      <c r="A73" s="573"/>
      <c r="B73" s="576"/>
      <c r="C73" s="25" t="s">
        <v>108</v>
      </c>
      <c r="D73" s="310" t="s">
        <v>2144</v>
      </c>
      <c r="E73" s="16">
        <v>2</v>
      </c>
      <c r="F73" s="543"/>
    </row>
    <row r="74" spans="1:6">
      <c r="A74" s="573"/>
      <c r="B74" s="576"/>
      <c r="C74" s="25" t="s">
        <v>109</v>
      </c>
      <c r="D74" s="310" t="s">
        <v>2145</v>
      </c>
      <c r="E74" s="16">
        <v>1</v>
      </c>
      <c r="F74" s="543"/>
    </row>
    <row r="75" spans="1:6">
      <c r="A75" s="573"/>
      <c r="B75" s="576"/>
      <c r="C75" s="454" t="s">
        <v>110</v>
      </c>
      <c r="D75" s="457" t="s">
        <v>2146</v>
      </c>
      <c r="E75" s="456">
        <v>6</v>
      </c>
      <c r="F75" s="550" t="s">
        <v>1264</v>
      </c>
    </row>
    <row r="76" spans="1:6">
      <c r="A76" s="573"/>
      <c r="B76" s="576"/>
      <c r="C76" s="72" t="s">
        <v>111</v>
      </c>
      <c r="D76" s="326" t="s">
        <v>2858</v>
      </c>
      <c r="E76" s="67">
        <v>2</v>
      </c>
      <c r="F76" s="543"/>
    </row>
    <row r="77" spans="1:6" ht="19.5" thickBot="1">
      <c r="A77" s="574"/>
      <c r="B77" s="582"/>
      <c r="C77" s="372" t="s">
        <v>2860</v>
      </c>
      <c r="D77" s="413" t="s">
        <v>2859</v>
      </c>
      <c r="E77" s="139">
        <v>1</v>
      </c>
      <c r="F77" s="549"/>
    </row>
    <row r="78" spans="1:6" ht="39.75" thickTop="1">
      <c r="A78" s="572" t="s">
        <v>117</v>
      </c>
      <c r="B78" s="76" t="s">
        <v>118</v>
      </c>
      <c r="C78" s="470" t="s">
        <v>119</v>
      </c>
      <c r="D78" s="471" t="s">
        <v>2148</v>
      </c>
      <c r="E78" s="472" t="s">
        <v>120</v>
      </c>
      <c r="F78" s="555" t="s">
        <v>1264</v>
      </c>
    </row>
    <row r="79" spans="1:6">
      <c r="A79" s="573"/>
      <c r="B79" s="580" t="s">
        <v>121</v>
      </c>
      <c r="C79" s="71" t="s">
        <v>122</v>
      </c>
      <c r="D79" s="325" t="s">
        <v>2149</v>
      </c>
      <c r="E79" s="82" t="s">
        <v>123</v>
      </c>
      <c r="F79" s="548"/>
    </row>
    <row r="80" spans="1:6">
      <c r="A80" s="573"/>
      <c r="B80" s="576"/>
      <c r="C80" s="25" t="s">
        <v>124</v>
      </c>
      <c r="D80" s="310" t="s">
        <v>2150</v>
      </c>
      <c r="E80" s="29">
        <v>2</v>
      </c>
      <c r="F80" s="543"/>
    </row>
    <row r="81" spans="1:6">
      <c r="A81" s="573"/>
      <c r="B81" s="576"/>
      <c r="C81" s="25" t="s">
        <v>125</v>
      </c>
      <c r="D81" s="310" t="s">
        <v>2151</v>
      </c>
      <c r="E81" s="29">
        <v>2</v>
      </c>
      <c r="F81" s="543"/>
    </row>
    <row r="82" spans="1:6">
      <c r="A82" s="573"/>
      <c r="B82" s="576"/>
      <c r="C82" s="25" t="s">
        <v>126</v>
      </c>
      <c r="D82" s="310" t="s">
        <v>2152</v>
      </c>
      <c r="E82" s="83" t="s">
        <v>127</v>
      </c>
      <c r="F82" s="543"/>
    </row>
    <row r="83" spans="1:6">
      <c r="A83" s="573"/>
      <c r="B83" s="576"/>
      <c r="C83" s="454" t="s">
        <v>128</v>
      </c>
      <c r="D83" s="455" t="s">
        <v>2153</v>
      </c>
      <c r="E83" s="476">
        <v>5</v>
      </c>
      <c r="F83" s="550" t="s">
        <v>1264</v>
      </c>
    </row>
    <row r="84" spans="1:6">
      <c r="A84" s="573"/>
      <c r="B84" s="576"/>
      <c r="C84" s="467" t="s">
        <v>130</v>
      </c>
      <c r="D84" s="468" t="s">
        <v>2154</v>
      </c>
      <c r="E84" s="473" t="s">
        <v>127</v>
      </c>
      <c r="F84" s="556" t="s">
        <v>1264</v>
      </c>
    </row>
    <row r="85" spans="1:6">
      <c r="A85" s="573"/>
      <c r="B85" s="580" t="s">
        <v>131</v>
      </c>
      <c r="C85" s="470" t="s">
        <v>132</v>
      </c>
      <c r="D85" s="474" t="s">
        <v>2863</v>
      </c>
      <c r="E85" s="460" t="s">
        <v>133</v>
      </c>
      <c r="F85" s="551" t="s">
        <v>1264</v>
      </c>
    </row>
    <row r="86" spans="1:6" ht="19.5">
      <c r="A86" s="573"/>
      <c r="B86" s="583"/>
      <c r="C86" s="467" t="s">
        <v>2864</v>
      </c>
      <c r="D86" s="471" t="s">
        <v>2865</v>
      </c>
      <c r="E86" s="475" t="s">
        <v>120</v>
      </c>
      <c r="F86" s="556" t="s">
        <v>1264</v>
      </c>
    </row>
    <row r="87" spans="1:6">
      <c r="A87" s="573"/>
      <c r="B87" s="580" t="s">
        <v>139</v>
      </c>
      <c r="C87" s="71" t="s">
        <v>140</v>
      </c>
      <c r="D87" s="325" t="s">
        <v>2155</v>
      </c>
      <c r="E87" s="82" t="s">
        <v>127</v>
      </c>
      <c r="F87" s="548"/>
    </row>
    <row r="88" spans="1:6">
      <c r="A88" s="573"/>
      <c r="B88" s="576"/>
      <c r="C88" s="454" t="s">
        <v>141</v>
      </c>
      <c r="D88" s="457" t="s">
        <v>2156</v>
      </c>
      <c r="E88" s="461" t="s">
        <v>133</v>
      </c>
      <c r="F88" s="550" t="s">
        <v>1264</v>
      </c>
    </row>
    <row r="89" spans="1:6">
      <c r="A89" s="573"/>
      <c r="B89" s="576"/>
      <c r="C89" s="25" t="s">
        <v>142</v>
      </c>
      <c r="D89" s="310" t="s">
        <v>2157</v>
      </c>
      <c r="E89" s="83" t="s">
        <v>127</v>
      </c>
      <c r="F89" s="543"/>
    </row>
    <row r="90" spans="1:6">
      <c r="A90" s="573"/>
      <c r="B90" s="576"/>
      <c r="C90" s="25" t="s">
        <v>143</v>
      </c>
      <c r="D90" s="308" t="s">
        <v>2158</v>
      </c>
      <c r="E90" s="29">
        <v>2</v>
      </c>
      <c r="F90" s="543"/>
    </row>
    <row r="91" spans="1:6" ht="19.5">
      <c r="A91" s="573"/>
      <c r="B91" s="576"/>
      <c r="C91" s="454" t="s">
        <v>144</v>
      </c>
      <c r="D91" s="457" t="s">
        <v>2159</v>
      </c>
      <c r="E91" s="476" t="s">
        <v>120</v>
      </c>
      <c r="F91" s="550" t="s">
        <v>1264</v>
      </c>
    </row>
    <row r="92" spans="1:6">
      <c r="A92" s="573"/>
      <c r="B92" s="576"/>
      <c r="C92" s="25" t="s">
        <v>145</v>
      </c>
      <c r="D92" s="308" t="s">
        <v>2160</v>
      </c>
      <c r="E92" s="29">
        <v>4</v>
      </c>
      <c r="F92" s="543"/>
    </row>
    <row r="93" spans="1:6">
      <c r="A93" s="573"/>
      <c r="B93" s="576"/>
      <c r="C93" s="25" t="s">
        <v>146</v>
      </c>
      <c r="D93" s="308" t="s">
        <v>2161</v>
      </c>
      <c r="E93" s="83" t="s">
        <v>127</v>
      </c>
      <c r="F93" s="543"/>
    </row>
    <row r="94" spans="1:6">
      <c r="A94" s="573"/>
      <c r="B94" s="581"/>
      <c r="C94" s="51" t="s">
        <v>147</v>
      </c>
      <c r="D94" s="319" t="s">
        <v>2162</v>
      </c>
      <c r="E94" s="93">
        <v>4</v>
      </c>
      <c r="F94" s="547"/>
    </row>
    <row r="95" spans="1:6">
      <c r="A95" s="573"/>
      <c r="B95" s="580" t="s">
        <v>148</v>
      </c>
      <c r="C95" s="22" t="s">
        <v>149</v>
      </c>
      <c r="D95" s="313" t="s">
        <v>2163</v>
      </c>
      <c r="E95" s="94">
        <v>2</v>
      </c>
      <c r="F95" s="548"/>
    </row>
    <row r="96" spans="1:6">
      <c r="A96" s="573"/>
      <c r="B96" s="576"/>
      <c r="C96" s="25" t="s">
        <v>150</v>
      </c>
      <c r="D96" s="310" t="s">
        <v>2164</v>
      </c>
      <c r="E96" s="29">
        <v>3</v>
      </c>
      <c r="F96" s="543"/>
    </row>
    <row r="97" spans="1:6">
      <c r="A97" s="573"/>
      <c r="B97" s="576"/>
      <c r="C97" s="454" t="s">
        <v>152</v>
      </c>
      <c r="D97" s="455" t="s">
        <v>2165</v>
      </c>
      <c r="E97" s="476">
        <v>5</v>
      </c>
      <c r="F97" s="550" t="s">
        <v>1264</v>
      </c>
    </row>
    <row r="98" spans="1:6">
      <c r="A98" s="573"/>
      <c r="B98" s="576"/>
      <c r="C98" s="454" t="s">
        <v>153</v>
      </c>
      <c r="D98" s="455" t="s">
        <v>2166</v>
      </c>
      <c r="E98" s="476">
        <v>5</v>
      </c>
      <c r="F98" s="550" t="s">
        <v>1264</v>
      </c>
    </row>
    <row r="99" spans="1:6">
      <c r="A99" s="573"/>
      <c r="B99" s="576"/>
      <c r="C99" s="454" t="s">
        <v>154</v>
      </c>
      <c r="D99" s="455" t="s">
        <v>2167</v>
      </c>
      <c r="E99" s="476">
        <v>5</v>
      </c>
      <c r="F99" s="550" t="s">
        <v>1264</v>
      </c>
    </row>
    <row r="100" spans="1:6">
      <c r="A100" s="573"/>
      <c r="B100" s="576"/>
      <c r="C100" s="454" t="s">
        <v>155</v>
      </c>
      <c r="D100" s="455" t="s">
        <v>2168</v>
      </c>
      <c r="E100" s="476">
        <v>5</v>
      </c>
      <c r="F100" s="550" t="s">
        <v>1264</v>
      </c>
    </row>
    <row r="101" spans="1:6">
      <c r="A101" s="573"/>
      <c r="B101" s="576"/>
      <c r="C101" s="454" t="s">
        <v>156</v>
      </c>
      <c r="D101" s="455" t="s">
        <v>2169</v>
      </c>
      <c r="E101" s="476">
        <v>5</v>
      </c>
      <c r="F101" s="556" t="s">
        <v>1264</v>
      </c>
    </row>
    <row r="102" spans="1:6">
      <c r="A102" s="573"/>
      <c r="B102" s="584" t="s">
        <v>157</v>
      </c>
      <c r="C102" s="97" t="s">
        <v>158</v>
      </c>
      <c r="D102" s="328" t="s">
        <v>2170</v>
      </c>
      <c r="E102" s="82" t="s">
        <v>127</v>
      </c>
      <c r="F102" s="548"/>
    </row>
    <row r="103" spans="1:6">
      <c r="A103" s="573"/>
      <c r="B103" s="585"/>
      <c r="C103" s="477" t="s">
        <v>159</v>
      </c>
      <c r="D103" s="478" t="s">
        <v>2165</v>
      </c>
      <c r="E103" s="461" t="s">
        <v>133</v>
      </c>
      <c r="F103" s="550" t="s">
        <v>1264</v>
      </c>
    </row>
    <row r="104" spans="1:6">
      <c r="A104" s="573"/>
      <c r="B104" s="585"/>
      <c r="C104" s="477" t="s">
        <v>160</v>
      </c>
      <c r="D104" s="478" t="s">
        <v>2166</v>
      </c>
      <c r="E104" s="461" t="s">
        <v>133</v>
      </c>
      <c r="F104" s="550" t="s">
        <v>1264</v>
      </c>
    </row>
    <row r="105" spans="1:6">
      <c r="A105" s="573"/>
      <c r="B105" s="585"/>
      <c r="C105" s="477" t="s">
        <v>161</v>
      </c>
      <c r="D105" s="478" t="s">
        <v>2167</v>
      </c>
      <c r="E105" s="461" t="s">
        <v>133</v>
      </c>
      <c r="F105" s="550" t="s">
        <v>1264</v>
      </c>
    </row>
    <row r="106" spans="1:6" ht="19.5" thickBot="1">
      <c r="A106" s="574"/>
      <c r="B106" s="586"/>
      <c r="C106" s="479" t="s">
        <v>162</v>
      </c>
      <c r="D106" s="480" t="s">
        <v>2171</v>
      </c>
      <c r="E106" s="481" t="s">
        <v>133</v>
      </c>
      <c r="F106" s="552" t="s">
        <v>1264</v>
      </c>
    </row>
    <row r="107" spans="1:6" ht="19.5" thickTop="1">
      <c r="A107" s="572" t="s">
        <v>163</v>
      </c>
      <c r="B107" s="575" t="s">
        <v>164</v>
      </c>
      <c r="C107" s="7" t="s">
        <v>165</v>
      </c>
      <c r="D107" s="331" t="s">
        <v>2866</v>
      </c>
      <c r="E107" s="48">
        <v>1</v>
      </c>
      <c r="F107" s="548"/>
    </row>
    <row r="108" spans="1:6">
      <c r="A108" s="573"/>
      <c r="B108" s="576"/>
      <c r="C108" s="25" t="s">
        <v>168</v>
      </c>
      <c r="D108" s="310" t="s">
        <v>2172</v>
      </c>
      <c r="E108" s="16">
        <v>2</v>
      </c>
      <c r="F108" s="543"/>
    </row>
    <row r="109" spans="1:6">
      <c r="A109" s="573"/>
      <c r="B109" s="576"/>
      <c r="C109" s="25" t="s">
        <v>169</v>
      </c>
      <c r="D109" s="310" t="s">
        <v>2173</v>
      </c>
      <c r="E109" s="16">
        <v>1</v>
      </c>
      <c r="F109" s="543"/>
    </row>
    <row r="110" spans="1:6">
      <c r="A110" s="573"/>
      <c r="B110" s="576"/>
      <c r="C110" s="25" t="s">
        <v>170</v>
      </c>
      <c r="D110" s="310" t="s">
        <v>2174</v>
      </c>
      <c r="E110" s="16">
        <v>2</v>
      </c>
      <c r="F110" s="543"/>
    </row>
    <row r="111" spans="1:6">
      <c r="A111" s="573"/>
      <c r="B111" s="576"/>
      <c r="C111" s="25" t="s">
        <v>171</v>
      </c>
      <c r="D111" s="310" t="s">
        <v>2175</v>
      </c>
      <c r="E111" s="16">
        <v>2</v>
      </c>
      <c r="F111" s="543"/>
    </row>
    <row r="112" spans="1:6">
      <c r="A112" s="573"/>
      <c r="B112" s="576"/>
      <c r="C112" s="25" t="s">
        <v>172</v>
      </c>
      <c r="D112" s="310" t="s">
        <v>2867</v>
      </c>
      <c r="E112" s="16">
        <v>4</v>
      </c>
      <c r="F112" s="543"/>
    </row>
    <row r="113" spans="1:6">
      <c r="A113" s="573"/>
      <c r="B113" s="576"/>
      <c r="C113" s="25" t="s">
        <v>175</v>
      </c>
      <c r="D113" s="310" t="s">
        <v>2176</v>
      </c>
      <c r="E113" s="16">
        <v>3</v>
      </c>
      <c r="F113" s="543"/>
    </row>
    <row r="114" spans="1:6">
      <c r="A114" s="573"/>
      <c r="B114" s="576"/>
      <c r="C114" s="25" t="s">
        <v>176</v>
      </c>
      <c r="D114" s="310" t="s">
        <v>2177</v>
      </c>
      <c r="E114" s="16">
        <v>3</v>
      </c>
      <c r="F114" s="543"/>
    </row>
    <row r="115" spans="1:6">
      <c r="A115" s="573"/>
      <c r="B115" s="576"/>
      <c r="C115" s="25" t="s">
        <v>177</v>
      </c>
      <c r="D115" s="310" t="s">
        <v>2178</v>
      </c>
      <c r="E115" s="16">
        <v>3</v>
      </c>
      <c r="F115" s="543"/>
    </row>
    <row r="116" spans="1:6">
      <c r="A116" s="573"/>
      <c r="B116" s="576"/>
      <c r="C116" s="25" t="s">
        <v>178</v>
      </c>
      <c r="D116" s="310" t="s">
        <v>2868</v>
      </c>
      <c r="E116" s="16">
        <v>4</v>
      </c>
      <c r="F116" s="543"/>
    </row>
    <row r="117" spans="1:6">
      <c r="A117" s="573"/>
      <c r="B117" s="576"/>
      <c r="C117" s="25" t="s">
        <v>180</v>
      </c>
      <c r="D117" s="310" t="s">
        <v>2179</v>
      </c>
      <c r="E117" s="16">
        <v>3</v>
      </c>
      <c r="F117" s="543"/>
    </row>
    <row r="118" spans="1:6">
      <c r="A118" s="573"/>
      <c r="B118" s="576"/>
      <c r="C118" s="454" t="s">
        <v>181</v>
      </c>
      <c r="D118" s="455" t="s">
        <v>2180</v>
      </c>
      <c r="E118" s="456">
        <v>5</v>
      </c>
      <c r="F118" s="550" t="s">
        <v>1264</v>
      </c>
    </row>
    <row r="119" spans="1:6">
      <c r="A119" s="573"/>
      <c r="B119" s="576"/>
      <c r="C119" s="454" t="s">
        <v>182</v>
      </c>
      <c r="D119" s="455" t="s">
        <v>2181</v>
      </c>
      <c r="E119" s="456">
        <v>5</v>
      </c>
      <c r="F119" s="550" t="s">
        <v>1264</v>
      </c>
    </row>
    <row r="120" spans="1:6">
      <c r="A120" s="573"/>
      <c r="B120" s="576"/>
      <c r="C120" s="25" t="s">
        <v>183</v>
      </c>
      <c r="D120" s="310" t="s">
        <v>2869</v>
      </c>
      <c r="E120" s="16">
        <v>1</v>
      </c>
      <c r="F120" s="543"/>
    </row>
    <row r="121" spans="1:6">
      <c r="A121" s="573"/>
      <c r="B121" s="576"/>
      <c r="C121" s="25" t="s">
        <v>186</v>
      </c>
      <c r="D121" s="310" t="s">
        <v>2182</v>
      </c>
      <c r="E121" s="16">
        <v>2</v>
      </c>
      <c r="F121" s="543"/>
    </row>
    <row r="122" spans="1:6">
      <c r="A122" s="573"/>
      <c r="B122" s="576"/>
      <c r="C122" s="454" t="s">
        <v>187</v>
      </c>
      <c r="D122" s="455" t="s">
        <v>2183</v>
      </c>
      <c r="E122" s="456">
        <v>6</v>
      </c>
      <c r="F122" s="550" t="s">
        <v>1264</v>
      </c>
    </row>
    <row r="123" spans="1:6">
      <c r="A123" s="573"/>
      <c r="B123" s="576"/>
      <c r="C123" s="454" t="s">
        <v>188</v>
      </c>
      <c r="D123" s="455" t="s">
        <v>2870</v>
      </c>
      <c r="E123" s="456">
        <v>6</v>
      </c>
      <c r="F123" s="550" t="s">
        <v>1264</v>
      </c>
    </row>
    <row r="124" spans="1:6">
      <c r="A124" s="573"/>
      <c r="B124" s="576"/>
      <c r="C124" s="25" t="s">
        <v>190</v>
      </c>
      <c r="D124" s="310" t="s">
        <v>2871</v>
      </c>
      <c r="E124" s="16">
        <v>4</v>
      </c>
      <c r="F124" s="543"/>
    </row>
    <row r="125" spans="1:6">
      <c r="A125" s="573"/>
      <c r="B125" s="576"/>
      <c r="C125" s="454" t="s">
        <v>192</v>
      </c>
      <c r="D125" s="455" t="s">
        <v>2872</v>
      </c>
      <c r="E125" s="456">
        <v>6</v>
      </c>
      <c r="F125" s="550" t="s">
        <v>1264</v>
      </c>
    </row>
    <row r="126" spans="1:6">
      <c r="A126" s="573"/>
      <c r="B126" s="576"/>
      <c r="C126" s="454" t="s">
        <v>194</v>
      </c>
      <c r="D126" s="455" t="s">
        <v>2873</v>
      </c>
      <c r="E126" s="456">
        <v>5</v>
      </c>
      <c r="F126" s="550" t="s">
        <v>1264</v>
      </c>
    </row>
    <row r="127" spans="1:6">
      <c r="A127" s="573"/>
      <c r="B127" s="576"/>
      <c r="C127" s="454" t="s">
        <v>196</v>
      </c>
      <c r="D127" s="455" t="s">
        <v>2874</v>
      </c>
      <c r="E127" s="456">
        <v>6</v>
      </c>
      <c r="F127" s="550" t="s">
        <v>1264</v>
      </c>
    </row>
    <row r="128" spans="1:6">
      <c r="A128" s="573"/>
      <c r="B128" s="576"/>
      <c r="C128" s="25" t="s">
        <v>198</v>
      </c>
      <c r="D128" s="310" t="s">
        <v>2875</v>
      </c>
      <c r="E128" s="16">
        <v>4</v>
      </c>
      <c r="F128" s="543"/>
    </row>
    <row r="129" spans="1:6">
      <c r="A129" s="573"/>
      <c r="B129" s="576"/>
      <c r="C129" s="25" t="s">
        <v>200</v>
      </c>
      <c r="D129" s="310" t="s">
        <v>2184</v>
      </c>
      <c r="E129" s="16">
        <v>3</v>
      </c>
      <c r="F129" s="543"/>
    </row>
    <row r="130" spans="1:6">
      <c r="A130" s="573"/>
      <c r="B130" s="576"/>
      <c r="C130" s="25" t="s">
        <v>201</v>
      </c>
      <c r="D130" s="308" t="s">
        <v>2185</v>
      </c>
      <c r="E130" s="16">
        <v>3</v>
      </c>
      <c r="F130" s="543"/>
    </row>
    <row r="131" spans="1:6">
      <c r="A131" s="573"/>
      <c r="B131" s="576"/>
      <c r="C131" s="25" t="s">
        <v>202</v>
      </c>
      <c r="D131" s="332" t="s">
        <v>2876</v>
      </c>
      <c r="E131" s="16">
        <v>3</v>
      </c>
      <c r="F131" s="543"/>
    </row>
    <row r="132" spans="1:6">
      <c r="A132" s="573"/>
      <c r="B132" s="576"/>
      <c r="C132" s="25" t="s">
        <v>205</v>
      </c>
      <c r="D132" s="310" t="s">
        <v>2877</v>
      </c>
      <c r="E132" s="105">
        <v>4</v>
      </c>
      <c r="F132" s="543"/>
    </row>
    <row r="133" spans="1:6">
      <c r="A133" s="573"/>
      <c r="B133" s="576"/>
      <c r="C133" s="25" t="s">
        <v>208</v>
      </c>
      <c r="D133" s="310" t="s">
        <v>2878</v>
      </c>
      <c r="E133" s="105">
        <v>3</v>
      </c>
      <c r="F133" s="543"/>
    </row>
    <row r="134" spans="1:6">
      <c r="A134" s="573"/>
      <c r="B134" s="576"/>
      <c r="C134" s="25" t="s">
        <v>210</v>
      </c>
      <c r="D134" s="308" t="s">
        <v>2186</v>
      </c>
      <c r="E134" s="16">
        <v>3</v>
      </c>
      <c r="F134" s="543"/>
    </row>
    <row r="135" spans="1:6">
      <c r="A135" s="573"/>
      <c r="B135" s="576"/>
      <c r="C135" s="454" t="s">
        <v>211</v>
      </c>
      <c r="D135" s="457" t="s">
        <v>2187</v>
      </c>
      <c r="E135" s="456">
        <v>4</v>
      </c>
      <c r="F135" s="550" t="s">
        <v>1264</v>
      </c>
    </row>
    <row r="136" spans="1:6">
      <c r="A136" s="573"/>
      <c r="B136" s="576"/>
      <c r="C136" s="25" t="s">
        <v>212</v>
      </c>
      <c r="D136" s="308" t="s">
        <v>2188</v>
      </c>
      <c r="E136" s="16">
        <v>3</v>
      </c>
      <c r="F136" s="543"/>
    </row>
    <row r="137" spans="1:6">
      <c r="A137" s="573"/>
      <c r="B137" s="576"/>
      <c r="C137" s="25" t="s">
        <v>213</v>
      </c>
      <c r="D137" s="308" t="s">
        <v>2189</v>
      </c>
      <c r="E137" s="16">
        <v>3</v>
      </c>
      <c r="F137" s="543"/>
    </row>
    <row r="138" spans="1:6">
      <c r="A138" s="573"/>
      <c r="B138" s="576"/>
      <c r="C138" s="25" t="s">
        <v>214</v>
      </c>
      <c r="D138" s="308" t="s">
        <v>2190</v>
      </c>
      <c r="E138" s="16">
        <v>2</v>
      </c>
      <c r="F138" s="543"/>
    </row>
    <row r="139" spans="1:6">
      <c r="A139" s="573"/>
      <c r="B139" s="576"/>
      <c r="C139" s="25" t="s">
        <v>215</v>
      </c>
      <c r="D139" s="314" t="s">
        <v>2879</v>
      </c>
      <c r="E139" s="16">
        <v>4</v>
      </c>
      <c r="F139" s="543"/>
    </row>
    <row r="140" spans="1:6">
      <c r="A140" s="573"/>
      <c r="B140" s="576"/>
      <c r="C140" s="25" t="s">
        <v>218</v>
      </c>
      <c r="D140" s="310" t="s">
        <v>2191</v>
      </c>
      <c r="E140" s="16">
        <v>4</v>
      </c>
      <c r="F140" s="543"/>
    </row>
    <row r="141" spans="1:6">
      <c r="A141" s="573"/>
      <c r="B141" s="576"/>
      <c r="C141" s="25" t="s">
        <v>219</v>
      </c>
      <c r="D141" s="310" t="s">
        <v>2192</v>
      </c>
      <c r="E141" s="16">
        <v>4</v>
      </c>
      <c r="F141" s="543"/>
    </row>
    <row r="142" spans="1:6">
      <c r="A142" s="573"/>
      <c r="B142" s="576"/>
      <c r="C142" s="25" t="s">
        <v>220</v>
      </c>
      <c r="D142" s="310" t="s">
        <v>2193</v>
      </c>
      <c r="E142" s="16">
        <v>4</v>
      </c>
      <c r="F142" s="543"/>
    </row>
    <row r="143" spans="1:6">
      <c r="A143" s="573"/>
      <c r="B143" s="576"/>
      <c r="C143" s="454" t="s">
        <v>221</v>
      </c>
      <c r="D143" s="455" t="s">
        <v>2880</v>
      </c>
      <c r="E143" s="456">
        <v>5</v>
      </c>
      <c r="F143" s="550" t="s">
        <v>1264</v>
      </c>
    </row>
    <row r="144" spans="1:6">
      <c r="A144" s="573"/>
      <c r="B144" s="576"/>
      <c r="C144" s="454" t="s">
        <v>224</v>
      </c>
      <c r="D144" s="455" t="s">
        <v>2194</v>
      </c>
      <c r="E144" s="456">
        <v>5</v>
      </c>
      <c r="F144" s="550" t="s">
        <v>1264</v>
      </c>
    </row>
    <row r="145" spans="1:6">
      <c r="A145" s="573"/>
      <c r="B145" s="576"/>
      <c r="C145" s="454" t="s">
        <v>225</v>
      </c>
      <c r="D145" s="455" t="s">
        <v>2881</v>
      </c>
      <c r="E145" s="456">
        <v>4</v>
      </c>
      <c r="F145" s="550" t="s">
        <v>1264</v>
      </c>
    </row>
    <row r="146" spans="1:6">
      <c r="A146" s="573"/>
      <c r="B146" s="576"/>
      <c r="C146" s="454" t="s">
        <v>227</v>
      </c>
      <c r="D146" s="455" t="s">
        <v>2882</v>
      </c>
      <c r="E146" s="456">
        <v>5</v>
      </c>
      <c r="F146" s="550" t="s">
        <v>1264</v>
      </c>
    </row>
    <row r="147" spans="1:6">
      <c r="A147" s="573"/>
      <c r="B147" s="576"/>
      <c r="C147" s="25" t="s">
        <v>229</v>
      </c>
      <c r="D147" s="310" t="s">
        <v>2883</v>
      </c>
      <c r="E147" s="16">
        <v>4</v>
      </c>
      <c r="F147" s="543"/>
    </row>
    <row r="148" spans="1:6">
      <c r="A148" s="573"/>
      <c r="B148" s="576"/>
      <c r="C148" s="25" t="s">
        <v>231</v>
      </c>
      <c r="D148" s="310" t="s">
        <v>2195</v>
      </c>
      <c r="E148" s="16">
        <v>3</v>
      </c>
      <c r="F148" s="543"/>
    </row>
    <row r="149" spans="1:6">
      <c r="A149" s="573"/>
      <c r="B149" s="576"/>
      <c r="C149" s="25" t="s">
        <v>232</v>
      </c>
      <c r="D149" s="310" t="s">
        <v>2884</v>
      </c>
      <c r="E149" s="16">
        <v>3</v>
      </c>
      <c r="F149" s="543"/>
    </row>
    <row r="150" spans="1:6">
      <c r="A150" s="573"/>
      <c r="B150" s="576"/>
      <c r="C150" s="25" t="s">
        <v>235</v>
      </c>
      <c r="D150" s="310" t="s">
        <v>2196</v>
      </c>
      <c r="E150" s="16">
        <v>3</v>
      </c>
      <c r="F150" s="543"/>
    </row>
    <row r="151" spans="1:6">
      <c r="A151" s="573"/>
      <c r="B151" s="576"/>
      <c r="C151" s="25" t="s">
        <v>236</v>
      </c>
      <c r="D151" s="310" t="s">
        <v>2197</v>
      </c>
      <c r="E151" s="16">
        <v>4</v>
      </c>
      <c r="F151" s="543"/>
    </row>
    <row r="152" spans="1:6">
      <c r="A152" s="573"/>
      <c r="B152" s="576"/>
      <c r="C152" s="454" t="s">
        <v>237</v>
      </c>
      <c r="D152" s="455" t="s">
        <v>2198</v>
      </c>
      <c r="E152" s="456">
        <v>5</v>
      </c>
      <c r="F152" s="550" t="s">
        <v>1264</v>
      </c>
    </row>
    <row r="153" spans="1:6">
      <c r="A153" s="573"/>
      <c r="B153" s="576"/>
      <c r="C153" s="25" t="s">
        <v>238</v>
      </c>
      <c r="D153" s="310" t="s">
        <v>2199</v>
      </c>
      <c r="E153" s="16">
        <v>4</v>
      </c>
      <c r="F153" s="543"/>
    </row>
    <row r="154" spans="1:6">
      <c r="A154" s="573"/>
      <c r="B154" s="576"/>
      <c r="C154" s="25" t="s">
        <v>2888</v>
      </c>
      <c r="D154" s="380" t="s">
        <v>2885</v>
      </c>
      <c r="E154" s="16">
        <v>2</v>
      </c>
      <c r="F154" s="543"/>
    </row>
    <row r="155" spans="1:6">
      <c r="A155" s="573"/>
      <c r="B155" s="576"/>
      <c r="C155" s="25" t="s">
        <v>2889</v>
      </c>
      <c r="D155" s="396" t="s">
        <v>2886</v>
      </c>
      <c r="E155" s="16">
        <v>4</v>
      </c>
      <c r="F155" s="543"/>
    </row>
    <row r="156" spans="1:6">
      <c r="A156" s="573"/>
      <c r="B156" s="576"/>
      <c r="C156" s="25" t="s">
        <v>2890</v>
      </c>
      <c r="D156" s="396" t="s">
        <v>2887</v>
      </c>
      <c r="E156" s="16">
        <v>3</v>
      </c>
      <c r="F156" s="547"/>
    </row>
    <row r="157" spans="1:6">
      <c r="A157" s="573"/>
      <c r="B157" s="577" t="s">
        <v>249</v>
      </c>
      <c r="C157" s="71" t="s">
        <v>250</v>
      </c>
      <c r="D157" s="325" t="s">
        <v>2200</v>
      </c>
      <c r="E157" s="41">
        <v>1</v>
      </c>
      <c r="F157" s="548"/>
    </row>
    <row r="158" spans="1:6">
      <c r="A158" s="573"/>
      <c r="B158" s="578"/>
      <c r="C158" s="25" t="s">
        <v>251</v>
      </c>
      <c r="D158" s="310" t="s">
        <v>2201</v>
      </c>
      <c r="E158" s="16">
        <v>1</v>
      </c>
      <c r="F158" s="543"/>
    </row>
    <row r="159" spans="1:6">
      <c r="A159" s="573"/>
      <c r="B159" s="578"/>
      <c r="C159" s="25" t="s">
        <v>252</v>
      </c>
      <c r="D159" s="310" t="s">
        <v>2202</v>
      </c>
      <c r="E159" s="16">
        <v>1</v>
      </c>
      <c r="F159" s="543"/>
    </row>
    <row r="160" spans="1:6">
      <c r="A160" s="573"/>
      <c r="B160" s="578"/>
      <c r="C160" s="25" t="s">
        <v>253</v>
      </c>
      <c r="D160" s="310" t="s">
        <v>2203</v>
      </c>
      <c r="E160" s="16">
        <v>1</v>
      </c>
      <c r="F160" s="543"/>
    </row>
    <row r="161" spans="1:6">
      <c r="A161" s="573"/>
      <c r="B161" s="578"/>
      <c r="C161" s="25" t="s">
        <v>254</v>
      </c>
      <c r="D161" s="310" t="s">
        <v>2204</v>
      </c>
      <c r="E161" s="16">
        <v>1</v>
      </c>
      <c r="F161" s="543"/>
    </row>
    <row r="162" spans="1:6">
      <c r="A162" s="573"/>
      <c r="B162" s="578"/>
      <c r="C162" s="25" t="s">
        <v>255</v>
      </c>
      <c r="D162" s="314" t="s">
        <v>2891</v>
      </c>
      <c r="E162" s="16">
        <v>1</v>
      </c>
      <c r="F162" s="543"/>
    </row>
    <row r="163" spans="1:6">
      <c r="A163" s="573"/>
      <c r="B163" s="578"/>
      <c r="C163" s="25" t="s">
        <v>258</v>
      </c>
      <c r="D163" s="310" t="s">
        <v>2206</v>
      </c>
      <c r="E163" s="16">
        <v>2</v>
      </c>
      <c r="F163" s="543"/>
    </row>
    <row r="164" spans="1:6">
      <c r="A164" s="573"/>
      <c r="B164" s="578"/>
      <c r="C164" s="25" t="s">
        <v>259</v>
      </c>
      <c r="D164" s="310" t="s">
        <v>2892</v>
      </c>
      <c r="E164" s="16">
        <v>2</v>
      </c>
      <c r="F164" s="543"/>
    </row>
    <row r="165" spans="1:6">
      <c r="A165" s="573"/>
      <c r="B165" s="578"/>
      <c r="C165" s="25" t="s">
        <v>261</v>
      </c>
      <c r="D165" s="310" t="s">
        <v>2207</v>
      </c>
      <c r="E165" s="16">
        <v>2</v>
      </c>
      <c r="F165" s="543"/>
    </row>
    <row r="166" spans="1:6">
      <c r="A166" s="573"/>
      <c r="B166" s="578"/>
      <c r="C166" s="25" t="s">
        <v>262</v>
      </c>
      <c r="D166" s="310" t="s">
        <v>2208</v>
      </c>
      <c r="E166" s="16">
        <v>2</v>
      </c>
      <c r="F166" s="543"/>
    </row>
    <row r="167" spans="1:6">
      <c r="A167" s="573"/>
      <c r="B167" s="578"/>
      <c r="C167" s="25" t="s">
        <v>263</v>
      </c>
      <c r="D167" s="314" t="s">
        <v>2209</v>
      </c>
      <c r="E167" s="16">
        <v>3</v>
      </c>
      <c r="F167" s="543"/>
    </row>
    <row r="168" spans="1:6">
      <c r="A168" s="573"/>
      <c r="B168" s="578"/>
      <c r="C168" s="25" t="s">
        <v>264</v>
      </c>
      <c r="D168" s="310" t="s">
        <v>2210</v>
      </c>
      <c r="E168" s="16">
        <v>3</v>
      </c>
      <c r="F168" s="543"/>
    </row>
    <row r="169" spans="1:6">
      <c r="A169" s="573"/>
      <c r="B169" s="578"/>
      <c r="C169" s="25" t="s">
        <v>265</v>
      </c>
      <c r="D169" s="310" t="s">
        <v>2211</v>
      </c>
      <c r="E169" s="16">
        <v>4</v>
      </c>
      <c r="F169" s="543"/>
    </row>
    <row r="170" spans="1:6">
      <c r="A170" s="573"/>
      <c r="B170" s="578"/>
      <c r="C170" s="25" t="s">
        <v>266</v>
      </c>
      <c r="D170" s="310" t="s">
        <v>2212</v>
      </c>
      <c r="E170" s="16">
        <v>4</v>
      </c>
      <c r="F170" s="543"/>
    </row>
    <row r="171" spans="1:6">
      <c r="A171" s="573"/>
      <c r="B171" s="578"/>
      <c r="C171" s="25" t="s">
        <v>267</v>
      </c>
      <c r="D171" s="310" t="s">
        <v>2213</v>
      </c>
      <c r="E171" s="16">
        <v>1</v>
      </c>
      <c r="F171" s="543"/>
    </row>
    <row r="172" spans="1:6">
      <c r="A172" s="573"/>
      <c r="B172" s="578"/>
      <c r="C172" s="25" t="s">
        <v>268</v>
      </c>
      <c r="D172" s="310" t="s">
        <v>2214</v>
      </c>
      <c r="E172" s="16">
        <v>1</v>
      </c>
      <c r="F172" s="543"/>
    </row>
    <row r="173" spans="1:6">
      <c r="A173" s="573"/>
      <c r="B173" s="578"/>
      <c r="C173" s="25" t="s">
        <v>269</v>
      </c>
      <c r="D173" s="310" t="s">
        <v>2215</v>
      </c>
      <c r="E173" s="16">
        <v>2</v>
      </c>
      <c r="F173" s="543"/>
    </row>
    <row r="174" spans="1:6">
      <c r="A174" s="573"/>
      <c r="B174" s="578"/>
      <c r="C174" s="25" t="s">
        <v>270</v>
      </c>
      <c r="D174" s="310" t="s">
        <v>2216</v>
      </c>
      <c r="E174" s="16">
        <v>3</v>
      </c>
      <c r="F174" s="543"/>
    </row>
    <row r="175" spans="1:6">
      <c r="A175" s="573"/>
      <c r="B175" s="578"/>
      <c r="C175" s="25" t="s">
        <v>271</v>
      </c>
      <c r="D175" s="310" t="s">
        <v>2217</v>
      </c>
      <c r="E175" s="16">
        <v>4</v>
      </c>
      <c r="F175" s="543"/>
    </row>
    <row r="176" spans="1:6">
      <c r="A176" s="573"/>
      <c r="B176" s="578"/>
      <c r="C176" s="25" t="s">
        <v>272</v>
      </c>
      <c r="D176" s="310" t="s">
        <v>2218</v>
      </c>
      <c r="E176" s="16">
        <v>4</v>
      </c>
      <c r="F176" s="543"/>
    </row>
    <row r="177" spans="1:6">
      <c r="A177" s="573"/>
      <c r="B177" s="578"/>
      <c r="C177" s="25" t="s">
        <v>273</v>
      </c>
      <c r="D177" s="310" t="s">
        <v>2219</v>
      </c>
      <c r="E177" s="16">
        <v>2</v>
      </c>
      <c r="F177" s="543"/>
    </row>
    <row r="178" spans="1:6">
      <c r="A178" s="573"/>
      <c r="B178" s="578"/>
      <c r="C178" s="25" t="s">
        <v>274</v>
      </c>
      <c r="D178" s="333" t="s">
        <v>2220</v>
      </c>
      <c r="E178" s="16">
        <v>3</v>
      </c>
      <c r="F178" s="543"/>
    </row>
    <row r="179" spans="1:6">
      <c r="A179" s="573"/>
      <c r="B179" s="578"/>
      <c r="C179" s="25" t="s">
        <v>275</v>
      </c>
      <c r="D179" s="333" t="s">
        <v>2893</v>
      </c>
      <c r="E179" s="16">
        <v>4</v>
      </c>
      <c r="F179" s="543"/>
    </row>
    <row r="180" spans="1:6">
      <c r="A180" s="573"/>
      <c r="B180" s="578"/>
      <c r="C180" s="34" t="s">
        <v>277</v>
      </c>
      <c r="D180" s="334" t="s">
        <v>2221</v>
      </c>
      <c r="E180" s="16">
        <v>4</v>
      </c>
      <c r="F180" s="543"/>
    </row>
    <row r="181" spans="1:6">
      <c r="A181" s="573"/>
      <c r="B181" s="578"/>
      <c r="C181" s="132" t="s">
        <v>2894</v>
      </c>
      <c r="D181" s="332" t="s">
        <v>2895</v>
      </c>
      <c r="E181" s="16">
        <v>2</v>
      </c>
      <c r="F181" s="543"/>
    </row>
    <row r="182" spans="1:6">
      <c r="A182" s="573"/>
      <c r="B182" s="579"/>
      <c r="C182" s="47" t="s">
        <v>2896</v>
      </c>
      <c r="D182" s="388" t="s">
        <v>2897</v>
      </c>
      <c r="E182" s="48">
        <v>2</v>
      </c>
      <c r="F182" s="547"/>
    </row>
    <row r="183" spans="1:6">
      <c r="A183" s="573"/>
      <c r="B183" s="580" t="s">
        <v>284</v>
      </c>
      <c r="C183" s="71"/>
      <c r="D183" s="325" t="s">
        <v>2222</v>
      </c>
      <c r="E183" s="41"/>
      <c r="F183" s="548"/>
    </row>
    <row r="184" spans="1:6" ht="19.5">
      <c r="A184" s="573"/>
      <c r="B184" s="576"/>
      <c r="C184" s="454" t="s">
        <v>285</v>
      </c>
      <c r="D184" s="455" t="s">
        <v>2223</v>
      </c>
      <c r="E184" s="461" t="s">
        <v>2862</v>
      </c>
      <c r="F184" s="550" t="s">
        <v>1264</v>
      </c>
    </row>
    <row r="185" spans="1:6" ht="19.5">
      <c r="A185" s="573"/>
      <c r="B185" s="576"/>
      <c r="C185" s="454" t="s">
        <v>286</v>
      </c>
      <c r="D185" s="455" t="s">
        <v>2224</v>
      </c>
      <c r="E185" s="461" t="s">
        <v>2862</v>
      </c>
      <c r="F185" s="550" t="s">
        <v>1264</v>
      </c>
    </row>
    <row r="186" spans="1:6">
      <c r="A186" s="573"/>
      <c r="B186" s="576"/>
      <c r="C186" s="25"/>
      <c r="D186" s="310" t="s">
        <v>2225</v>
      </c>
      <c r="E186" s="16"/>
      <c r="F186" s="543"/>
    </row>
    <row r="187" spans="1:6" ht="19.5">
      <c r="A187" s="573"/>
      <c r="B187" s="576"/>
      <c r="C187" s="454" t="s">
        <v>287</v>
      </c>
      <c r="D187" s="455" t="s">
        <v>2226</v>
      </c>
      <c r="E187" s="461" t="s">
        <v>2862</v>
      </c>
      <c r="F187" s="550" t="s">
        <v>1264</v>
      </c>
    </row>
    <row r="188" spans="1:6" ht="19.5">
      <c r="A188" s="573"/>
      <c r="B188" s="576"/>
      <c r="C188" s="454" t="s">
        <v>288</v>
      </c>
      <c r="D188" s="455" t="s">
        <v>2227</v>
      </c>
      <c r="E188" s="461" t="s">
        <v>2862</v>
      </c>
      <c r="F188" s="550" t="s">
        <v>1264</v>
      </c>
    </row>
    <row r="189" spans="1:6" ht="19.5">
      <c r="A189" s="573"/>
      <c r="B189" s="576"/>
      <c r="C189" s="454" t="s">
        <v>289</v>
      </c>
      <c r="D189" s="455" t="s">
        <v>2228</v>
      </c>
      <c r="E189" s="461" t="s">
        <v>2862</v>
      </c>
      <c r="F189" s="550" t="s">
        <v>1264</v>
      </c>
    </row>
    <row r="190" spans="1:6" ht="19.5">
      <c r="A190" s="573"/>
      <c r="B190" s="576"/>
      <c r="C190" s="454" t="s">
        <v>290</v>
      </c>
      <c r="D190" s="455" t="s">
        <v>2229</v>
      </c>
      <c r="E190" s="461" t="s">
        <v>2862</v>
      </c>
      <c r="F190" s="550" t="s">
        <v>1264</v>
      </c>
    </row>
    <row r="191" spans="1:6" ht="19.5">
      <c r="A191" s="573"/>
      <c r="B191" s="576"/>
      <c r="C191" s="454" t="s">
        <v>291</v>
      </c>
      <c r="D191" s="455" t="s">
        <v>2230</v>
      </c>
      <c r="E191" s="461" t="s">
        <v>2862</v>
      </c>
      <c r="F191" s="550" t="s">
        <v>1264</v>
      </c>
    </row>
    <row r="192" spans="1:6" ht="19.5">
      <c r="A192" s="573"/>
      <c r="B192" s="576"/>
      <c r="C192" s="454" t="s">
        <v>292</v>
      </c>
      <c r="D192" s="455" t="s">
        <v>2231</v>
      </c>
      <c r="E192" s="461" t="s">
        <v>2862</v>
      </c>
      <c r="F192" s="550" t="s">
        <v>1264</v>
      </c>
    </row>
    <row r="193" spans="1:6" ht="19.5">
      <c r="A193" s="573"/>
      <c r="B193" s="576"/>
      <c r="C193" s="454" t="s">
        <v>293</v>
      </c>
      <c r="D193" s="455" t="s">
        <v>2232</v>
      </c>
      <c r="E193" s="461" t="s">
        <v>2862</v>
      </c>
      <c r="F193" s="550" t="s">
        <v>1264</v>
      </c>
    </row>
    <row r="194" spans="1:6" ht="19.5">
      <c r="A194" s="573"/>
      <c r="B194" s="576"/>
      <c r="C194" s="454" t="s">
        <v>294</v>
      </c>
      <c r="D194" s="455" t="s">
        <v>2233</v>
      </c>
      <c r="E194" s="461" t="s">
        <v>2862</v>
      </c>
      <c r="F194" s="550" t="s">
        <v>1264</v>
      </c>
    </row>
    <row r="195" spans="1:6" ht="19.5">
      <c r="A195" s="573"/>
      <c r="B195" s="576"/>
      <c r="C195" s="454" t="s">
        <v>295</v>
      </c>
      <c r="D195" s="455" t="s">
        <v>2234</v>
      </c>
      <c r="E195" s="461" t="s">
        <v>2862</v>
      </c>
      <c r="F195" s="550" t="s">
        <v>1264</v>
      </c>
    </row>
    <row r="196" spans="1:6">
      <c r="A196" s="573"/>
      <c r="B196" s="576"/>
      <c r="C196" s="25"/>
      <c r="D196" s="310" t="s">
        <v>2235</v>
      </c>
      <c r="E196" s="16"/>
      <c r="F196" s="543"/>
    </row>
    <row r="197" spans="1:6" ht="19.5">
      <c r="A197" s="573"/>
      <c r="B197" s="576"/>
      <c r="C197" s="454" t="s">
        <v>296</v>
      </c>
      <c r="D197" s="455" t="s">
        <v>2236</v>
      </c>
      <c r="E197" s="461" t="s">
        <v>2862</v>
      </c>
      <c r="F197" s="550" t="s">
        <v>1264</v>
      </c>
    </row>
    <row r="198" spans="1:6" ht="19.5">
      <c r="A198" s="573"/>
      <c r="B198" s="576"/>
      <c r="C198" s="454" t="s">
        <v>297</v>
      </c>
      <c r="D198" s="455" t="s">
        <v>2237</v>
      </c>
      <c r="E198" s="461" t="s">
        <v>2862</v>
      </c>
      <c r="F198" s="550" t="s">
        <v>1264</v>
      </c>
    </row>
    <row r="199" spans="1:6" ht="19.5">
      <c r="A199" s="573"/>
      <c r="B199" s="576"/>
      <c r="C199" s="454" t="s">
        <v>298</v>
      </c>
      <c r="D199" s="457" t="s">
        <v>2238</v>
      </c>
      <c r="E199" s="461" t="s">
        <v>2862</v>
      </c>
      <c r="F199" s="550" t="s">
        <v>1264</v>
      </c>
    </row>
    <row r="200" spans="1:6" ht="19.5">
      <c r="A200" s="573"/>
      <c r="B200" s="576"/>
      <c r="C200" s="454" t="s">
        <v>299</v>
      </c>
      <c r="D200" s="455" t="s">
        <v>2239</v>
      </c>
      <c r="E200" s="461" t="s">
        <v>2862</v>
      </c>
      <c r="F200" s="550" t="s">
        <v>1264</v>
      </c>
    </row>
    <row r="201" spans="1:6" ht="19.5">
      <c r="A201" s="573"/>
      <c r="B201" s="576"/>
      <c r="C201" s="454" t="s">
        <v>300</v>
      </c>
      <c r="D201" s="457" t="s">
        <v>2240</v>
      </c>
      <c r="E201" s="461" t="s">
        <v>2862</v>
      </c>
      <c r="F201" s="550" t="s">
        <v>1264</v>
      </c>
    </row>
    <row r="202" spans="1:6" ht="19.5">
      <c r="A202" s="573"/>
      <c r="B202" s="576"/>
      <c r="C202" s="454" t="s">
        <v>301</v>
      </c>
      <c r="D202" s="455" t="s">
        <v>2241</v>
      </c>
      <c r="E202" s="461" t="s">
        <v>2862</v>
      </c>
      <c r="F202" s="550" t="s">
        <v>1264</v>
      </c>
    </row>
    <row r="203" spans="1:6" ht="19.5">
      <c r="A203" s="573"/>
      <c r="B203" s="576"/>
      <c r="C203" s="454" t="s">
        <v>302</v>
      </c>
      <c r="D203" s="455" t="s">
        <v>2242</v>
      </c>
      <c r="E203" s="461" t="s">
        <v>2862</v>
      </c>
      <c r="F203" s="550" t="s">
        <v>1264</v>
      </c>
    </row>
    <row r="204" spans="1:6" ht="19.5">
      <c r="A204" s="573"/>
      <c r="B204" s="576"/>
      <c r="C204" s="454" t="s">
        <v>303</v>
      </c>
      <c r="D204" s="455" t="s">
        <v>2243</v>
      </c>
      <c r="E204" s="461" t="s">
        <v>2862</v>
      </c>
      <c r="F204" s="550" t="s">
        <v>1264</v>
      </c>
    </row>
    <row r="205" spans="1:6" ht="19.5">
      <c r="A205" s="573"/>
      <c r="B205" s="576"/>
      <c r="C205" s="454" t="s">
        <v>304</v>
      </c>
      <c r="D205" s="455" t="s">
        <v>2244</v>
      </c>
      <c r="E205" s="461" t="s">
        <v>2862</v>
      </c>
      <c r="F205" s="550" t="s">
        <v>1264</v>
      </c>
    </row>
    <row r="206" spans="1:6">
      <c r="A206" s="573"/>
      <c r="B206" s="576"/>
      <c r="C206" s="25"/>
      <c r="D206" s="308" t="s">
        <v>2245</v>
      </c>
      <c r="E206" s="16"/>
      <c r="F206" s="543"/>
    </row>
    <row r="207" spans="1:6" ht="19.5">
      <c r="A207" s="573"/>
      <c r="B207" s="576"/>
      <c r="C207" s="454" t="s">
        <v>305</v>
      </c>
      <c r="D207" s="457" t="s">
        <v>2246</v>
      </c>
      <c r="E207" s="461" t="s">
        <v>2862</v>
      </c>
      <c r="F207" s="550" t="s">
        <v>1264</v>
      </c>
    </row>
    <row r="208" spans="1:6" ht="19.5">
      <c r="A208" s="573"/>
      <c r="B208" s="576"/>
      <c r="C208" s="454" t="s">
        <v>306</v>
      </c>
      <c r="D208" s="457" t="s">
        <v>2247</v>
      </c>
      <c r="E208" s="461" t="s">
        <v>2862</v>
      </c>
      <c r="F208" s="550" t="s">
        <v>1264</v>
      </c>
    </row>
    <row r="209" spans="1:6">
      <c r="A209" s="573"/>
      <c r="B209" s="576"/>
      <c r="C209" s="25"/>
      <c r="D209" s="308" t="s">
        <v>2248</v>
      </c>
      <c r="E209" s="16"/>
      <c r="F209" s="543"/>
    </row>
    <row r="210" spans="1:6">
      <c r="A210" s="573"/>
      <c r="B210" s="576"/>
      <c r="C210" s="454" t="s">
        <v>307</v>
      </c>
      <c r="D210" s="455" t="s">
        <v>2249</v>
      </c>
      <c r="E210" s="456">
        <v>4</v>
      </c>
      <c r="F210" s="550" t="s">
        <v>1264</v>
      </c>
    </row>
    <row r="211" spans="1:6">
      <c r="A211" s="573"/>
      <c r="B211" s="576"/>
      <c r="C211" s="25" t="s">
        <v>308</v>
      </c>
      <c r="D211" s="310" t="s">
        <v>2250</v>
      </c>
      <c r="E211" s="16">
        <v>4</v>
      </c>
      <c r="F211" s="543"/>
    </row>
    <row r="212" spans="1:6">
      <c r="A212" s="573"/>
      <c r="B212" s="576"/>
      <c r="C212" s="25" t="s">
        <v>309</v>
      </c>
      <c r="D212" s="310" t="s">
        <v>2251</v>
      </c>
      <c r="E212" s="16">
        <v>3</v>
      </c>
      <c r="F212" s="543"/>
    </row>
    <row r="213" spans="1:6">
      <c r="A213" s="573"/>
      <c r="B213" s="576"/>
      <c r="C213" s="454" t="s">
        <v>310</v>
      </c>
      <c r="D213" s="455" t="s">
        <v>2252</v>
      </c>
      <c r="E213" s="456">
        <v>4</v>
      </c>
      <c r="F213" s="550" t="s">
        <v>1264</v>
      </c>
    </row>
    <row r="214" spans="1:6">
      <c r="A214" s="573"/>
      <c r="B214" s="576"/>
      <c r="C214" s="454" t="s">
        <v>311</v>
      </c>
      <c r="D214" s="455" t="s">
        <v>2253</v>
      </c>
      <c r="E214" s="456">
        <v>4</v>
      </c>
      <c r="F214" s="550" t="s">
        <v>1264</v>
      </c>
    </row>
    <row r="215" spans="1:6">
      <c r="A215" s="573"/>
      <c r="B215" s="576"/>
      <c r="C215" s="25" t="s">
        <v>312</v>
      </c>
      <c r="D215" s="310" t="s">
        <v>2254</v>
      </c>
      <c r="E215" s="16">
        <v>2</v>
      </c>
      <c r="F215" s="543"/>
    </row>
    <row r="216" spans="1:6">
      <c r="A216" s="573"/>
      <c r="B216" s="576"/>
      <c r="C216" s="25" t="s">
        <v>313</v>
      </c>
      <c r="D216" s="310" t="s">
        <v>2255</v>
      </c>
      <c r="E216" s="16">
        <v>3</v>
      </c>
      <c r="F216" s="543"/>
    </row>
    <row r="217" spans="1:6">
      <c r="A217" s="573"/>
      <c r="B217" s="576"/>
      <c r="C217" s="25" t="s">
        <v>314</v>
      </c>
      <c r="D217" s="310" t="s">
        <v>2256</v>
      </c>
      <c r="E217" s="16">
        <v>4</v>
      </c>
      <c r="F217" s="543"/>
    </row>
    <row r="218" spans="1:6">
      <c r="A218" s="573"/>
      <c r="B218" s="576"/>
      <c r="C218" s="454" t="s">
        <v>315</v>
      </c>
      <c r="D218" s="455" t="s">
        <v>2257</v>
      </c>
      <c r="E218" s="456">
        <v>4</v>
      </c>
      <c r="F218" s="550" t="s">
        <v>1264</v>
      </c>
    </row>
    <row r="219" spans="1:6">
      <c r="A219" s="573"/>
      <c r="B219" s="576"/>
      <c r="C219" s="454" t="s">
        <v>316</v>
      </c>
      <c r="D219" s="455" t="s">
        <v>2258</v>
      </c>
      <c r="E219" s="456">
        <v>4</v>
      </c>
      <c r="F219" s="550" t="s">
        <v>1264</v>
      </c>
    </row>
    <row r="220" spans="1:6">
      <c r="A220" s="573"/>
      <c r="B220" s="576"/>
      <c r="C220" s="454" t="s">
        <v>317</v>
      </c>
      <c r="D220" s="455" t="s">
        <v>2259</v>
      </c>
      <c r="E220" s="456">
        <v>6</v>
      </c>
      <c r="F220" s="550" t="s">
        <v>1264</v>
      </c>
    </row>
    <row r="221" spans="1:6">
      <c r="A221" s="573"/>
      <c r="B221" s="576"/>
      <c r="C221" s="454" t="s">
        <v>318</v>
      </c>
      <c r="D221" s="455" t="s">
        <v>2260</v>
      </c>
      <c r="E221" s="456">
        <v>5</v>
      </c>
      <c r="F221" s="550" t="s">
        <v>1264</v>
      </c>
    </row>
    <row r="222" spans="1:6">
      <c r="A222" s="573"/>
      <c r="B222" s="576"/>
      <c r="C222" s="454" t="s">
        <v>319</v>
      </c>
      <c r="D222" s="455" t="s">
        <v>2261</v>
      </c>
      <c r="E222" s="456">
        <v>6</v>
      </c>
      <c r="F222" s="550" t="s">
        <v>1264</v>
      </c>
    </row>
    <row r="223" spans="1:6">
      <c r="A223" s="573"/>
      <c r="B223" s="576"/>
      <c r="C223" s="63" t="s">
        <v>320</v>
      </c>
      <c r="D223" s="335" t="s">
        <v>2262</v>
      </c>
      <c r="E223" s="117">
        <v>4</v>
      </c>
      <c r="F223" s="543"/>
    </row>
    <row r="224" spans="1:6">
      <c r="A224" s="573"/>
      <c r="B224" s="581"/>
      <c r="C224" s="51" t="s">
        <v>2898</v>
      </c>
      <c r="D224" s="389" t="s">
        <v>2899</v>
      </c>
      <c r="E224" s="118">
        <v>1</v>
      </c>
      <c r="F224" s="547"/>
    </row>
    <row r="225" spans="1:6">
      <c r="A225" s="573"/>
      <c r="B225" s="580" t="s">
        <v>324</v>
      </c>
      <c r="C225" s="22"/>
      <c r="D225" s="313" t="s">
        <v>2263</v>
      </c>
      <c r="E225" s="48"/>
      <c r="F225" s="548"/>
    </row>
    <row r="226" spans="1:6">
      <c r="A226" s="573"/>
      <c r="B226" s="576"/>
      <c r="C226" s="25" t="s">
        <v>325</v>
      </c>
      <c r="D226" s="310" t="s">
        <v>2200</v>
      </c>
      <c r="E226" s="16">
        <v>1</v>
      </c>
      <c r="F226" s="543"/>
    </row>
    <row r="227" spans="1:6">
      <c r="A227" s="573"/>
      <c r="B227" s="576"/>
      <c r="C227" s="25" t="s">
        <v>326</v>
      </c>
      <c r="D227" s="310" t="s">
        <v>2202</v>
      </c>
      <c r="E227" s="16">
        <v>1</v>
      </c>
      <c r="F227" s="543"/>
    </row>
    <row r="228" spans="1:6">
      <c r="A228" s="573"/>
      <c r="B228" s="576"/>
      <c r="C228" s="25" t="s">
        <v>327</v>
      </c>
      <c r="D228" s="310" t="s">
        <v>2205</v>
      </c>
      <c r="E228" s="16">
        <v>1</v>
      </c>
      <c r="F228" s="543"/>
    </row>
    <row r="229" spans="1:6">
      <c r="A229" s="573"/>
      <c r="B229" s="576"/>
      <c r="C229" s="25" t="s">
        <v>328</v>
      </c>
      <c r="D229" s="310" t="s">
        <v>2203</v>
      </c>
      <c r="E229" s="16">
        <v>1</v>
      </c>
      <c r="F229" s="543"/>
    </row>
    <row r="230" spans="1:6">
      <c r="A230" s="573"/>
      <c r="B230" s="576"/>
      <c r="C230" s="25" t="s">
        <v>329</v>
      </c>
      <c r="D230" s="310" t="s">
        <v>2264</v>
      </c>
      <c r="E230" s="16">
        <v>1</v>
      </c>
      <c r="F230" s="543"/>
    </row>
    <row r="231" spans="1:6">
      <c r="A231" s="573"/>
      <c r="B231" s="576"/>
      <c r="C231" s="25" t="s">
        <v>330</v>
      </c>
      <c r="D231" s="310" t="s">
        <v>2254</v>
      </c>
      <c r="E231" s="16">
        <v>1</v>
      </c>
      <c r="F231" s="543"/>
    </row>
    <row r="232" spans="1:6">
      <c r="A232" s="573"/>
      <c r="B232" s="576"/>
      <c r="C232" s="25" t="s">
        <v>331</v>
      </c>
      <c r="D232" s="308" t="s">
        <v>2265</v>
      </c>
      <c r="E232" s="16">
        <v>1</v>
      </c>
      <c r="F232" s="543"/>
    </row>
    <row r="233" spans="1:6">
      <c r="A233" s="573"/>
      <c r="B233" s="576"/>
      <c r="C233" s="25" t="s">
        <v>332</v>
      </c>
      <c r="D233" s="310" t="s">
        <v>2266</v>
      </c>
      <c r="E233" s="16">
        <v>1</v>
      </c>
      <c r="F233" s="543"/>
    </row>
    <row r="234" spans="1:6">
      <c r="A234" s="573"/>
      <c r="B234" s="576"/>
      <c r="C234" s="25" t="s">
        <v>333</v>
      </c>
      <c r="D234" s="310" t="s">
        <v>2256</v>
      </c>
      <c r="E234" s="16">
        <v>2</v>
      </c>
      <c r="F234" s="543"/>
    </row>
    <row r="235" spans="1:6">
      <c r="A235" s="573"/>
      <c r="B235" s="576"/>
      <c r="C235" s="25" t="s">
        <v>334</v>
      </c>
      <c r="D235" s="333" t="s">
        <v>2267</v>
      </c>
      <c r="E235" s="16">
        <v>2</v>
      </c>
      <c r="F235" s="543"/>
    </row>
    <row r="236" spans="1:6">
      <c r="A236" s="573"/>
      <c r="B236" s="576"/>
      <c r="C236" s="25" t="s">
        <v>335</v>
      </c>
      <c r="D236" s="310" t="s">
        <v>2268</v>
      </c>
      <c r="E236" s="16">
        <v>3</v>
      </c>
      <c r="F236" s="543"/>
    </row>
    <row r="237" spans="1:6">
      <c r="A237" s="573"/>
      <c r="B237" s="576"/>
      <c r="C237" s="25" t="s">
        <v>336</v>
      </c>
      <c r="D237" s="310" t="s">
        <v>2900</v>
      </c>
      <c r="E237" s="16">
        <v>3</v>
      </c>
      <c r="F237" s="543"/>
    </row>
    <row r="238" spans="1:6">
      <c r="A238" s="573"/>
      <c r="B238" s="576"/>
      <c r="C238" s="25" t="s">
        <v>338</v>
      </c>
      <c r="D238" s="310" t="s">
        <v>2269</v>
      </c>
      <c r="E238" s="16">
        <v>4</v>
      </c>
      <c r="F238" s="543"/>
    </row>
    <row r="239" spans="1:6">
      <c r="A239" s="573"/>
      <c r="B239" s="576"/>
      <c r="C239" s="25" t="s">
        <v>339</v>
      </c>
      <c r="D239" s="310" t="s">
        <v>2270</v>
      </c>
      <c r="E239" s="16">
        <v>4</v>
      </c>
      <c r="F239" s="543"/>
    </row>
    <row r="240" spans="1:6">
      <c r="A240" s="573"/>
      <c r="B240" s="576"/>
      <c r="C240" s="25" t="s">
        <v>340</v>
      </c>
      <c r="D240" s="310" t="s">
        <v>2901</v>
      </c>
      <c r="E240" s="16">
        <v>4</v>
      </c>
      <c r="F240" s="543"/>
    </row>
    <row r="241" spans="1:6">
      <c r="A241" s="573"/>
      <c r="B241" s="576"/>
      <c r="C241" s="25" t="s">
        <v>342</v>
      </c>
      <c r="D241" s="310" t="s">
        <v>2902</v>
      </c>
      <c r="E241" s="16">
        <v>4</v>
      </c>
      <c r="F241" s="543"/>
    </row>
    <row r="242" spans="1:6">
      <c r="A242" s="573"/>
      <c r="B242" s="576"/>
      <c r="C242" s="25" t="s">
        <v>344</v>
      </c>
      <c r="D242" s="310" t="s">
        <v>2271</v>
      </c>
      <c r="E242" s="16">
        <v>4</v>
      </c>
      <c r="F242" s="543"/>
    </row>
    <row r="243" spans="1:6">
      <c r="A243" s="573"/>
      <c r="B243" s="576"/>
      <c r="C243" s="25" t="s">
        <v>345</v>
      </c>
      <c r="D243" s="310" t="s">
        <v>2272</v>
      </c>
      <c r="E243" s="16">
        <v>4</v>
      </c>
      <c r="F243" s="543"/>
    </row>
    <row r="244" spans="1:6">
      <c r="A244" s="573"/>
      <c r="B244" s="576"/>
      <c r="C244" s="25" t="s">
        <v>346</v>
      </c>
      <c r="D244" s="310" t="s">
        <v>2273</v>
      </c>
      <c r="E244" s="16">
        <v>3</v>
      </c>
      <c r="F244" s="543"/>
    </row>
    <row r="245" spans="1:6">
      <c r="A245" s="573"/>
      <c r="B245" s="576"/>
      <c r="C245" s="25"/>
      <c r="D245" s="310" t="s">
        <v>2274</v>
      </c>
      <c r="E245" s="16"/>
      <c r="F245" s="543"/>
    </row>
    <row r="246" spans="1:6">
      <c r="A246" s="573"/>
      <c r="B246" s="576"/>
      <c r="C246" s="25" t="s">
        <v>347</v>
      </c>
      <c r="D246" s="310" t="s">
        <v>2275</v>
      </c>
      <c r="E246" s="16">
        <v>1</v>
      </c>
      <c r="F246" s="543"/>
    </row>
    <row r="247" spans="1:6">
      <c r="A247" s="573"/>
      <c r="B247" s="576"/>
      <c r="C247" s="25" t="s">
        <v>348</v>
      </c>
      <c r="D247" s="310" t="s">
        <v>2276</v>
      </c>
      <c r="E247" s="16">
        <v>1</v>
      </c>
      <c r="F247" s="543"/>
    </row>
    <row r="248" spans="1:6">
      <c r="A248" s="573"/>
      <c r="B248" s="576"/>
      <c r="C248" s="25" t="s">
        <v>349</v>
      </c>
      <c r="D248" s="310" t="s">
        <v>2903</v>
      </c>
      <c r="E248" s="16">
        <v>1</v>
      </c>
      <c r="F248" s="543"/>
    </row>
    <row r="249" spans="1:6">
      <c r="A249" s="573"/>
      <c r="B249" s="576"/>
      <c r="C249" s="25" t="s">
        <v>352</v>
      </c>
      <c r="D249" s="310" t="s">
        <v>2277</v>
      </c>
      <c r="E249" s="16">
        <v>2</v>
      </c>
      <c r="F249" s="543"/>
    </row>
    <row r="250" spans="1:6">
      <c r="A250" s="573"/>
      <c r="B250" s="576"/>
      <c r="C250" s="25" t="s">
        <v>353</v>
      </c>
      <c r="D250" s="310" t="s">
        <v>2278</v>
      </c>
      <c r="E250" s="29">
        <v>2</v>
      </c>
      <c r="F250" s="543"/>
    </row>
    <row r="251" spans="1:6">
      <c r="A251" s="573"/>
      <c r="B251" s="576"/>
      <c r="C251" s="25"/>
      <c r="D251" s="310" t="s">
        <v>2279</v>
      </c>
      <c r="E251" s="16"/>
      <c r="F251" s="543"/>
    </row>
    <row r="252" spans="1:6">
      <c r="A252" s="573"/>
      <c r="B252" s="576"/>
      <c r="C252" s="25" t="s">
        <v>354</v>
      </c>
      <c r="D252" s="310" t="s">
        <v>2203</v>
      </c>
      <c r="E252" s="16">
        <v>1</v>
      </c>
      <c r="F252" s="543"/>
    </row>
    <row r="253" spans="1:6">
      <c r="A253" s="573"/>
      <c r="B253" s="576"/>
      <c r="C253" s="25" t="s">
        <v>355</v>
      </c>
      <c r="D253" s="310" t="s">
        <v>2172</v>
      </c>
      <c r="E253" s="16">
        <v>2</v>
      </c>
      <c r="F253" s="543"/>
    </row>
    <row r="254" spans="1:6">
      <c r="A254" s="573"/>
      <c r="B254" s="576"/>
      <c r="C254" s="25" t="s">
        <v>356</v>
      </c>
      <c r="D254" s="310" t="s">
        <v>2280</v>
      </c>
      <c r="E254" s="16">
        <v>2</v>
      </c>
      <c r="F254" s="543"/>
    </row>
    <row r="255" spans="1:6">
      <c r="A255" s="573"/>
      <c r="B255" s="576"/>
      <c r="C255" s="25" t="s">
        <v>357</v>
      </c>
      <c r="D255" s="310" t="s">
        <v>2281</v>
      </c>
      <c r="E255" s="16">
        <v>3</v>
      </c>
      <c r="F255" s="543"/>
    </row>
    <row r="256" spans="1:6">
      <c r="A256" s="573"/>
      <c r="B256" s="576"/>
      <c r="C256" s="25"/>
      <c r="D256" s="310" t="s">
        <v>2282</v>
      </c>
      <c r="E256" s="16"/>
      <c r="F256" s="543"/>
    </row>
    <row r="257" spans="1:6">
      <c r="A257" s="573"/>
      <c r="B257" s="576"/>
      <c r="C257" s="454" t="s">
        <v>358</v>
      </c>
      <c r="D257" s="455" t="s">
        <v>2283</v>
      </c>
      <c r="E257" s="456">
        <v>6</v>
      </c>
      <c r="F257" s="550" t="s">
        <v>1264</v>
      </c>
    </row>
    <row r="258" spans="1:6">
      <c r="A258" s="573"/>
      <c r="B258" s="576"/>
      <c r="C258" s="454" t="s">
        <v>359</v>
      </c>
      <c r="D258" s="455" t="s">
        <v>2284</v>
      </c>
      <c r="E258" s="456">
        <v>6</v>
      </c>
      <c r="F258" s="550" t="s">
        <v>1264</v>
      </c>
    </row>
    <row r="259" spans="1:6">
      <c r="A259" s="573"/>
      <c r="B259" s="576"/>
      <c r="C259" s="454" t="s">
        <v>360</v>
      </c>
      <c r="D259" s="455" t="s">
        <v>2285</v>
      </c>
      <c r="E259" s="456">
        <v>6</v>
      </c>
      <c r="F259" s="550" t="s">
        <v>1264</v>
      </c>
    </row>
    <row r="260" spans="1:6">
      <c r="A260" s="573"/>
      <c r="B260" s="576"/>
      <c r="C260" s="454" t="s">
        <v>361</v>
      </c>
      <c r="D260" s="455" t="s">
        <v>2286</v>
      </c>
      <c r="E260" s="456">
        <v>6</v>
      </c>
      <c r="F260" s="550" t="s">
        <v>1264</v>
      </c>
    </row>
    <row r="261" spans="1:6">
      <c r="A261" s="573"/>
      <c r="B261" s="576"/>
      <c r="C261" s="454" t="s">
        <v>362</v>
      </c>
      <c r="D261" s="455" t="s">
        <v>2287</v>
      </c>
      <c r="E261" s="456">
        <v>6</v>
      </c>
      <c r="F261" s="550" t="s">
        <v>1264</v>
      </c>
    </row>
    <row r="262" spans="1:6" ht="19.5">
      <c r="A262" s="573"/>
      <c r="B262" s="576"/>
      <c r="C262" s="467" t="s">
        <v>363</v>
      </c>
      <c r="D262" s="482" t="s">
        <v>2288</v>
      </c>
      <c r="E262" s="461" t="s">
        <v>2862</v>
      </c>
      <c r="F262" s="550" t="s">
        <v>1264</v>
      </c>
    </row>
    <row r="263" spans="1:6" ht="19.5" thickBot="1">
      <c r="A263" s="574"/>
      <c r="B263" s="582"/>
      <c r="C263" s="77" t="s">
        <v>2904</v>
      </c>
      <c r="D263" s="387" t="s">
        <v>2905</v>
      </c>
      <c r="E263" s="381">
        <v>2</v>
      </c>
      <c r="F263" s="549"/>
    </row>
    <row r="264" spans="1:6" ht="19.5" thickTop="1">
      <c r="A264" s="572" t="s">
        <v>367</v>
      </c>
      <c r="B264" s="575" t="s">
        <v>368</v>
      </c>
      <c r="C264" s="7" t="s">
        <v>369</v>
      </c>
      <c r="D264" s="311" t="s">
        <v>2203</v>
      </c>
      <c r="E264" s="48">
        <v>1</v>
      </c>
      <c r="F264" s="548"/>
    </row>
    <row r="265" spans="1:6">
      <c r="A265" s="573"/>
      <c r="B265" s="576"/>
      <c r="C265" s="25" t="s">
        <v>370</v>
      </c>
      <c r="D265" s="310" t="s">
        <v>2172</v>
      </c>
      <c r="E265" s="16">
        <v>2</v>
      </c>
      <c r="F265" s="543"/>
    </row>
    <row r="266" spans="1:6">
      <c r="A266" s="573"/>
      <c r="B266" s="576"/>
      <c r="C266" s="25" t="s">
        <v>371</v>
      </c>
      <c r="D266" s="310" t="s">
        <v>2289</v>
      </c>
      <c r="E266" s="16">
        <v>2</v>
      </c>
      <c r="F266" s="543"/>
    </row>
    <row r="267" spans="1:6">
      <c r="A267" s="573"/>
      <c r="B267" s="576"/>
      <c r="C267" s="25" t="s">
        <v>372</v>
      </c>
      <c r="D267" s="308" t="s">
        <v>2290</v>
      </c>
      <c r="E267" s="16">
        <v>2</v>
      </c>
      <c r="F267" s="543"/>
    </row>
    <row r="268" spans="1:6">
      <c r="A268" s="573"/>
      <c r="B268" s="576"/>
      <c r="C268" s="25" t="s">
        <v>373</v>
      </c>
      <c r="D268" s="308" t="s">
        <v>2291</v>
      </c>
      <c r="E268" s="16">
        <v>2</v>
      </c>
      <c r="F268" s="543"/>
    </row>
    <row r="269" spans="1:6">
      <c r="A269" s="573"/>
      <c r="B269" s="576"/>
      <c r="C269" s="25" t="s">
        <v>374</v>
      </c>
      <c r="D269" s="308" t="s">
        <v>2292</v>
      </c>
      <c r="E269" s="16">
        <v>4</v>
      </c>
      <c r="F269" s="543"/>
    </row>
    <row r="270" spans="1:6">
      <c r="A270" s="573"/>
      <c r="B270" s="576"/>
      <c r="C270" s="454" t="s">
        <v>375</v>
      </c>
      <c r="D270" s="457" t="s">
        <v>2293</v>
      </c>
      <c r="E270" s="456">
        <v>4</v>
      </c>
      <c r="F270" s="550" t="s">
        <v>1264</v>
      </c>
    </row>
    <row r="271" spans="1:6">
      <c r="A271" s="573"/>
      <c r="B271" s="576"/>
      <c r="C271" s="63" t="s">
        <v>376</v>
      </c>
      <c r="D271" s="337" t="s">
        <v>2147</v>
      </c>
      <c r="E271" s="67">
        <v>2</v>
      </c>
      <c r="F271" s="543"/>
    </row>
    <row r="272" spans="1:6">
      <c r="A272" s="573"/>
      <c r="B272" s="576"/>
      <c r="C272" s="386" t="s">
        <v>2906</v>
      </c>
      <c r="D272" s="390" t="s">
        <v>2907</v>
      </c>
      <c r="E272" s="52">
        <v>1</v>
      </c>
      <c r="F272" s="547"/>
    </row>
    <row r="273" spans="1:6">
      <c r="A273" s="573"/>
      <c r="B273" s="580" t="s">
        <v>380</v>
      </c>
      <c r="C273" s="77" t="s">
        <v>381</v>
      </c>
      <c r="D273" s="327" t="s">
        <v>2908</v>
      </c>
      <c r="E273" s="48">
        <v>1</v>
      </c>
      <c r="F273" s="548"/>
    </row>
    <row r="274" spans="1:6" ht="33">
      <c r="A274" s="573"/>
      <c r="B274" s="576"/>
      <c r="C274" s="127" t="s">
        <v>384</v>
      </c>
      <c r="D274" s="338" t="s">
        <v>2294</v>
      </c>
      <c r="E274" s="16">
        <v>1</v>
      </c>
      <c r="F274" s="543"/>
    </row>
    <row r="275" spans="1:6">
      <c r="A275" s="573"/>
      <c r="B275" s="576"/>
      <c r="C275" s="25" t="s">
        <v>385</v>
      </c>
      <c r="D275" s="310" t="s">
        <v>2172</v>
      </c>
      <c r="E275" s="16">
        <v>2</v>
      </c>
      <c r="F275" s="543"/>
    </row>
    <row r="276" spans="1:6">
      <c r="A276" s="573"/>
      <c r="B276" s="576"/>
      <c r="C276" s="25" t="s">
        <v>386</v>
      </c>
      <c r="D276" s="310" t="s">
        <v>2295</v>
      </c>
      <c r="E276" s="16">
        <v>2</v>
      </c>
      <c r="F276" s="543"/>
    </row>
    <row r="277" spans="1:6" ht="33">
      <c r="A277" s="573"/>
      <c r="B277" s="576"/>
      <c r="C277" s="25" t="s">
        <v>387</v>
      </c>
      <c r="D277" s="310" t="s">
        <v>2296</v>
      </c>
      <c r="E277" s="16">
        <v>3</v>
      </c>
      <c r="F277" s="543"/>
    </row>
    <row r="278" spans="1:6">
      <c r="A278" s="573"/>
      <c r="B278" s="576"/>
      <c r="C278" s="25" t="s">
        <v>388</v>
      </c>
      <c r="D278" s="308" t="s">
        <v>2297</v>
      </c>
      <c r="E278" s="16">
        <v>2</v>
      </c>
      <c r="F278" s="543"/>
    </row>
    <row r="279" spans="1:6">
      <c r="A279" s="573"/>
      <c r="B279" s="576"/>
      <c r="C279" s="25" t="s">
        <v>389</v>
      </c>
      <c r="D279" s="308" t="s">
        <v>2298</v>
      </c>
      <c r="E279" s="16">
        <v>2</v>
      </c>
      <c r="F279" s="543"/>
    </row>
    <row r="280" spans="1:6">
      <c r="A280" s="573"/>
      <c r="B280" s="576"/>
      <c r="C280" s="25" t="s">
        <v>390</v>
      </c>
      <c r="D280" s="308" t="s">
        <v>2909</v>
      </c>
      <c r="E280" s="16">
        <v>2</v>
      </c>
      <c r="F280" s="543"/>
    </row>
    <row r="281" spans="1:6">
      <c r="A281" s="573"/>
      <c r="B281" s="576"/>
      <c r="C281" s="25" t="s">
        <v>392</v>
      </c>
      <c r="D281" s="308" t="s">
        <v>2299</v>
      </c>
      <c r="E281" s="16">
        <v>2</v>
      </c>
      <c r="F281" s="543"/>
    </row>
    <row r="282" spans="1:6">
      <c r="A282" s="573"/>
      <c r="B282" s="576"/>
      <c r="C282" s="25" t="s">
        <v>393</v>
      </c>
      <c r="D282" s="308" t="s">
        <v>2300</v>
      </c>
      <c r="E282" s="16">
        <v>4</v>
      </c>
      <c r="F282" s="543"/>
    </row>
    <row r="283" spans="1:6">
      <c r="A283" s="573"/>
      <c r="B283" s="576"/>
      <c r="C283" s="25" t="s">
        <v>394</v>
      </c>
      <c r="D283" s="308" t="s">
        <v>2301</v>
      </c>
      <c r="E283" s="16">
        <v>2</v>
      </c>
      <c r="F283" s="543"/>
    </row>
    <row r="284" spans="1:6">
      <c r="A284" s="573"/>
      <c r="B284" s="576"/>
      <c r="C284" s="51" t="s">
        <v>395</v>
      </c>
      <c r="D284" s="319" t="s">
        <v>2302</v>
      </c>
      <c r="E284" s="52">
        <v>2</v>
      </c>
      <c r="F284" s="547"/>
    </row>
    <row r="285" spans="1:6">
      <c r="A285" s="573"/>
      <c r="B285" s="580" t="s">
        <v>396</v>
      </c>
      <c r="C285" s="22" t="s">
        <v>397</v>
      </c>
      <c r="D285" s="313" t="s">
        <v>2910</v>
      </c>
      <c r="E285" s="48">
        <v>1</v>
      </c>
      <c r="F285" s="548"/>
    </row>
    <row r="286" spans="1:6">
      <c r="A286" s="573"/>
      <c r="B286" s="576"/>
      <c r="C286" s="25" t="s">
        <v>400</v>
      </c>
      <c r="D286" s="310" t="s">
        <v>2303</v>
      </c>
      <c r="E286" s="16">
        <v>1</v>
      </c>
      <c r="F286" s="543"/>
    </row>
    <row r="287" spans="1:6">
      <c r="A287" s="573"/>
      <c r="B287" s="576"/>
      <c r="C287" s="25" t="s">
        <v>401</v>
      </c>
      <c r="D287" s="308" t="s">
        <v>2911</v>
      </c>
      <c r="E287" s="16">
        <v>1</v>
      </c>
      <c r="F287" s="543"/>
    </row>
    <row r="288" spans="1:6">
      <c r="A288" s="573"/>
      <c r="B288" s="576"/>
      <c r="C288" s="25" t="s">
        <v>403</v>
      </c>
      <c r="D288" s="308" t="s">
        <v>2295</v>
      </c>
      <c r="E288" s="16">
        <v>2</v>
      </c>
      <c r="F288" s="543"/>
    </row>
    <row r="289" spans="1:6">
      <c r="A289" s="573"/>
      <c r="B289" s="576"/>
      <c r="C289" s="25" t="s">
        <v>404</v>
      </c>
      <c r="D289" s="308" t="s">
        <v>2304</v>
      </c>
      <c r="E289" s="16">
        <v>2</v>
      </c>
      <c r="F289" s="543"/>
    </row>
    <row r="290" spans="1:6">
      <c r="A290" s="573"/>
      <c r="B290" s="576"/>
      <c r="C290" s="25" t="s">
        <v>405</v>
      </c>
      <c r="D290" s="308" t="s">
        <v>2242</v>
      </c>
      <c r="E290" s="16">
        <v>2</v>
      </c>
      <c r="F290" s="543"/>
    </row>
    <row r="291" spans="1:6">
      <c r="A291" s="573"/>
      <c r="B291" s="576"/>
      <c r="C291" s="25" t="s">
        <v>406</v>
      </c>
      <c r="D291" s="308" t="s">
        <v>2305</v>
      </c>
      <c r="E291" s="16">
        <v>2</v>
      </c>
      <c r="F291" s="543"/>
    </row>
    <row r="292" spans="1:6">
      <c r="A292" s="573"/>
      <c r="B292" s="576"/>
      <c r="C292" s="25" t="s">
        <v>407</v>
      </c>
      <c r="D292" s="308" t="s">
        <v>2912</v>
      </c>
      <c r="E292" s="16">
        <v>2</v>
      </c>
      <c r="F292" s="543"/>
    </row>
    <row r="293" spans="1:6">
      <c r="A293" s="573"/>
      <c r="B293" s="576"/>
      <c r="C293" s="25" t="s">
        <v>409</v>
      </c>
      <c r="D293" s="308" t="s">
        <v>2909</v>
      </c>
      <c r="E293" s="16">
        <v>2</v>
      </c>
      <c r="F293" s="543"/>
    </row>
    <row r="294" spans="1:6">
      <c r="A294" s="573"/>
      <c r="B294" s="576"/>
      <c r="C294" s="25" t="s">
        <v>410</v>
      </c>
      <c r="D294" s="308" t="s">
        <v>2913</v>
      </c>
      <c r="E294" s="16">
        <v>2</v>
      </c>
      <c r="F294" s="543"/>
    </row>
    <row r="295" spans="1:6">
      <c r="A295" s="573"/>
      <c r="B295" s="576"/>
      <c r="C295" s="25" t="s">
        <v>413</v>
      </c>
      <c r="D295" s="308" t="s">
        <v>2172</v>
      </c>
      <c r="E295" s="16">
        <v>2</v>
      </c>
      <c r="F295" s="543"/>
    </row>
    <row r="296" spans="1:6">
      <c r="A296" s="573"/>
      <c r="B296" s="576"/>
      <c r="C296" s="25" t="s">
        <v>414</v>
      </c>
      <c r="D296" s="308" t="s">
        <v>2306</v>
      </c>
      <c r="E296" s="16">
        <v>2</v>
      </c>
      <c r="F296" s="543"/>
    </row>
    <row r="297" spans="1:6">
      <c r="A297" s="573"/>
      <c r="B297" s="576"/>
      <c r="C297" s="25" t="s">
        <v>415</v>
      </c>
      <c r="D297" s="308" t="s">
        <v>2307</v>
      </c>
      <c r="E297" s="16">
        <v>2</v>
      </c>
      <c r="F297" s="543"/>
    </row>
    <row r="298" spans="1:6">
      <c r="A298" s="573"/>
      <c r="B298" s="576"/>
      <c r="C298" s="25" t="s">
        <v>416</v>
      </c>
      <c r="D298" s="308" t="s">
        <v>2308</v>
      </c>
      <c r="E298" s="16">
        <v>1</v>
      </c>
      <c r="F298" s="543"/>
    </row>
    <row r="299" spans="1:6">
      <c r="A299" s="573"/>
      <c r="B299" s="576"/>
      <c r="C299" s="25" t="s">
        <v>417</v>
      </c>
      <c r="D299" s="308" t="s">
        <v>2309</v>
      </c>
      <c r="E299" s="16">
        <v>2</v>
      </c>
      <c r="F299" s="543"/>
    </row>
    <row r="300" spans="1:6">
      <c r="A300" s="573"/>
      <c r="B300" s="576"/>
      <c r="C300" s="25" t="s">
        <v>418</v>
      </c>
      <c r="D300" s="308" t="s">
        <v>2310</v>
      </c>
      <c r="E300" s="16">
        <v>2</v>
      </c>
      <c r="F300" s="543"/>
    </row>
    <row r="301" spans="1:6">
      <c r="A301" s="573"/>
      <c r="B301" s="576"/>
      <c r="C301" s="25" t="s">
        <v>419</v>
      </c>
      <c r="D301" s="308" t="s">
        <v>2311</v>
      </c>
      <c r="E301" s="16">
        <v>2</v>
      </c>
      <c r="F301" s="543"/>
    </row>
    <row r="302" spans="1:6">
      <c r="A302" s="573"/>
      <c r="B302" s="576"/>
      <c r="C302" s="25" t="s">
        <v>420</v>
      </c>
      <c r="D302" s="308" t="s">
        <v>2312</v>
      </c>
      <c r="E302" s="16">
        <v>2</v>
      </c>
      <c r="F302" s="543"/>
    </row>
    <row r="303" spans="1:6">
      <c r="A303" s="573"/>
      <c r="B303" s="576"/>
      <c r="C303" s="25" t="s">
        <v>421</v>
      </c>
      <c r="D303" s="308" t="s">
        <v>2313</v>
      </c>
      <c r="E303" s="16">
        <v>2</v>
      </c>
      <c r="F303" s="543"/>
    </row>
    <row r="304" spans="1:6">
      <c r="A304" s="573"/>
      <c r="B304" s="576"/>
      <c r="C304" s="25" t="s">
        <v>422</v>
      </c>
      <c r="D304" s="332" t="s">
        <v>2314</v>
      </c>
      <c r="E304" s="16">
        <v>2</v>
      </c>
      <c r="F304" s="543"/>
    </row>
    <row r="305" spans="1:6">
      <c r="A305" s="573"/>
      <c r="B305" s="576"/>
      <c r="C305" s="63" t="s">
        <v>423</v>
      </c>
      <c r="D305" s="326" t="s">
        <v>2315</v>
      </c>
      <c r="E305" s="67">
        <v>2</v>
      </c>
      <c r="F305" s="543"/>
    </row>
    <row r="306" spans="1:6">
      <c r="A306" s="573"/>
      <c r="B306" s="576"/>
      <c r="C306" s="63" t="s">
        <v>2914</v>
      </c>
      <c r="D306" s="391" t="s">
        <v>2915</v>
      </c>
      <c r="E306" s="67">
        <v>1</v>
      </c>
      <c r="F306" s="543"/>
    </row>
    <row r="307" spans="1:6" ht="19.5" thickBot="1">
      <c r="A307" s="573"/>
      <c r="B307" s="576"/>
      <c r="C307" s="63" t="s">
        <v>2916</v>
      </c>
      <c r="D307" s="392" t="s">
        <v>2917</v>
      </c>
      <c r="E307" s="16">
        <v>3</v>
      </c>
      <c r="F307" s="549"/>
    </row>
    <row r="308" spans="1:6" ht="19.5" thickTop="1">
      <c r="A308" s="572" t="s">
        <v>430</v>
      </c>
      <c r="B308" s="575" t="s">
        <v>431</v>
      </c>
      <c r="C308" s="7" t="s">
        <v>432</v>
      </c>
      <c r="D308" s="311" t="s">
        <v>2316</v>
      </c>
      <c r="E308" s="8">
        <v>1</v>
      </c>
      <c r="F308" s="548"/>
    </row>
    <row r="309" spans="1:6">
      <c r="A309" s="573"/>
      <c r="B309" s="576"/>
      <c r="C309" s="25" t="s">
        <v>433</v>
      </c>
      <c r="D309" s="310" t="s">
        <v>2317</v>
      </c>
      <c r="E309" s="16">
        <v>1</v>
      </c>
      <c r="F309" s="543"/>
    </row>
    <row r="310" spans="1:6">
      <c r="A310" s="573"/>
      <c r="B310" s="576"/>
      <c r="C310" s="132" t="s">
        <v>434</v>
      </c>
      <c r="D310" s="314" t="s">
        <v>2918</v>
      </c>
      <c r="E310" s="16">
        <v>1</v>
      </c>
      <c r="F310" s="543"/>
    </row>
    <row r="311" spans="1:6">
      <c r="A311" s="573"/>
      <c r="B311" s="576"/>
      <c r="C311" s="25" t="s">
        <v>437</v>
      </c>
      <c r="D311" s="310" t="s">
        <v>2318</v>
      </c>
      <c r="E311" s="16">
        <v>3</v>
      </c>
      <c r="F311" s="543"/>
    </row>
    <row r="312" spans="1:6">
      <c r="A312" s="573"/>
      <c r="B312" s="576"/>
      <c r="C312" s="25" t="s">
        <v>438</v>
      </c>
      <c r="D312" s="310" t="s">
        <v>2319</v>
      </c>
      <c r="E312" s="16">
        <v>3</v>
      </c>
      <c r="F312" s="543"/>
    </row>
    <row r="313" spans="1:6">
      <c r="A313" s="573"/>
      <c r="B313" s="576"/>
      <c r="C313" s="25" t="s">
        <v>439</v>
      </c>
      <c r="D313" s="310" t="s">
        <v>2122</v>
      </c>
      <c r="E313" s="16">
        <v>3</v>
      </c>
      <c r="F313" s="543"/>
    </row>
    <row r="314" spans="1:6">
      <c r="A314" s="573"/>
      <c r="B314" s="576"/>
      <c r="C314" s="25" t="s">
        <v>440</v>
      </c>
      <c r="D314" s="310" t="s">
        <v>2320</v>
      </c>
      <c r="E314" s="16">
        <v>2</v>
      </c>
      <c r="F314" s="543"/>
    </row>
    <row r="315" spans="1:6">
      <c r="A315" s="573"/>
      <c r="B315" s="576"/>
      <c r="C315" s="25" t="s">
        <v>441</v>
      </c>
      <c r="D315" s="310" t="s">
        <v>2321</v>
      </c>
      <c r="E315" s="16">
        <v>2</v>
      </c>
      <c r="F315" s="543"/>
    </row>
    <row r="316" spans="1:6">
      <c r="A316" s="573"/>
      <c r="B316" s="576"/>
      <c r="C316" s="25" t="s">
        <v>442</v>
      </c>
      <c r="D316" s="310" t="s">
        <v>2121</v>
      </c>
      <c r="E316" s="16">
        <v>3</v>
      </c>
      <c r="F316" s="543"/>
    </row>
    <row r="317" spans="1:6">
      <c r="A317" s="573"/>
      <c r="B317" s="576"/>
      <c r="C317" s="454" t="s">
        <v>443</v>
      </c>
      <c r="D317" s="455" t="s">
        <v>2322</v>
      </c>
      <c r="E317" s="456">
        <v>4</v>
      </c>
      <c r="F317" s="550" t="s">
        <v>1264</v>
      </c>
    </row>
    <row r="318" spans="1:6">
      <c r="A318" s="573"/>
      <c r="B318" s="576"/>
      <c r="C318" s="25" t="s">
        <v>444</v>
      </c>
      <c r="D318" s="310" t="s">
        <v>2239</v>
      </c>
      <c r="E318" s="16">
        <v>3</v>
      </c>
      <c r="F318" s="543"/>
    </row>
    <row r="319" spans="1:6">
      <c r="A319" s="573"/>
      <c r="B319" s="576"/>
      <c r="C319" s="132" t="s">
        <v>445</v>
      </c>
      <c r="D319" s="314" t="s">
        <v>2919</v>
      </c>
      <c r="E319" s="16">
        <v>4</v>
      </c>
      <c r="F319" s="543"/>
    </row>
    <row r="320" spans="1:6">
      <c r="A320" s="573"/>
      <c r="B320" s="576"/>
      <c r="C320" s="25" t="s">
        <v>448</v>
      </c>
      <c r="D320" s="310" t="s">
        <v>2323</v>
      </c>
      <c r="E320" s="16">
        <v>4</v>
      </c>
      <c r="F320" s="543"/>
    </row>
    <row r="321" spans="1:6">
      <c r="A321" s="573"/>
      <c r="B321" s="576"/>
      <c r="C321" s="25" t="s">
        <v>449</v>
      </c>
      <c r="D321" s="310" t="s">
        <v>2324</v>
      </c>
      <c r="E321" s="16">
        <v>4</v>
      </c>
      <c r="F321" s="543"/>
    </row>
    <row r="322" spans="1:6">
      <c r="A322" s="573"/>
      <c r="B322" s="576"/>
      <c r="C322" s="454" t="s">
        <v>450</v>
      </c>
      <c r="D322" s="455" t="s">
        <v>2325</v>
      </c>
      <c r="E322" s="456">
        <v>5</v>
      </c>
      <c r="F322" s="550" t="s">
        <v>1264</v>
      </c>
    </row>
    <row r="323" spans="1:6">
      <c r="A323" s="573"/>
      <c r="B323" s="576"/>
      <c r="C323" s="454" t="s">
        <v>451</v>
      </c>
      <c r="D323" s="455" t="s">
        <v>2326</v>
      </c>
      <c r="E323" s="456">
        <v>5</v>
      </c>
      <c r="F323" s="550" t="s">
        <v>1264</v>
      </c>
    </row>
    <row r="324" spans="1:6">
      <c r="A324" s="573"/>
      <c r="B324" s="576"/>
      <c r="C324" s="454" t="s">
        <v>452</v>
      </c>
      <c r="D324" s="457" t="s">
        <v>2327</v>
      </c>
      <c r="E324" s="456">
        <v>5</v>
      </c>
      <c r="F324" s="550" t="s">
        <v>1264</v>
      </c>
    </row>
    <row r="325" spans="1:6">
      <c r="A325" s="573"/>
      <c r="B325" s="576"/>
      <c r="C325" s="454" t="s">
        <v>453</v>
      </c>
      <c r="D325" s="455" t="s">
        <v>2328</v>
      </c>
      <c r="E325" s="456">
        <v>5</v>
      </c>
      <c r="F325" s="550" t="s">
        <v>1264</v>
      </c>
    </row>
    <row r="326" spans="1:6">
      <c r="A326" s="573"/>
      <c r="B326" s="576"/>
      <c r="C326" s="454" t="s">
        <v>454</v>
      </c>
      <c r="D326" s="455" t="s">
        <v>2329</v>
      </c>
      <c r="E326" s="456">
        <v>5</v>
      </c>
      <c r="F326" s="550" t="s">
        <v>1264</v>
      </c>
    </row>
    <row r="327" spans="1:6">
      <c r="A327" s="573"/>
      <c r="B327" s="576"/>
      <c r="C327" s="25" t="s">
        <v>455</v>
      </c>
      <c r="D327" s="308" t="s">
        <v>2330</v>
      </c>
      <c r="E327" s="16">
        <v>3</v>
      </c>
      <c r="F327" s="543"/>
    </row>
    <row r="328" spans="1:6">
      <c r="A328" s="573"/>
      <c r="B328" s="576"/>
      <c r="C328" s="25" t="s">
        <v>456</v>
      </c>
      <c r="D328" s="308" t="s">
        <v>2331</v>
      </c>
      <c r="E328" s="16">
        <v>3</v>
      </c>
      <c r="F328" s="543"/>
    </row>
    <row r="329" spans="1:6">
      <c r="A329" s="573"/>
      <c r="B329" s="576"/>
      <c r="C329" s="25" t="s">
        <v>457</v>
      </c>
      <c r="D329" s="308" t="s">
        <v>2332</v>
      </c>
      <c r="E329" s="16">
        <v>4</v>
      </c>
      <c r="F329" s="543"/>
    </row>
    <row r="330" spans="1:6">
      <c r="A330" s="573"/>
      <c r="B330" s="576"/>
      <c r="C330" s="454" t="s">
        <v>458</v>
      </c>
      <c r="D330" s="457" t="s">
        <v>2333</v>
      </c>
      <c r="E330" s="456">
        <v>4</v>
      </c>
      <c r="F330" s="550" t="s">
        <v>1264</v>
      </c>
    </row>
    <row r="331" spans="1:6">
      <c r="A331" s="573"/>
      <c r="B331" s="576"/>
      <c r="C331" s="132" t="s">
        <v>459</v>
      </c>
      <c r="D331" s="332" t="s">
        <v>2920</v>
      </c>
      <c r="E331" s="16">
        <v>4</v>
      </c>
      <c r="F331" s="543"/>
    </row>
    <row r="332" spans="1:6">
      <c r="A332" s="573"/>
      <c r="B332" s="576"/>
      <c r="C332" s="25" t="s">
        <v>462</v>
      </c>
      <c r="D332" s="308" t="s">
        <v>2334</v>
      </c>
      <c r="E332" s="16">
        <v>4</v>
      </c>
      <c r="F332" s="543"/>
    </row>
    <row r="333" spans="1:6">
      <c r="A333" s="573"/>
      <c r="B333" s="576"/>
      <c r="C333" s="25" t="s">
        <v>463</v>
      </c>
      <c r="D333" s="308" t="s">
        <v>2335</v>
      </c>
      <c r="E333" s="16">
        <v>4</v>
      </c>
      <c r="F333" s="543"/>
    </row>
    <row r="334" spans="1:6">
      <c r="A334" s="573"/>
      <c r="B334" s="576"/>
      <c r="C334" s="25" t="s">
        <v>464</v>
      </c>
      <c r="D334" s="308" t="s">
        <v>2336</v>
      </c>
      <c r="E334" s="16">
        <v>4</v>
      </c>
      <c r="F334" s="543"/>
    </row>
    <row r="335" spans="1:6">
      <c r="A335" s="573"/>
      <c r="B335" s="576"/>
      <c r="C335" s="25" t="s">
        <v>465</v>
      </c>
      <c r="D335" s="308" t="s">
        <v>2337</v>
      </c>
      <c r="E335" s="16">
        <v>2</v>
      </c>
      <c r="F335" s="543"/>
    </row>
    <row r="336" spans="1:6">
      <c r="A336" s="573"/>
      <c r="B336" s="576"/>
      <c r="C336" s="25" t="s">
        <v>466</v>
      </c>
      <c r="D336" s="308" t="s">
        <v>2338</v>
      </c>
      <c r="E336" s="16">
        <v>4</v>
      </c>
      <c r="F336" s="543"/>
    </row>
    <row r="337" spans="1:6">
      <c r="A337" s="573"/>
      <c r="B337" s="576"/>
      <c r="C337" s="25" t="s">
        <v>467</v>
      </c>
      <c r="D337" s="308" t="s">
        <v>2339</v>
      </c>
      <c r="E337" s="16">
        <v>3</v>
      </c>
      <c r="F337" s="543"/>
    </row>
    <row r="338" spans="1:6">
      <c r="A338" s="573"/>
      <c r="B338" s="576"/>
      <c r="C338" s="454" t="s">
        <v>468</v>
      </c>
      <c r="D338" s="455" t="s">
        <v>2340</v>
      </c>
      <c r="E338" s="456">
        <v>5</v>
      </c>
      <c r="F338" s="550" t="s">
        <v>1264</v>
      </c>
    </row>
    <row r="339" spans="1:6">
      <c r="A339" s="573"/>
      <c r="B339" s="576"/>
      <c r="C339" s="25" t="s">
        <v>469</v>
      </c>
      <c r="D339" s="308" t="s">
        <v>2341</v>
      </c>
      <c r="E339" s="16">
        <v>4</v>
      </c>
      <c r="F339" s="543"/>
    </row>
    <row r="340" spans="1:6">
      <c r="A340" s="573"/>
      <c r="B340" s="576"/>
      <c r="C340" s="25" t="s">
        <v>470</v>
      </c>
      <c r="D340" s="310" t="s">
        <v>2342</v>
      </c>
      <c r="E340" s="16">
        <v>4</v>
      </c>
      <c r="F340" s="543"/>
    </row>
    <row r="341" spans="1:6">
      <c r="A341" s="573"/>
      <c r="B341" s="576"/>
      <c r="C341" s="132" t="s">
        <v>471</v>
      </c>
      <c r="D341" s="314" t="s">
        <v>2921</v>
      </c>
      <c r="E341" s="16">
        <v>4</v>
      </c>
      <c r="F341" s="543"/>
    </row>
    <row r="342" spans="1:6">
      <c r="A342" s="573"/>
      <c r="B342" s="576"/>
      <c r="C342" s="25" t="s">
        <v>473</v>
      </c>
      <c r="D342" s="310" t="s">
        <v>2343</v>
      </c>
      <c r="E342" s="16">
        <v>4</v>
      </c>
      <c r="F342" s="543"/>
    </row>
    <row r="343" spans="1:6">
      <c r="A343" s="573"/>
      <c r="B343" s="576"/>
      <c r="C343" s="454" t="s">
        <v>474</v>
      </c>
      <c r="D343" s="455" t="s">
        <v>2344</v>
      </c>
      <c r="E343" s="456">
        <v>5</v>
      </c>
      <c r="F343" s="550" t="s">
        <v>1264</v>
      </c>
    </row>
    <row r="344" spans="1:6">
      <c r="A344" s="573"/>
      <c r="B344" s="576"/>
      <c r="C344" s="454" t="s">
        <v>475</v>
      </c>
      <c r="D344" s="455" t="s">
        <v>2345</v>
      </c>
      <c r="E344" s="456">
        <v>5</v>
      </c>
      <c r="F344" s="550" t="s">
        <v>1264</v>
      </c>
    </row>
    <row r="345" spans="1:6">
      <c r="A345" s="573"/>
      <c r="B345" s="576"/>
      <c r="C345" s="25" t="s">
        <v>476</v>
      </c>
      <c r="D345" s="310" t="s">
        <v>2922</v>
      </c>
      <c r="E345" s="16">
        <v>4</v>
      </c>
      <c r="F345" s="543"/>
    </row>
    <row r="346" spans="1:6">
      <c r="A346" s="573"/>
      <c r="B346" s="576"/>
      <c r="C346" s="454" t="s">
        <v>478</v>
      </c>
      <c r="D346" s="455" t="s">
        <v>2923</v>
      </c>
      <c r="E346" s="456">
        <v>5</v>
      </c>
      <c r="F346" s="550" t="s">
        <v>1264</v>
      </c>
    </row>
    <row r="347" spans="1:6">
      <c r="A347" s="573"/>
      <c r="B347" s="576"/>
      <c r="C347" s="454" t="s">
        <v>481</v>
      </c>
      <c r="D347" s="455" t="s">
        <v>2346</v>
      </c>
      <c r="E347" s="456">
        <v>4</v>
      </c>
      <c r="F347" s="550" t="s">
        <v>1264</v>
      </c>
    </row>
    <row r="348" spans="1:6">
      <c r="A348" s="573"/>
      <c r="B348" s="576"/>
      <c r="C348" s="454" t="s">
        <v>482</v>
      </c>
      <c r="D348" s="455" t="s">
        <v>2347</v>
      </c>
      <c r="E348" s="456">
        <v>4</v>
      </c>
      <c r="F348" s="550" t="s">
        <v>1264</v>
      </c>
    </row>
    <row r="349" spans="1:6">
      <c r="A349" s="573"/>
      <c r="B349" s="576"/>
      <c r="C349" s="25" t="s">
        <v>483</v>
      </c>
      <c r="D349" s="310" t="s">
        <v>2348</v>
      </c>
      <c r="E349" s="16">
        <v>4</v>
      </c>
      <c r="F349" s="543"/>
    </row>
    <row r="350" spans="1:6">
      <c r="A350" s="573"/>
      <c r="B350" s="576"/>
      <c r="C350" s="25" t="s">
        <v>484</v>
      </c>
      <c r="D350" s="310" t="s">
        <v>2924</v>
      </c>
      <c r="E350" s="16">
        <v>4</v>
      </c>
      <c r="F350" s="543"/>
    </row>
    <row r="351" spans="1:6">
      <c r="A351" s="573"/>
      <c r="B351" s="576"/>
      <c r="C351" s="454" t="s">
        <v>486</v>
      </c>
      <c r="D351" s="455" t="s">
        <v>2349</v>
      </c>
      <c r="E351" s="456">
        <v>5</v>
      </c>
      <c r="F351" s="550" t="s">
        <v>1264</v>
      </c>
    </row>
    <row r="352" spans="1:6">
      <c r="A352" s="573"/>
      <c r="B352" s="576"/>
      <c r="C352" s="133" t="s">
        <v>487</v>
      </c>
      <c r="D352" s="310" t="s">
        <v>2350</v>
      </c>
      <c r="E352" s="16">
        <v>4</v>
      </c>
      <c r="F352" s="543"/>
    </row>
    <row r="353" spans="1:6">
      <c r="A353" s="573"/>
      <c r="B353" s="576"/>
      <c r="C353" s="25" t="s">
        <v>488</v>
      </c>
      <c r="D353" s="310" t="s">
        <v>2351</v>
      </c>
      <c r="E353" s="16">
        <v>4</v>
      </c>
      <c r="F353" s="543"/>
    </row>
    <row r="354" spans="1:6">
      <c r="A354" s="573"/>
      <c r="B354" s="576"/>
      <c r="C354" s="25" t="s">
        <v>489</v>
      </c>
      <c r="D354" s="310" t="s">
        <v>2352</v>
      </c>
      <c r="E354" s="16">
        <v>4</v>
      </c>
      <c r="F354" s="543"/>
    </row>
    <row r="355" spans="1:6">
      <c r="A355" s="573"/>
      <c r="B355" s="576"/>
      <c r="C355" s="63" t="s">
        <v>490</v>
      </c>
      <c r="D355" s="322" t="s">
        <v>2353</v>
      </c>
      <c r="E355" s="67">
        <v>3</v>
      </c>
      <c r="F355" s="543"/>
    </row>
    <row r="356" spans="1:6">
      <c r="A356" s="573"/>
      <c r="B356" s="576"/>
      <c r="C356" s="266" t="s">
        <v>2925</v>
      </c>
      <c r="D356" s="336" t="s">
        <v>2926</v>
      </c>
      <c r="E356" s="16">
        <v>2</v>
      </c>
      <c r="F356" s="543"/>
    </row>
    <row r="357" spans="1:6">
      <c r="A357" s="573"/>
      <c r="B357" s="576"/>
      <c r="C357" s="524" t="s">
        <v>2927</v>
      </c>
      <c r="D357" s="525" t="s">
        <v>2928</v>
      </c>
      <c r="E357" s="456">
        <v>6</v>
      </c>
      <c r="F357" s="550" t="s">
        <v>1264</v>
      </c>
    </row>
    <row r="358" spans="1:6">
      <c r="A358" s="573"/>
      <c r="B358" s="576"/>
      <c r="C358" s="477" t="s">
        <v>2929</v>
      </c>
      <c r="D358" s="478" t="s">
        <v>2930</v>
      </c>
      <c r="E358" s="456">
        <v>3</v>
      </c>
      <c r="F358" s="550" t="s">
        <v>1264</v>
      </c>
    </row>
    <row r="359" spans="1:6">
      <c r="A359" s="573"/>
      <c r="B359" s="576"/>
      <c r="C359" s="477" t="s">
        <v>3413</v>
      </c>
      <c r="D359" s="535" t="s">
        <v>2932</v>
      </c>
      <c r="E359" s="456">
        <v>4</v>
      </c>
      <c r="F359" s="550" t="s">
        <v>1264</v>
      </c>
    </row>
    <row r="360" spans="1:6">
      <c r="A360" s="573"/>
      <c r="B360" s="576"/>
      <c r="C360" s="283" t="s">
        <v>2933</v>
      </c>
      <c r="D360" s="396" t="s">
        <v>2934</v>
      </c>
      <c r="E360" s="16">
        <v>4</v>
      </c>
      <c r="F360" s="543"/>
    </row>
    <row r="361" spans="1:6">
      <c r="A361" s="573"/>
      <c r="B361" s="581"/>
      <c r="C361" s="526" t="s">
        <v>2935</v>
      </c>
      <c r="D361" s="527" t="s">
        <v>2936</v>
      </c>
      <c r="E361" s="483">
        <v>5</v>
      </c>
      <c r="F361" s="556" t="s">
        <v>1264</v>
      </c>
    </row>
    <row r="362" spans="1:6">
      <c r="A362" s="573"/>
      <c r="B362" s="580" t="s">
        <v>508</v>
      </c>
      <c r="C362" s="22" t="s">
        <v>509</v>
      </c>
      <c r="D362" s="313" t="s">
        <v>2319</v>
      </c>
      <c r="E362" s="48">
        <v>3</v>
      </c>
      <c r="F362" s="548"/>
    </row>
    <row r="363" spans="1:6">
      <c r="A363" s="573"/>
      <c r="B363" s="576"/>
      <c r="C363" s="25" t="s">
        <v>510</v>
      </c>
      <c r="D363" s="310" t="s">
        <v>2354</v>
      </c>
      <c r="E363" s="16">
        <v>3</v>
      </c>
      <c r="F363" s="543"/>
    </row>
    <row r="364" spans="1:6">
      <c r="A364" s="573"/>
      <c r="B364" s="576"/>
      <c r="C364" s="454" t="s">
        <v>511</v>
      </c>
      <c r="D364" s="455" t="s">
        <v>2355</v>
      </c>
      <c r="E364" s="456">
        <v>5</v>
      </c>
      <c r="F364" s="550" t="s">
        <v>1264</v>
      </c>
    </row>
    <row r="365" spans="1:6">
      <c r="A365" s="573"/>
      <c r="B365" s="576"/>
      <c r="C365" s="25" t="s">
        <v>512</v>
      </c>
      <c r="D365" s="310" t="s">
        <v>2356</v>
      </c>
      <c r="E365" s="16">
        <v>4</v>
      </c>
      <c r="F365" s="543"/>
    </row>
    <row r="366" spans="1:6">
      <c r="A366" s="573"/>
      <c r="B366" s="576"/>
      <c r="C366" s="132" t="s">
        <v>513</v>
      </c>
      <c r="D366" s="314" t="s">
        <v>2937</v>
      </c>
      <c r="E366" s="16">
        <v>4</v>
      </c>
      <c r="F366" s="543"/>
    </row>
    <row r="367" spans="1:6">
      <c r="A367" s="573"/>
      <c r="B367" s="576"/>
      <c r="C367" s="454" t="s">
        <v>516</v>
      </c>
      <c r="D367" s="455" t="s">
        <v>2357</v>
      </c>
      <c r="E367" s="456">
        <v>5</v>
      </c>
      <c r="F367" s="550" t="s">
        <v>1264</v>
      </c>
    </row>
    <row r="368" spans="1:6">
      <c r="A368" s="573"/>
      <c r="B368" s="576"/>
      <c r="C368" s="25" t="s">
        <v>517</v>
      </c>
      <c r="D368" s="308" t="s">
        <v>2358</v>
      </c>
      <c r="E368" s="16">
        <v>4</v>
      </c>
      <c r="F368" s="543"/>
    </row>
    <row r="369" spans="1:6">
      <c r="A369" s="573"/>
      <c r="B369" s="576"/>
      <c r="C369" s="454" t="s">
        <v>518</v>
      </c>
      <c r="D369" s="457" t="s">
        <v>2359</v>
      </c>
      <c r="E369" s="456">
        <v>5</v>
      </c>
      <c r="F369" s="550" t="s">
        <v>1264</v>
      </c>
    </row>
    <row r="370" spans="1:6">
      <c r="A370" s="573"/>
      <c r="B370" s="576"/>
      <c r="C370" s="25" t="s">
        <v>519</v>
      </c>
      <c r="D370" s="308" t="s">
        <v>2360</v>
      </c>
      <c r="E370" s="16">
        <v>3</v>
      </c>
      <c r="F370" s="543"/>
    </row>
    <row r="371" spans="1:6">
      <c r="A371" s="573"/>
      <c r="B371" s="576"/>
      <c r="C371" s="25" t="s">
        <v>520</v>
      </c>
      <c r="D371" s="332" t="s">
        <v>2361</v>
      </c>
      <c r="E371" s="16">
        <v>3</v>
      </c>
      <c r="F371" s="543"/>
    </row>
    <row r="372" spans="1:6">
      <c r="A372" s="573"/>
      <c r="B372" s="576"/>
      <c r="C372" s="454" t="s">
        <v>521</v>
      </c>
      <c r="D372" s="457" t="s">
        <v>2362</v>
      </c>
      <c r="E372" s="483">
        <v>5</v>
      </c>
      <c r="F372" s="556" t="s">
        <v>1264</v>
      </c>
    </row>
    <row r="373" spans="1:6">
      <c r="A373" s="573"/>
      <c r="B373" s="580" t="s">
        <v>522</v>
      </c>
      <c r="C373" s="71" t="s">
        <v>523</v>
      </c>
      <c r="D373" s="339" t="s">
        <v>2319</v>
      </c>
      <c r="E373" s="48">
        <v>3</v>
      </c>
      <c r="F373" s="548"/>
    </row>
    <row r="374" spans="1:6">
      <c r="A374" s="573"/>
      <c r="B374" s="576"/>
      <c r="C374" s="25" t="s">
        <v>524</v>
      </c>
      <c r="D374" s="308" t="s">
        <v>2354</v>
      </c>
      <c r="E374" s="16">
        <v>4</v>
      </c>
      <c r="F374" s="543"/>
    </row>
    <row r="375" spans="1:6">
      <c r="A375" s="573"/>
      <c r="B375" s="576"/>
      <c r="C375" s="454" t="s">
        <v>525</v>
      </c>
      <c r="D375" s="457" t="s">
        <v>2363</v>
      </c>
      <c r="E375" s="456">
        <v>5</v>
      </c>
      <c r="F375" s="550" t="s">
        <v>1264</v>
      </c>
    </row>
    <row r="376" spans="1:6">
      <c r="A376" s="573"/>
      <c r="B376" s="576"/>
      <c r="C376" s="25" t="s">
        <v>526</v>
      </c>
      <c r="D376" s="314" t="s">
        <v>2364</v>
      </c>
      <c r="E376" s="16">
        <v>4</v>
      </c>
      <c r="F376" s="543"/>
    </row>
    <row r="377" spans="1:6">
      <c r="A377" s="573"/>
      <c r="B377" s="576"/>
      <c r="C377" s="454" t="s">
        <v>527</v>
      </c>
      <c r="D377" s="457" t="s">
        <v>2365</v>
      </c>
      <c r="E377" s="456">
        <v>6</v>
      </c>
      <c r="F377" s="550" t="s">
        <v>1264</v>
      </c>
    </row>
    <row r="378" spans="1:6" ht="19.5">
      <c r="A378" s="573"/>
      <c r="B378" s="576"/>
      <c r="C378" s="454" t="s">
        <v>528</v>
      </c>
      <c r="D378" s="457" t="s">
        <v>2366</v>
      </c>
      <c r="E378" s="456" t="s">
        <v>120</v>
      </c>
      <c r="F378" s="550" t="s">
        <v>1264</v>
      </c>
    </row>
    <row r="379" spans="1:6">
      <c r="A379" s="573"/>
      <c r="B379" s="576"/>
      <c r="C379" s="454" t="s">
        <v>529</v>
      </c>
      <c r="D379" s="457" t="s">
        <v>2367</v>
      </c>
      <c r="E379" s="456">
        <v>6</v>
      </c>
      <c r="F379" s="550" t="s">
        <v>1264</v>
      </c>
    </row>
    <row r="380" spans="1:6">
      <c r="A380" s="573"/>
      <c r="B380" s="576"/>
      <c r="C380" s="565" t="s">
        <v>3416</v>
      </c>
      <c r="D380" s="341" t="s">
        <v>2368</v>
      </c>
      <c r="E380" s="16">
        <v>3</v>
      </c>
      <c r="F380" s="543"/>
    </row>
    <row r="381" spans="1:6">
      <c r="A381" s="573"/>
      <c r="B381" s="581"/>
      <c r="C381" s="136" t="s">
        <v>2938</v>
      </c>
      <c r="D381" s="437" t="s">
        <v>2939</v>
      </c>
      <c r="E381" s="52">
        <v>1</v>
      </c>
      <c r="F381" s="547"/>
    </row>
    <row r="382" spans="1:6">
      <c r="A382" s="573"/>
      <c r="B382" s="580" t="s">
        <v>534</v>
      </c>
      <c r="C382" s="22" t="s">
        <v>535</v>
      </c>
      <c r="D382" s="313" t="s">
        <v>2940</v>
      </c>
      <c r="E382" s="48">
        <v>4</v>
      </c>
      <c r="F382" s="548"/>
    </row>
    <row r="383" spans="1:6">
      <c r="A383" s="573"/>
      <c r="B383" s="576"/>
      <c r="C383" s="25" t="s">
        <v>538</v>
      </c>
      <c r="D383" s="310" t="s">
        <v>2369</v>
      </c>
      <c r="E383" s="16">
        <v>4</v>
      </c>
      <c r="F383" s="543"/>
    </row>
    <row r="384" spans="1:6">
      <c r="A384" s="573"/>
      <c r="B384" s="581"/>
      <c r="C384" s="63" t="s">
        <v>539</v>
      </c>
      <c r="D384" s="322" t="s">
        <v>2370</v>
      </c>
      <c r="E384" s="52">
        <v>2</v>
      </c>
      <c r="F384" s="547"/>
    </row>
    <row r="385" spans="1:6">
      <c r="A385" s="573"/>
      <c r="B385" s="580" t="s">
        <v>2943</v>
      </c>
      <c r="C385" s="71" t="s">
        <v>540</v>
      </c>
      <c r="D385" s="325" t="s">
        <v>2371</v>
      </c>
      <c r="E385" s="144">
        <v>1</v>
      </c>
      <c r="F385" s="548"/>
    </row>
    <row r="386" spans="1:6">
      <c r="A386" s="573"/>
      <c r="B386" s="576"/>
      <c r="C386" s="25" t="s">
        <v>541</v>
      </c>
      <c r="D386" s="310" t="s">
        <v>2372</v>
      </c>
      <c r="E386" s="542">
        <v>2</v>
      </c>
      <c r="F386" s="543"/>
    </row>
    <row r="387" spans="1:6">
      <c r="A387" s="573"/>
      <c r="B387" s="576"/>
      <c r="C387" s="25" t="s">
        <v>542</v>
      </c>
      <c r="D387" s="310" t="s">
        <v>2941</v>
      </c>
      <c r="E387" s="16">
        <v>3</v>
      </c>
      <c r="F387" s="543"/>
    </row>
    <row r="388" spans="1:6">
      <c r="A388" s="573"/>
      <c r="B388" s="576"/>
      <c r="C388" s="25" t="s">
        <v>544</v>
      </c>
      <c r="D388" s="310" t="s">
        <v>2942</v>
      </c>
      <c r="E388" s="16">
        <v>4</v>
      </c>
      <c r="F388" s="543"/>
    </row>
    <row r="389" spans="1:6">
      <c r="A389" s="573"/>
      <c r="B389" s="576"/>
      <c r="C389" s="51" t="s">
        <v>546</v>
      </c>
      <c r="D389" s="323" t="s">
        <v>2373</v>
      </c>
      <c r="E389" s="52">
        <v>2</v>
      </c>
      <c r="F389" s="547"/>
    </row>
    <row r="390" spans="1:6">
      <c r="A390" s="573"/>
      <c r="B390" s="580" t="s">
        <v>547</v>
      </c>
      <c r="C390" s="458" t="s">
        <v>548</v>
      </c>
      <c r="D390" s="459" t="s">
        <v>2374</v>
      </c>
      <c r="E390" s="484">
        <v>4</v>
      </c>
      <c r="F390" s="551" t="s">
        <v>1264</v>
      </c>
    </row>
    <row r="391" spans="1:6">
      <c r="A391" s="573"/>
      <c r="B391" s="576"/>
      <c r="C391" s="25" t="s">
        <v>549</v>
      </c>
      <c r="D391" s="310" t="s">
        <v>2375</v>
      </c>
      <c r="E391" s="16">
        <v>2</v>
      </c>
      <c r="F391" s="543"/>
    </row>
    <row r="392" spans="1:6">
      <c r="A392" s="573"/>
      <c r="B392" s="576"/>
      <c r="C392" s="25" t="s">
        <v>550</v>
      </c>
      <c r="D392" s="310" t="s">
        <v>2376</v>
      </c>
      <c r="E392" s="16">
        <v>4</v>
      </c>
      <c r="F392" s="543"/>
    </row>
    <row r="393" spans="1:6">
      <c r="A393" s="573"/>
      <c r="B393" s="576"/>
      <c r="C393" s="454" t="s">
        <v>551</v>
      </c>
      <c r="D393" s="455" t="s">
        <v>2377</v>
      </c>
      <c r="E393" s="456">
        <v>5</v>
      </c>
      <c r="F393" s="550" t="s">
        <v>1264</v>
      </c>
    </row>
    <row r="394" spans="1:6">
      <c r="A394" s="573"/>
      <c r="B394" s="576"/>
      <c r="C394" s="454" t="s">
        <v>552</v>
      </c>
      <c r="D394" s="455" t="s">
        <v>2378</v>
      </c>
      <c r="E394" s="456">
        <v>5</v>
      </c>
      <c r="F394" s="550" t="s">
        <v>1264</v>
      </c>
    </row>
    <row r="395" spans="1:6">
      <c r="A395" s="573"/>
      <c r="B395" s="576"/>
      <c r="C395" s="454" t="s">
        <v>553</v>
      </c>
      <c r="D395" s="455" t="s">
        <v>2379</v>
      </c>
      <c r="E395" s="456">
        <v>5</v>
      </c>
      <c r="F395" s="550" t="s">
        <v>1264</v>
      </c>
    </row>
    <row r="396" spans="1:6">
      <c r="A396" s="573"/>
      <c r="B396" s="576"/>
      <c r="C396" s="454" t="s">
        <v>554</v>
      </c>
      <c r="D396" s="455" t="s">
        <v>2380</v>
      </c>
      <c r="E396" s="456">
        <v>6</v>
      </c>
      <c r="F396" s="550" t="s">
        <v>1264</v>
      </c>
    </row>
    <row r="397" spans="1:6" ht="19.5">
      <c r="A397" s="573"/>
      <c r="B397" s="576"/>
      <c r="C397" s="454" t="s">
        <v>555</v>
      </c>
      <c r="D397" s="455" t="s">
        <v>2381</v>
      </c>
      <c r="E397" s="476" t="s">
        <v>120</v>
      </c>
      <c r="F397" s="550" t="s">
        <v>1264</v>
      </c>
    </row>
    <row r="398" spans="1:6" ht="19.5">
      <c r="A398" s="573"/>
      <c r="B398" s="576"/>
      <c r="C398" s="454" t="s">
        <v>556</v>
      </c>
      <c r="D398" s="455" t="s">
        <v>2382</v>
      </c>
      <c r="E398" s="476" t="s">
        <v>120</v>
      </c>
      <c r="F398" s="550" t="s">
        <v>1264</v>
      </c>
    </row>
    <row r="399" spans="1:6" ht="19.5" thickBot="1">
      <c r="A399" s="574"/>
      <c r="B399" s="582"/>
      <c r="C399" s="485" t="s">
        <v>557</v>
      </c>
      <c r="D399" s="486" t="s">
        <v>2383</v>
      </c>
      <c r="E399" s="487">
        <v>5</v>
      </c>
      <c r="F399" s="552" t="s">
        <v>1264</v>
      </c>
    </row>
    <row r="400" spans="1:6" ht="19.5" thickTop="1">
      <c r="A400" s="572" t="s">
        <v>558</v>
      </c>
      <c r="B400" s="575" t="s">
        <v>559</v>
      </c>
      <c r="C400" s="7" t="s">
        <v>560</v>
      </c>
      <c r="D400" s="311" t="s">
        <v>2944</v>
      </c>
      <c r="E400" s="8">
        <v>3</v>
      </c>
      <c r="F400" s="548"/>
    </row>
    <row r="401" spans="1:6">
      <c r="A401" s="573"/>
      <c r="B401" s="576"/>
      <c r="C401" s="25" t="s">
        <v>563</v>
      </c>
      <c r="D401" s="310" t="s">
        <v>2945</v>
      </c>
      <c r="E401" s="16">
        <v>3</v>
      </c>
      <c r="F401" s="543"/>
    </row>
    <row r="402" spans="1:6">
      <c r="A402" s="573"/>
      <c r="B402" s="576"/>
      <c r="C402" s="25" t="s">
        <v>565</v>
      </c>
      <c r="D402" s="310" t="s">
        <v>2354</v>
      </c>
      <c r="E402" s="16">
        <v>3</v>
      </c>
      <c r="F402" s="543"/>
    </row>
    <row r="403" spans="1:6">
      <c r="A403" s="573"/>
      <c r="B403" s="576"/>
      <c r="C403" s="454" t="s">
        <v>566</v>
      </c>
      <c r="D403" s="455" t="s">
        <v>2153</v>
      </c>
      <c r="E403" s="456">
        <v>5</v>
      </c>
      <c r="F403" s="550" t="s">
        <v>1264</v>
      </c>
    </row>
    <row r="404" spans="1:6">
      <c r="A404" s="573"/>
      <c r="B404" s="576"/>
      <c r="C404" s="25" t="s">
        <v>567</v>
      </c>
      <c r="D404" s="310" t="s">
        <v>2946</v>
      </c>
      <c r="E404" s="16">
        <v>1</v>
      </c>
      <c r="F404" s="543"/>
    </row>
    <row r="405" spans="1:6">
      <c r="A405" s="573"/>
      <c r="B405" s="576"/>
      <c r="C405" s="25" t="s">
        <v>569</v>
      </c>
      <c r="D405" s="310" t="s">
        <v>2947</v>
      </c>
      <c r="E405" s="16">
        <v>3</v>
      </c>
      <c r="F405" s="543"/>
    </row>
    <row r="406" spans="1:6">
      <c r="A406" s="573"/>
      <c r="B406" s="576"/>
      <c r="C406" s="25" t="s">
        <v>571</v>
      </c>
      <c r="D406" s="310" t="s">
        <v>2948</v>
      </c>
      <c r="E406" s="16">
        <v>3</v>
      </c>
      <c r="F406" s="543"/>
    </row>
    <row r="407" spans="1:6">
      <c r="A407" s="573"/>
      <c r="B407" s="576"/>
      <c r="C407" s="34" t="s">
        <v>573</v>
      </c>
      <c r="D407" s="341" t="s">
        <v>2384</v>
      </c>
      <c r="E407" s="16">
        <v>3</v>
      </c>
      <c r="F407" s="543"/>
    </row>
    <row r="408" spans="1:6">
      <c r="A408" s="573"/>
      <c r="B408" s="576"/>
      <c r="C408" s="524" t="s">
        <v>2949</v>
      </c>
      <c r="D408" s="528" t="s">
        <v>2950</v>
      </c>
      <c r="E408" s="456">
        <v>4</v>
      </c>
      <c r="F408" s="550" t="s">
        <v>1264</v>
      </c>
    </row>
    <row r="409" spans="1:6">
      <c r="A409" s="573"/>
      <c r="B409" s="576"/>
      <c r="C409" s="524" t="s">
        <v>2951</v>
      </c>
      <c r="D409" s="528" t="s">
        <v>2952</v>
      </c>
      <c r="E409" s="456">
        <v>5</v>
      </c>
      <c r="F409" s="550" t="s">
        <v>1264</v>
      </c>
    </row>
    <row r="410" spans="1:6">
      <c r="A410" s="573"/>
      <c r="B410" s="576"/>
      <c r="C410" s="35" t="s">
        <v>2953</v>
      </c>
      <c r="D410" s="396" t="s">
        <v>2939</v>
      </c>
      <c r="E410" s="16">
        <v>1</v>
      </c>
      <c r="F410" s="543"/>
    </row>
    <row r="411" spans="1:6">
      <c r="A411" s="573"/>
      <c r="B411" s="581"/>
      <c r="C411" s="143" t="s">
        <v>2954</v>
      </c>
      <c r="D411" s="316" t="s">
        <v>2955</v>
      </c>
      <c r="E411" s="144">
        <v>2</v>
      </c>
      <c r="F411" s="547"/>
    </row>
    <row r="412" spans="1:6">
      <c r="A412" s="573"/>
      <c r="B412" s="580" t="s">
        <v>585</v>
      </c>
      <c r="C412" s="22" t="s">
        <v>586</v>
      </c>
      <c r="D412" s="313" t="s">
        <v>2354</v>
      </c>
      <c r="E412" s="145">
        <v>3</v>
      </c>
      <c r="F412" s="548"/>
    </row>
    <row r="413" spans="1:6">
      <c r="A413" s="573"/>
      <c r="B413" s="576"/>
      <c r="C413" s="25" t="s">
        <v>587</v>
      </c>
      <c r="D413" s="308" t="s">
        <v>2385</v>
      </c>
      <c r="E413" s="83">
        <v>4</v>
      </c>
      <c r="F413" s="543"/>
    </row>
    <row r="414" spans="1:6">
      <c r="A414" s="573"/>
      <c r="B414" s="576"/>
      <c r="C414" s="25" t="s">
        <v>588</v>
      </c>
      <c r="D414" s="310" t="s">
        <v>2386</v>
      </c>
      <c r="E414" s="83">
        <v>4</v>
      </c>
      <c r="F414" s="543"/>
    </row>
    <row r="415" spans="1:6">
      <c r="A415" s="573"/>
      <c r="B415" s="576"/>
      <c r="C415" s="454" t="s">
        <v>589</v>
      </c>
      <c r="D415" s="455" t="s">
        <v>2387</v>
      </c>
      <c r="E415" s="476">
        <v>5</v>
      </c>
      <c r="F415" s="550" t="s">
        <v>1264</v>
      </c>
    </row>
    <row r="416" spans="1:6">
      <c r="A416" s="573"/>
      <c r="B416" s="576"/>
      <c r="C416" s="25" t="s">
        <v>590</v>
      </c>
      <c r="D416" s="310" t="s">
        <v>2388</v>
      </c>
      <c r="E416" s="83">
        <v>4</v>
      </c>
      <c r="F416" s="543"/>
    </row>
    <row r="417" spans="1:6">
      <c r="A417" s="573"/>
      <c r="B417" s="576"/>
      <c r="C417" s="454" t="s">
        <v>591</v>
      </c>
      <c r="D417" s="455" t="s">
        <v>2389</v>
      </c>
      <c r="E417" s="476">
        <v>5</v>
      </c>
      <c r="F417" s="550" t="s">
        <v>1264</v>
      </c>
    </row>
    <row r="418" spans="1:6">
      <c r="A418" s="573"/>
      <c r="B418" s="576"/>
      <c r="C418" s="454" t="s">
        <v>592</v>
      </c>
      <c r="D418" s="455" t="s">
        <v>2390</v>
      </c>
      <c r="E418" s="476">
        <v>5</v>
      </c>
      <c r="F418" s="550" t="s">
        <v>1264</v>
      </c>
    </row>
    <row r="419" spans="1:6">
      <c r="A419" s="573"/>
      <c r="B419" s="576"/>
      <c r="C419" s="454" t="s">
        <v>593</v>
      </c>
      <c r="D419" s="455" t="s">
        <v>2391</v>
      </c>
      <c r="E419" s="476">
        <v>5</v>
      </c>
      <c r="F419" s="550" t="s">
        <v>1264</v>
      </c>
    </row>
    <row r="420" spans="1:6">
      <c r="A420" s="573"/>
      <c r="B420" s="576"/>
      <c r="C420" s="25" t="s">
        <v>594</v>
      </c>
      <c r="D420" s="308" t="s">
        <v>2392</v>
      </c>
      <c r="E420" s="29">
        <v>4</v>
      </c>
      <c r="F420" s="543"/>
    </row>
    <row r="421" spans="1:6">
      <c r="A421" s="573"/>
      <c r="B421" s="576"/>
      <c r="C421" s="454" t="s">
        <v>595</v>
      </c>
      <c r="D421" s="457" t="s">
        <v>2393</v>
      </c>
      <c r="E421" s="476">
        <v>5</v>
      </c>
      <c r="F421" s="550" t="s">
        <v>1264</v>
      </c>
    </row>
    <row r="422" spans="1:6">
      <c r="A422" s="573"/>
      <c r="B422" s="576"/>
      <c r="C422" s="454" t="s">
        <v>596</v>
      </c>
      <c r="D422" s="457" t="s">
        <v>2394</v>
      </c>
      <c r="E422" s="476">
        <v>5</v>
      </c>
      <c r="F422" s="550" t="s">
        <v>1264</v>
      </c>
    </row>
    <row r="423" spans="1:6">
      <c r="A423" s="573"/>
      <c r="B423" s="576"/>
      <c r="C423" s="25" t="s">
        <v>597</v>
      </c>
      <c r="D423" s="308" t="s">
        <v>2395</v>
      </c>
      <c r="E423" s="29">
        <v>4</v>
      </c>
      <c r="F423" s="543"/>
    </row>
    <row r="424" spans="1:6">
      <c r="A424" s="573"/>
      <c r="B424" s="576"/>
      <c r="C424" s="454" t="s">
        <v>598</v>
      </c>
      <c r="D424" s="457" t="s">
        <v>2396</v>
      </c>
      <c r="E424" s="476">
        <v>5</v>
      </c>
      <c r="F424" s="550" t="s">
        <v>1264</v>
      </c>
    </row>
    <row r="425" spans="1:6">
      <c r="A425" s="573"/>
      <c r="B425" s="576"/>
      <c r="C425" s="25" t="s">
        <v>2956</v>
      </c>
      <c r="D425" s="380" t="s">
        <v>2957</v>
      </c>
      <c r="E425" s="29">
        <v>4</v>
      </c>
      <c r="F425" s="543"/>
    </row>
    <row r="426" spans="1:6">
      <c r="A426" s="573"/>
      <c r="B426" s="576"/>
      <c r="C426" s="454" t="s">
        <v>602</v>
      </c>
      <c r="D426" s="457" t="s">
        <v>2397</v>
      </c>
      <c r="E426" s="476">
        <v>5</v>
      </c>
      <c r="F426" s="550" t="s">
        <v>1264</v>
      </c>
    </row>
    <row r="427" spans="1:6">
      <c r="A427" s="573"/>
      <c r="B427" s="576"/>
      <c r="C427" s="454" t="s">
        <v>603</v>
      </c>
      <c r="D427" s="457" t="s">
        <v>2398</v>
      </c>
      <c r="E427" s="476">
        <v>5</v>
      </c>
      <c r="F427" s="550" t="s">
        <v>1264</v>
      </c>
    </row>
    <row r="428" spans="1:6">
      <c r="A428" s="573"/>
      <c r="B428" s="576"/>
      <c r="C428" s="25" t="s">
        <v>604</v>
      </c>
      <c r="D428" s="308" t="s">
        <v>2399</v>
      </c>
      <c r="E428" s="16">
        <v>3</v>
      </c>
      <c r="F428" s="543"/>
    </row>
    <row r="429" spans="1:6">
      <c r="A429" s="573"/>
      <c r="B429" s="576"/>
      <c r="C429" s="25" t="s">
        <v>605</v>
      </c>
      <c r="D429" s="308" t="s">
        <v>2400</v>
      </c>
      <c r="E429" s="16">
        <v>3</v>
      </c>
      <c r="F429" s="543"/>
    </row>
    <row r="430" spans="1:6">
      <c r="A430" s="573"/>
      <c r="B430" s="576"/>
      <c r="C430" s="25" t="s">
        <v>606</v>
      </c>
      <c r="D430" s="308" t="s">
        <v>2958</v>
      </c>
      <c r="E430" s="16">
        <v>3</v>
      </c>
      <c r="F430" s="543"/>
    </row>
    <row r="431" spans="1:6">
      <c r="A431" s="573"/>
      <c r="B431" s="576"/>
      <c r="C431" s="25" t="s">
        <v>609</v>
      </c>
      <c r="D431" s="308" t="s">
        <v>2401</v>
      </c>
      <c r="E431" s="16">
        <v>4</v>
      </c>
      <c r="F431" s="543"/>
    </row>
    <row r="432" spans="1:6">
      <c r="A432" s="573"/>
      <c r="B432" s="576"/>
      <c r="C432" s="25" t="s">
        <v>610</v>
      </c>
      <c r="D432" s="308" t="s">
        <v>2402</v>
      </c>
      <c r="E432" s="16">
        <v>4</v>
      </c>
      <c r="F432" s="543"/>
    </row>
    <row r="433" spans="1:6">
      <c r="A433" s="573"/>
      <c r="B433" s="576"/>
      <c r="C433" s="25" t="s">
        <v>611</v>
      </c>
      <c r="D433" s="308" t="s">
        <v>2403</v>
      </c>
      <c r="E433" s="16">
        <v>4</v>
      </c>
      <c r="F433" s="543"/>
    </row>
    <row r="434" spans="1:6">
      <c r="A434" s="573"/>
      <c r="B434" s="576"/>
      <c r="C434" s="25" t="s">
        <v>612</v>
      </c>
      <c r="D434" s="308" t="s">
        <v>2404</v>
      </c>
      <c r="E434" s="16">
        <v>4</v>
      </c>
      <c r="F434" s="543"/>
    </row>
    <row r="435" spans="1:6">
      <c r="A435" s="573"/>
      <c r="B435" s="576"/>
      <c r="C435" s="25" t="s">
        <v>613</v>
      </c>
      <c r="D435" s="308" t="s">
        <v>2405</v>
      </c>
      <c r="E435" s="16">
        <v>4</v>
      </c>
      <c r="F435" s="543"/>
    </row>
    <row r="436" spans="1:6">
      <c r="A436" s="573"/>
      <c r="B436" s="576"/>
      <c r="C436" s="25" t="s">
        <v>614</v>
      </c>
      <c r="D436" s="308" t="s">
        <v>2406</v>
      </c>
      <c r="E436" s="16">
        <v>4</v>
      </c>
      <c r="F436" s="543"/>
    </row>
    <row r="437" spans="1:6">
      <c r="A437" s="573"/>
      <c r="B437" s="576"/>
      <c r="C437" s="25" t="s">
        <v>615</v>
      </c>
      <c r="D437" s="308" t="s">
        <v>2407</v>
      </c>
      <c r="E437" s="16">
        <v>4</v>
      </c>
      <c r="F437" s="543"/>
    </row>
    <row r="438" spans="1:6">
      <c r="A438" s="573"/>
      <c r="B438" s="576"/>
      <c r="C438" s="25" t="s">
        <v>616</v>
      </c>
      <c r="D438" s="308" t="s">
        <v>2408</v>
      </c>
      <c r="E438" s="16">
        <v>4</v>
      </c>
      <c r="F438" s="543"/>
    </row>
    <row r="439" spans="1:6">
      <c r="A439" s="573"/>
      <c r="B439" s="576"/>
      <c r="C439" s="25" t="s">
        <v>617</v>
      </c>
      <c r="D439" s="308" t="s">
        <v>2409</v>
      </c>
      <c r="E439" s="16">
        <v>4</v>
      </c>
      <c r="F439" s="543"/>
    </row>
    <row r="440" spans="1:6">
      <c r="A440" s="573"/>
      <c r="B440" s="576"/>
      <c r="C440" s="454" t="s">
        <v>618</v>
      </c>
      <c r="D440" s="457" t="s">
        <v>2410</v>
      </c>
      <c r="E440" s="456">
        <v>4</v>
      </c>
      <c r="F440" s="550" t="s">
        <v>1264</v>
      </c>
    </row>
    <row r="441" spans="1:6">
      <c r="A441" s="573"/>
      <c r="B441" s="576"/>
      <c r="C441" s="454" t="s">
        <v>619</v>
      </c>
      <c r="D441" s="457" t="s">
        <v>2411</v>
      </c>
      <c r="E441" s="456">
        <v>4</v>
      </c>
      <c r="F441" s="550" t="s">
        <v>1264</v>
      </c>
    </row>
    <row r="442" spans="1:6">
      <c r="A442" s="573"/>
      <c r="B442" s="576"/>
      <c r="C442" s="25" t="s">
        <v>620</v>
      </c>
      <c r="D442" s="308" t="s">
        <v>2412</v>
      </c>
      <c r="E442" s="16">
        <v>4</v>
      </c>
      <c r="F442" s="543"/>
    </row>
    <row r="443" spans="1:6">
      <c r="A443" s="573"/>
      <c r="B443" s="576"/>
      <c r="C443" s="454" t="s">
        <v>621</v>
      </c>
      <c r="D443" s="457" t="s">
        <v>2413</v>
      </c>
      <c r="E443" s="456">
        <v>4</v>
      </c>
      <c r="F443" s="550" t="s">
        <v>1264</v>
      </c>
    </row>
    <row r="444" spans="1:6">
      <c r="A444" s="573"/>
      <c r="B444" s="576"/>
      <c r="C444" s="454" t="s">
        <v>622</v>
      </c>
      <c r="D444" s="457" t="s">
        <v>2414</v>
      </c>
      <c r="E444" s="456">
        <v>5</v>
      </c>
      <c r="F444" s="550" t="s">
        <v>1264</v>
      </c>
    </row>
    <row r="445" spans="1:6">
      <c r="A445" s="573"/>
      <c r="B445" s="576"/>
      <c r="C445" s="454" t="s">
        <v>623</v>
      </c>
      <c r="D445" s="457" t="s">
        <v>2415</v>
      </c>
      <c r="E445" s="456">
        <v>5</v>
      </c>
      <c r="F445" s="550" t="s">
        <v>1264</v>
      </c>
    </row>
    <row r="446" spans="1:6">
      <c r="A446" s="573"/>
      <c r="B446" s="576"/>
      <c r="C446" s="454" t="s">
        <v>624</v>
      </c>
      <c r="D446" s="457" t="s">
        <v>2416</v>
      </c>
      <c r="E446" s="456">
        <v>5</v>
      </c>
      <c r="F446" s="550" t="s">
        <v>1264</v>
      </c>
    </row>
    <row r="447" spans="1:6">
      <c r="A447" s="573"/>
      <c r="B447" s="576"/>
      <c r="C447" s="25" t="s">
        <v>625</v>
      </c>
      <c r="D447" s="308" t="s">
        <v>2417</v>
      </c>
      <c r="E447" s="16">
        <v>4</v>
      </c>
      <c r="F447" s="543"/>
    </row>
    <row r="448" spans="1:6">
      <c r="A448" s="573"/>
      <c r="B448" s="576"/>
      <c r="C448" s="25" t="s">
        <v>626</v>
      </c>
      <c r="D448" s="308" t="s">
        <v>2418</v>
      </c>
      <c r="E448" s="16">
        <v>2</v>
      </c>
      <c r="F448" s="543"/>
    </row>
    <row r="449" spans="1:6">
      <c r="A449" s="573"/>
      <c r="B449" s="576"/>
      <c r="C449" s="25" t="s">
        <v>627</v>
      </c>
      <c r="D449" s="308" t="s">
        <v>2419</v>
      </c>
      <c r="E449" s="16">
        <v>4</v>
      </c>
      <c r="F449" s="543"/>
    </row>
    <row r="450" spans="1:6">
      <c r="A450" s="573"/>
      <c r="B450" s="576"/>
      <c r="C450" s="25" t="s">
        <v>628</v>
      </c>
      <c r="D450" s="308" t="s">
        <v>2420</v>
      </c>
      <c r="E450" s="16">
        <v>4</v>
      </c>
      <c r="F450" s="543"/>
    </row>
    <row r="451" spans="1:6">
      <c r="A451" s="573"/>
      <c r="B451" s="576"/>
      <c r="C451" s="25" t="s">
        <v>629</v>
      </c>
      <c r="D451" s="308" t="s">
        <v>2421</v>
      </c>
      <c r="E451" s="16">
        <v>4</v>
      </c>
      <c r="F451" s="543"/>
    </row>
    <row r="452" spans="1:6">
      <c r="A452" s="573"/>
      <c r="B452" s="576"/>
      <c r="C452" s="25" t="s">
        <v>630</v>
      </c>
      <c r="D452" s="308" t="s">
        <v>2422</v>
      </c>
      <c r="E452" s="16">
        <v>4</v>
      </c>
      <c r="F452" s="543"/>
    </row>
    <row r="453" spans="1:6">
      <c r="A453" s="573"/>
      <c r="B453" s="576"/>
      <c r="C453" s="25" t="s">
        <v>631</v>
      </c>
      <c r="D453" s="308" t="s">
        <v>2423</v>
      </c>
      <c r="E453" s="16">
        <v>4</v>
      </c>
      <c r="F453" s="543"/>
    </row>
    <row r="454" spans="1:6">
      <c r="A454" s="573"/>
      <c r="B454" s="576"/>
      <c r="C454" s="454" t="s">
        <v>632</v>
      </c>
      <c r="D454" s="457" t="s">
        <v>2424</v>
      </c>
      <c r="E454" s="456">
        <v>5</v>
      </c>
      <c r="F454" s="550" t="s">
        <v>1264</v>
      </c>
    </row>
    <row r="455" spans="1:6">
      <c r="A455" s="573"/>
      <c r="B455" s="576"/>
      <c r="C455" s="488" t="s">
        <v>633</v>
      </c>
      <c r="D455" s="489" t="s">
        <v>2425</v>
      </c>
      <c r="E455" s="456">
        <v>5</v>
      </c>
      <c r="F455" s="550" t="s">
        <v>1264</v>
      </c>
    </row>
    <row r="456" spans="1:6">
      <c r="A456" s="573"/>
      <c r="B456" s="576"/>
      <c r="C456" s="35" t="s">
        <v>2959</v>
      </c>
      <c r="D456" s="396" t="s">
        <v>2960</v>
      </c>
      <c r="E456" s="16">
        <v>1</v>
      </c>
      <c r="F456" s="543"/>
    </row>
    <row r="457" spans="1:6">
      <c r="A457" s="573"/>
      <c r="B457" s="576"/>
      <c r="C457" s="35" t="s">
        <v>637</v>
      </c>
      <c r="D457" s="396" t="s">
        <v>2961</v>
      </c>
      <c r="E457" s="16">
        <v>3</v>
      </c>
      <c r="F457" s="543"/>
    </row>
    <row r="458" spans="1:6">
      <c r="A458" s="573"/>
      <c r="B458" s="576"/>
      <c r="C458" s="35" t="s">
        <v>2962</v>
      </c>
      <c r="D458" s="396" t="s">
        <v>2939</v>
      </c>
      <c r="E458" s="16">
        <v>1</v>
      </c>
      <c r="F458" s="543"/>
    </row>
    <row r="459" spans="1:6">
      <c r="A459" s="573"/>
      <c r="B459" s="581"/>
      <c r="C459" s="149" t="s">
        <v>2963</v>
      </c>
      <c r="D459" s="396" t="s">
        <v>2955</v>
      </c>
      <c r="E459" s="67">
        <v>2</v>
      </c>
      <c r="F459" s="547"/>
    </row>
    <row r="460" spans="1:6">
      <c r="A460" s="573"/>
      <c r="B460" s="580" t="s">
        <v>643</v>
      </c>
      <c r="C460" s="71" t="s">
        <v>644</v>
      </c>
      <c r="D460" s="325" t="s">
        <v>2964</v>
      </c>
      <c r="E460" s="145">
        <v>2</v>
      </c>
      <c r="F460" s="548"/>
    </row>
    <row r="461" spans="1:6">
      <c r="A461" s="573"/>
      <c r="B461" s="576"/>
      <c r="C461" s="25" t="s">
        <v>646</v>
      </c>
      <c r="D461" s="310" t="s">
        <v>2965</v>
      </c>
      <c r="E461" s="29">
        <v>2</v>
      </c>
      <c r="F461" s="543"/>
    </row>
    <row r="462" spans="1:6">
      <c r="A462" s="573"/>
      <c r="B462" s="576"/>
      <c r="C462" s="25" t="s">
        <v>648</v>
      </c>
      <c r="D462" s="310" t="s">
        <v>2354</v>
      </c>
      <c r="E462" s="29">
        <v>2</v>
      </c>
      <c r="F462" s="543"/>
    </row>
    <row r="463" spans="1:6">
      <c r="A463" s="573"/>
      <c r="B463" s="576"/>
      <c r="C463" s="25" t="s">
        <v>649</v>
      </c>
      <c r="D463" s="310" t="s">
        <v>2966</v>
      </c>
      <c r="E463" s="29">
        <v>2</v>
      </c>
      <c r="F463" s="543"/>
    </row>
    <row r="464" spans="1:6">
      <c r="A464" s="573"/>
      <c r="B464" s="576"/>
      <c r="C464" s="25" t="s">
        <v>651</v>
      </c>
      <c r="D464" s="310" t="s">
        <v>2426</v>
      </c>
      <c r="E464" s="29">
        <v>3</v>
      </c>
      <c r="F464" s="543"/>
    </row>
    <row r="465" spans="1:6">
      <c r="A465" s="573"/>
      <c r="B465" s="576"/>
      <c r="C465" s="25" t="s">
        <v>652</v>
      </c>
      <c r="D465" s="310" t="s">
        <v>2967</v>
      </c>
      <c r="E465" s="16">
        <v>2</v>
      </c>
      <c r="F465" s="543"/>
    </row>
    <row r="466" spans="1:6">
      <c r="A466" s="573"/>
      <c r="B466" s="576"/>
      <c r="C466" s="25" t="s">
        <v>654</v>
      </c>
      <c r="D466" s="308" t="s">
        <v>2427</v>
      </c>
      <c r="E466" s="16">
        <v>4</v>
      </c>
      <c r="F466" s="543"/>
    </row>
    <row r="467" spans="1:6">
      <c r="A467" s="573"/>
      <c r="B467" s="576"/>
      <c r="C467" s="25" t="s">
        <v>655</v>
      </c>
      <c r="D467" s="308" t="s">
        <v>2968</v>
      </c>
      <c r="E467" s="16">
        <v>2</v>
      </c>
      <c r="F467" s="543"/>
    </row>
    <row r="468" spans="1:6">
      <c r="A468" s="573"/>
      <c r="B468" s="576"/>
      <c r="C468" s="25" t="s">
        <v>657</v>
      </c>
      <c r="D468" s="308" t="s">
        <v>2428</v>
      </c>
      <c r="E468" s="16">
        <v>2</v>
      </c>
      <c r="F468" s="543"/>
    </row>
    <row r="469" spans="1:6">
      <c r="A469" s="573"/>
      <c r="B469" s="576"/>
      <c r="C469" s="25" t="s">
        <v>658</v>
      </c>
      <c r="D469" s="308" t="s">
        <v>2969</v>
      </c>
      <c r="E469" s="16">
        <v>2</v>
      </c>
      <c r="F469" s="543"/>
    </row>
    <row r="470" spans="1:6">
      <c r="A470" s="573"/>
      <c r="B470" s="576"/>
      <c r="C470" s="25" t="s">
        <v>660</v>
      </c>
      <c r="D470" s="308" t="s">
        <v>2429</v>
      </c>
      <c r="E470" s="16">
        <v>2</v>
      </c>
      <c r="F470" s="543"/>
    </row>
    <row r="471" spans="1:6">
      <c r="A471" s="573"/>
      <c r="B471" s="576"/>
      <c r="C471" s="25" t="s">
        <v>661</v>
      </c>
      <c r="D471" s="308" t="s">
        <v>2430</v>
      </c>
      <c r="E471" s="16">
        <v>3</v>
      </c>
      <c r="F471" s="543"/>
    </row>
    <row r="472" spans="1:6">
      <c r="A472" s="573"/>
      <c r="B472" s="576"/>
      <c r="C472" s="25" t="s">
        <v>662</v>
      </c>
      <c r="D472" s="308" t="s">
        <v>2970</v>
      </c>
      <c r="E472" s="16">
        <v>1</v>
      </c>
      <c r="F472" s="543"/>
    </row>
    <row r="473" spans="1:6">
      <c r="A473" s="573"/>
      <c r="B473" s="576"/>
      <c r="C473" s="25" t="s">
        <v>664</v>
      </c>
      <c r="D473" s="308" t="s">
        <v>2971</v>
      </c>
      <c r="E473" s="16">
        <v>2</v>
      </c>
      <c r="F473" s="543"/>
    </row>
    <row r="474" spans="1:6">
      <c r="A474" s="573"/>
      <c r="B474" s="576"/>
      <c r="C474" s="25" t="s">
        <v>666</v>
      </c>
      <c r="D474" s="308" t="s">
        <v>2431</v>
      </c>
      <c r="E474" s="16">
        <v>2</v>
      </c>
      <c r="F474" s="543"/>
    </row>
    <row r="475" spans="1:6">
      <c r="A475" s="573"/>
      <c r="B475" s="576"/>
      <c r="C475" s="25" t="s">
        <v>667</v>
      </c>
      <c r="D475" s="308" t="s">
        <v>2432</v>
      </c>
      <c r="E475" s="16">
        <v>3</v>
      </c>
      <c r="F475" s="543"/>
    </row>
    <row r="476" spans="1:6">
      <c r="A476" s="573"/>
      <c r="B476" s="576"/>
      <c r="C476" s="25" t="s">
        <v>668</v>
      </c>
      <c r="D476" s="308" t="s">
        <v>2433</v>
      </c>
      <c r="E476" s="16">
        <v>1</v>
      </c>
      <c r="F476" s="543"/>
    </row>
    <row r="477" spans="1:6">
      <c r="A477" s="573"/>
      <c r="B477" s="576"/>
      <c r="C477" s="34" t="s">
        <v>669</v>
      </c>
      <c r="D477" s="343" t="s">
        <v>2434</v>
      </c>
      <c r="E477" s="16">
        <v>3</v>
      </c>
      <c r="F477" s="543"/>
    </row>
    <row r="478" spans="1:6">
      <c r="A478" s="573"/>
      <c r="B478" s="576"/>
      <c r="C478" s="142" t="s">
        <v>2972</v>
      </c>
      <c r="D478" s="337" t="s">
        <v>2973</v>
      </c>
      <c r="E478" s="67">
        <v>2</v>
      </c>
      <c r="F478" s="543"/>
    </row>
    <row r="479" spans="1:6">
      <c r="A479" s="573"/>
      <c r="B479" s="576"/>
      <c r="C479" s="142" t="s">
        <v>2974</v>
      </c>
      <c r="D479" s="337" t="s">
        <v>2975</v>
      </c>
      <c r="E479" s="67">
        <v>2</v>
      </c>
      <c r="F479" s="543"/>
    </row>
    <row r="480" spans="1:6">
      <c r="A480" s="573"/>
      <c r="B480" s="576"/>
      <c r="C480" s="35" t="s">
        <v>2976</v>
      </c>
      <c r="D480" s="337" t="s">
        <v>2939</v>
      </c>
      <c r="E480" s="67">
        <v>1</v>
      </c>
      <c r="F480" s="543"/>
    </row>
    <row r="481" spans="1:6">
      <c r="A481" s="573"/>
      <c r="B481" s="576"/>
      <c r="C481" s="35" t="s">
        <v>2977</v>
      </c>
      <c r="D481" s="396" t="s">
        <v>2955</v>
      </c>
      <c r="E481" s="67">
        <v>2</v>
      </c>
      <c r="F481" s="543"/>
    </row>
    <row r="482" spans="1:6">
      <c r="A482" s="573"/>
      <c r="B482" s="581"/>
      <c r="C482" s="136" t="s">
        <v>2978</v>
      </c>
      <c r="D482" s="426" t="s">
        <v>2979</v>
      </c>
      <c r="E482" s="67">
        <v>1</v>
      </c>
      <c r="F482" s="547"/>
    </row>
    <row r="483" spans="1:6">
      <c r="A483" s="573"/>
      <c r="B483" s="580" t="s">
        <v>683</v>
      </c>
      <c r="C483" s="22" t="s">
        <v>684</v>
      </c>
      <c r="D483" s="344" t="s">
        <v>2980</v>
      </c>
      <c r="E483" s="82">
        <v>3</v>
      </c>
      <c r="F483" s="548"/>
    </row>
    <row r="484" spans="1:6">
      <c r="A484" s="573"/>
      <c r="B484" s="576"/>
      <c r="C484" s="25" t="s">
        <v>686</v>
      </c>
      <c r="D484" s="310" t="s">
        <v>2981</v>
      </c>
      <c r="E484" s="29">
        <v>3</v>
      </c>
      <c r="F484" s="543"/>
    </row>
    <row r="485" spans="1:6">
      <c r="A485" s="573"/>
      <c r="B485" s="576"/>
      <c r="C485" s="25" t="s">
        <v>688</v>
      </c>
      <c r="D485" s="310" t="s">
        <v>2354</v>
      </c>
      <c r="E485" s="29">
        <v>3</v>
      </c>
      <c r="F485" s="543"/>
    </row>
    <row r="486" spans="1:6">
      <c r="A486" s="573"/>
      <c r="B486" s="576"/>
      <c r="C486" s="25" t="s">
        <v>689</v>
      </c>
      <c r="D486" s="310" t="s">
        <v>2435</v>
      </c>
      <c r="E486" s="29">
        <v>4</v>
      </c>
      <c r="F486" s="543"/>
    </row>
    <row r="487" spans="1:6">
      <c r="A487" s="573"/>
      <c r="B487" s="576"/>
      <c r="C487" s="454" t="s">
        <v>690</v>
      </c>
      <c r="D487" s="455" t="s">
        <v>2436</v>
      </c>
      <c r="E487" s="456">
        <v>6</v>
      </c>
      <c r="F487" s="550" t="s">
        <v>1264</v>
      </c>
    </row>
    <row r="488" spans="1:6">
      <c r="A488" s="573"/>
      <c r="B488" s="576"/>
      <c r="C488" s="25" t="s">
        <v>691</v>
      </c>
      <c r="D488" s="308" t="s">
        <v>2437</v>
      </c>
      <c r="E488" s="16">
        <v>4</v>
      </c>
      <c r="F488" s="543"/>
    </row>
    <row r="489" spans="1:6">
      <c r="A489" s="573"/>
      <c r="B489" s="576"/>
      <c r="C489" s="25" t="s">
        <v>692</v>
      </c>
      <c r="D489" s="308" t="s">
        <v>2982</v>
      </c>
      <c r="E489" s="16">
        <v>1</v>
      </c>
      <c r="F489" s="543"/>
    </row>
    <row r="490" spans="1:6">
      <c r="A490" s="573"/>
      <c r="B490" s="576"/>
      <c r="C490" s="25" t="s">
        <v>694</v>
      </c>
      <c r="D490" s="308" t="s">
        <v>2983</v>
      </c>
      <c r="E490" s="29">
        <v>2</v>
      </c>
      <c r="F490" s="543"/>
    </row>
    <row r="491" spans="1:6">
      <c r="A491" s="573"/>
      <c r="B491" s="576"/>
      <c r="C491" s="155" t="s">
        <v>696</v>
      </c>
      <c r="D491" s="308" t="s">
        <v>2984</v>
      </c>
      <c r="E491" s="16">
        <v>2</v>
      </c>
      <c r="F491" s="543"/>
    </row>
    <row r="492" spans="1:6">
      <c r="A492" s="573"/>
      <c r="B492" s="576"/>
      <c r="C492" s="25" t="s">
        <v>698</v>
      </c>
      <c r="D492" s="308" t="s">
        <v>2438</v>
      </c>
      <c r="E492" s="16">
        <v>3</v>
      </c>
      <c r="F492" s="543"/>
    </row>
    <row r="493" spans="1:6">
      <c r="A493" s="573"/>
      <c r="B493" s="576"/>
      <c r="C493" s="25" t="s">
        <v>699</v>
      </c>
      <c r="D493" s="308" t="s">
        <v>2439</v>
      </c>
      <c r="E493" s="16">
        <v>4</v>
      </c>
      <c r="F493" s="543"/>
    </row>
    <row r="494" spans="1:6">
      <c r="A494" s="573"/>
      <c r="B494" s="576"/>
      <c r="C494" s="25" t="s">
        <v>700</v>
      </c>
      <c r="D494" s="308" t="s">
        <v>2440</v>
      </c>
      <c r="E494" s="16">
        <v>4</v>
      </c>
      <c r="F494" s="543"/>
    </row>
    <row r="495" spans="1:6">
      <c r="A495" s="573"/>
      <c r="B495" s="576"/>
      <c r="C495" s="513" t="s">
        <v>701</v>
      </c>
      <c r="D495" s="514" t="s">
        <v>2441</v>
      </c>
      <c r="E495" s="515">
        <v>2</v>
      </c>
      <c r="F495" s="543" t="s">
        <v>3410</v>
      </c>
    </row>
    <row r="496" spans="1:6">
      <c r="A496" s="573"/>
      <c r="B496" s="576"/>
      <c r="C496" s="454" t="s">
        <v>704</v>
      </c>
      <c r="D496" s="457" t="s">
        <v>2442</v>
      </c>
      <c r="E496" s="456">
        <v>5</v>
      </c>
      <c r="F496" s="550" t="s">
        <v>1264</v>
      </c>
    </row>
    <row r="497" spans="1:6">
      <c r="A497" s="573"/>
      <c r="B497" s="576"/>
      <c r="C497" s="25" t="s">
        <v>705</v>
      </c>
      <c r="D497" s="343" t="s">
        <v>2443</v>
      </c>
      <c r="E497" s="16">
        <v>4</v>
      </c>
      <c r="F497" s="543"/>
    </row>
    <row r="498" spans="1:6">
      <c r="A498" s="573"/>
      <c r="B498" s="576"/>
      <c r="C498" s="22" t="s">
        <v>2985</v>
      </c>
      <c r="D498" s="438" t="s">
        <v>2939</v>
      </c>
      <c r="E498" s="16">
        <v>1</v>
      </c>
      <c r="F498" s="543"/>
    </row>
    <row r="499" spans="1:6">
      <c r="A499" s="573"/>
      <c r="B499" s="576"/>
      <c r="C499" s="22" t="s">
        <v>2986</v>
      </c>
      <c r="D499" s="438" t="s">
        <v>2955</v>
      </c>
      <c r="E499" s="16">
        <v>2</v>
      </c>
      <c r="F499" s="543"/>
    </row>
    <row r="500" spans="1:6">
      <c r="A500" s="573"/>
      <c r="B500" s="581"/>
      <c r="C500" s="22" t="s">
        <v>2987</v>
      </c>
      <c r="D500" s="439" t="s">
        <v>2988</v>
      </c>
      <c r="E500" s="52">
        <v>1</v>
      </c>
      <c r="F500" s="547"/>
    </row>
    <row r="501" spans="1:6">
      <c r="A501" s="573"/>
      <c r="B501" s="580" t="s">
        <v>713</v>
      </c>
      <c r="C501" s="71" t="s">
        <v>714</v>
      </c>
      <c r="D501" s="313" t="s">
        <v>2989</v>
      </c>
      <c r="E501" s="48">
        <v>2</v>
      </c>
      <c r="F501" s="548"/>
    </row>
    <row r="502" spans="1:6">
      <c r="A502" s="573"/>
      <c r="B502" s="576"/>
      <c r="C502" s="25" t="s">
        <v>716</v>
      </c>
      <c r="D502" s="310" t="s">
        <v>2990</v>
      </c>
      <c r="E502" s="16">
        <v>2</v>
      </c>
      <c r="F502" s="543"/>
    </row>
    <row r="503" spans="1:6">
      <c r="A503" s="573"/>
      <c r="B503" s="576"/>
      <c r="C503" s="25" t="s">
        <v>718</v>
      </c>
      <c r="D503" s="310" t="s">
        <v>2354</v>
      </c>
      <c r="E503" s="16">
        <v>2</v>
      </c>
      <c r="F503" s="543"/>
    </row>
    <row r="504" spans="1:6">
      <c r="A504" s="573"/>
      <c r="B504" s="576"/>
      <c r="C504" s="25" t="s">
        <v>719</v>
      </c>
      <c r="D504" s="310" t="s">
        <v>2444</v>
      </c>
      <c r="E504" s="16">
        <v>3</v>
      </c>
      <c r="F504" s="543"/>
    </row>
    <row r="505" spans="1:6">
      <c r="A505" s="573"/>
      <c r="B505" s="576"/>
      <c r="C505" s="25" t="s">
        <v>720</v>
      </c>
      <c r="D505" s="314" t="s">
        <v>2445</v>
      </c>
      <c r="E505" s="16">
        <v>3</v>
      </c>
      <c r="F505" s="543"/>
    </row>
    <row r="506" spans="1:6">
      <c r="A506" s="573"/>
      <c r="B506" s="576"/>
      <c r="C506" s="25" t="s">
        <v>721</v>
      </c>
      <c r="D506" s="314" t="s">
        <v>2446</v>
      </c>
      <c r="E506" s="16">
        <v>4</v>
      </c>
      <c r="F506" s="543"/>
    </row>
    <row r="507" spans="1:6">
      <c r="A507" s="573"/>
      <c r="B507" s="576"/>
      <c r="C507" s="25" t="s">
        <v>722</v>
      </c>
      <c r="D507" s="310" t="s">
        <v>2991</v>
      </c>
      <c r="E507" s="16">
        <v>1</v>
      </c>
      <c r="F507" s="543"/>
    </row>
    <row r="508" spans="1:6">
      <c r="A508" s="573"/>
      <c r="B508" s="576"/>
      <c r="C508" s="25" t="s">
        <v>724</v>
      </c>
      <c r="D508" s="310" t="s">
        <v>2992</v>
      </c>
      <c r="E508" s="29">
        <v>2</v>
      </c>
      <c r="F508" s="543"/>
    </row>
    <row r="509" spans="1:6">
      <c r="A509" s="573"/>
      <c r="B509" s="576"/>
      <c r="C509" s="155" t="s">
        <v>726</v>
      </c>
      <c r="D509" s="310" t="s">
        <v>2993</v>
      </c>
      <c r="E509" s="16">
        <v>2</v>
      </c>
      <c r="F509" s="543"/>
    </row>
    <row r="510" spans="1:6">
      <c r="A510" s="573"/>
      <c r="B510" s="576"/>
      <c r="C510" s="25" t="s">
        <v>728</v>
      </c>
      <c r="D510" s="308" t="s">
        <v>2447</v>
      </c>
      <c r="E510" s="16">
        <v>3</v>
      </c>
      <c r="F510" s="543"/>
    </row>
    <row r="511" spans="1:6">
      <c r="A511" s="573"/>
      <c r="B511" s="576"/>
      <c r="C511" s="25" t="s">
        <v>729</v>
      </c>
      <c r="D511" s="308" t="s">
        <v>2448</v>
      </c>
      <c r="E511" s="16">
        <v>3</v>
      </c>
      <c r="F511" s="543"/>
    </row>
    <row r="512" spans="1:6">
      <c r="A512" s="573"/>
      <c r="B512" s="576"/>
      <c r="C512" s="25" t="s">
        <v>730</v>
      </c>
      <c r="D512" s="310" t="s">
        <v>2449</v>
      </c>
      <c r="E512" s="16">
        <v>3</v>
      </c>
      <c r="F512" s="543"/>
    </row>
    <row r="513" spans="1:6">
      <c r="A513" s="573"/>
      <c r="B513" s="576"/>
      <c r="C513" s="132" t="s">
        <v>731</v>
      </c>
      <c r="D513" s="314" t="s">
        <v>2450</v>
      </c>
      <c r="E513" s="16">
        <v>3</v>
      </c>
      <c r="F513" s="543"/>
    </row>
    <row r="514" spans="1:6">
      <c r="A514" s="573"/>
      <c r="B514" s="576"/>
      <c r="C514" s="25" t="s">
        <v>732</v>
      </c>
      <c r="D514" s="335" t="s">
        <v>2451</v>
      </c>
      <c r="E514" s="16">
        <v>4</v>
      </c>
      <c r="F514" s="543"/>
    </row>
    <row r="515" spans="1:6">
      <c r="A515" s="573"/>
      <c r="B515" s="576"/>
      <c r="C515" s="142" t="s">
        <v>2994</v>
      </c>
      <c r="D515" s="441" t="s">
        <v>2939</v>
      </c>
      <c r="E515" s="48">
        <v>1</v>
      </c>
      <c r="F515" s="543"/>
    </row>
    <row r="516" spans="1:6">
      <c r="A516" s="573"/>
      <c r="B516" s="581"/>
      <c r="C516" s="143" t="s">
        <v>2995</v>
      </c>
      <c r="D516" s="440" t="s">
        <v>2955</v>
      </c>
      <c r="E516" s="48">
        <v>2</v>
      </c>
      <c r="F516" s="547"/>
    </row>
    <row r="517" spans="1:6">
      <c r="A517" s="573"/>
      <c r="B517" s="580" t="s">
        <v>737</v>
      </c>
      <c r="C517" s="22" t="s">
        <v>738</v>
      </c>
      <c r="D517" s="313" t="s">
        <v>2996</v>
      </c>
      <c r="E517" s="82">
        <v>2</v>
      </c>
      <c r="F517" s="548"/>
    </row>
    <row r="518" spans="1:6">
      <c r="A518" s="573"/>
      <c r="B518" s="576"/>
      <c r="C518" s="25" t="s">
        <v>740</v>
      </c>
      <c r="D518" s="310" t="s">
        <v>2997</v>
      </c>
      <c r="E518" s="29">
        <v>2</v>
      </c>
      <c r="F518" s="543"/>
    </row>
    <row r="519" spans="1:6">
      <c r="A519" s="573"/>
      <c r="B519" s="576"/>
      <c r="C519" s="25" t="s">
        <v>742</v>
      </c>
      <c r="D519" s="310" t="s">
        <v>2354</v>
      </c>
      <c r="E519" s="29">
        <v>3</v>
      </c>
      <c r="F519" s="543"/>
    </row>
    <row r="520" spans="1:6">
      <c r="A520" s="573"/>
      <c r="B520" s="576"/>
      <c r="C520" s="25" t="s">
        <v>743</v>
      </c>
      <c r="D520" s="310" t="s">
        <v>2363</v>
      </c>
      <c r="E520" s="29">
        <v>4</v>
      </c>
      <c r="F520" s="543"/>
    </row>
    <row r="521" spans="1:6">
      <c r="A521" s="573"/>
      <c r="B521" s="576"/>
      <c r="C521" s="454" t="s">
        <v>744</v>
      </c>
      <c r="D521" s="455" t="s">
        <v>2452</v>
      </c>
      <c r="E521" s="476">
        <v>5</v>
      </c>
      <c r="F521" s="550" t="s">
        <v>1264</v>
      </c>
    </row>
    <row r="522" spans="1:6" ht="19.5">
      <c r="A522" s="573"/>
      <c r="B522" s="576"/>
      <c r="C522" s="454" t="s">
        <v>745</v>
      </c>
      <c r="D522" s="457" t="s">
        <v>2453</v>
      </c>
      <c r="E522" s="476" t="s">
        <v>746</v>
      </c>
      <c r="F522" s="550" t="s">
        <v>1264</v>
      </c>
    </row>
    <row r="523" spans="1:6">
      <c r="A523" s="573"/>
      <c r="B523" s="576"/>
      <c r="C523" s="34" t="s">
        <v>747</v>
      </c>
      <c r="D523" s="343" t="s">
        <v>2454</v>
      </c>
      <c r="E523" s="16">
        <v>2</v>
      </c>
      <c r="F523" s="543"/>
    </row>
    <row r="524" spans="1:6">
      <c r="A524" s="573"/>
      <c r="B524" s="576"/>
      <c r="C524" s="35" t="s">
        <v>2998</v>
      </c>
      <c r="D524" s="396" t="s">
        <v>2999</v>
      </c>
      <c r="E524" s="16">
        <v>1</v>
      </c>
      <c r="F524" s="543"/>
    </row>
    <row r="525" spans="1:6">
      <c r="A525" s="573"/>
      <c r="B525" s="581"/>
      <c r="C525" s="143" t="s">
        <v>3000</v>
      </c>
      <c r="D525" s="397" t="s">
        <v>3001</v>
      </c>
      <c r="E525" s="118">
        <v>2</v>
      </c>
      <c r="F525" s="547"/>
    </row>
    <row r="526" spans="1:6">
      <c r="A526" s="573"/>
      <c r="B526" s="580" t="s">
        <v>753</v>
      </c>
      <c r="C526" s="22" t="s">
        <v>754</v>
      </c>
      <c r="D526" s="313" t="s">
        <v>3002</v>
      </c>
      <c r="E526" s="159">
        <v>2</v>
      </c>
      <c r="F526" s="548"/>
    </row>
    <row r="527" spans="1:6">
      <c r="A527" s="573"/>
      <c r="B527" s="576"/>
      <c r="C527" s="25" t="s">
        <v>757</v>
      </c>
      <c r="D527" s="310" t="s">
        <v>3003</v>
      </c>
      <c r="E527" s="29">
        <v>2</v>
      </c>
      <c r="F527" s="543"/>
    </row>
    <row r="528" spans="1:6">
      <c r="A528" s="573"/>
      <c r="B528" s="576"/>
      <c r="C528" s="25" t="s">
        <v>759</v>
      </c>
      <c r="D528" s="310" t="s">
        <v>2455</v>
      </c>
      <c r="E528" s="29">
        <v>3</v>
      </c>
      <c r="F528" s="543"/>
    </row>
    <row r="529" spans="1:6" ht="19.5">
      <c r="A529" s="573"/>
      <c r="B529" s="576"/>
      <c r="C529" s="454" t="s">
        <v>760</v>
      </c>
      <c r="D529" s="455" t="s">
        <v>2456</v>
      </c>
      <c r="E529" s="476" t="s">
        <v>746</v>
      </c>
      <c r="F529" s="550" t="s">
        <v>1264</v>
      </c>
    </row>
    <row r="530" spans="1:6">
      <c r="A530" s="573"/>
      <c r="B530" s="576"/>
      <c r="C530" s="25" t="s">
        <v>761</v>
      </c>
      <c r="D530" s="310" t="s">
        <v>2457</v>
      </c>
      <c r="E530" s="29">
        <v>3</v>
      </c>
      <c r="F530" s="543"/>
    </row>
    <row r="531" spans="1:6">
      <c r="A531" s="573"/>
      <c r="B531" s="576"/>
      <c r="C531" s="25" t="s">
        <v>762</v>
      </c>
      <c r="D531" s="310" t="s">
        <v>2458</v>
      </c>
      <c r="E531" s="29">
        <v>4</v>
      </c>
      <c r="F531" s="543"/>
    </row>
    <row r="532" spans="1:6">
      <c r="A532" s="573"/>
      <c r="B532" s="576"/>
      <c r="C532" s="454" t="s">
        <v>763</v>
      </c>
      <c r="D532" s="457" t="s">
        <v>2459</v>
      </c>
      <c r="E532" s="456">
        <v>5</v>
      </c>
      <c r="F532" s="550" t="s">
        <v>1264</v>
      </c>
    </row>
    <row r="533" spans="1:6">
      <c r="A533" s="573"/>
      <c r="B533" s="576"/>
      <c r="C533" s="25" t="s">
        <v>764</v>
      </c>
      <c r="D533" s="308" t="s">
        <v>2460</v>
      </c>
      <c r="E533" s="16">
        <v>2</v>
      </c>
      <c r="F533" s="543"/>
    </row>
    <row r="534" spans="1:6">
      <c r="A534" s="573"/>
      <c r="B534" s="576"/>
      <c r="C534" s="25" t="s">
        <v>765</v>
      </c>
      <c r="D534" s="308" t="s">
        <v>2461</v>
      </c>
      <c r="E534" s="16">
        <v>2</v>
      </c>
      <c r="F534" s="543"/>
    </row>
    <row r="535" spans="1:6">
      <c r="A535" s="573"/>
      <c r="B535" s="576"/>
      <c r="C535" s="25" t="s">
        <v>766</v>
      </c>
      <c r="D535" s="308" t="s">
        <v>2462</v>
      </c>
      <c r="E535" s="16">
        <v>3</v>
      </c>
      <c r="F535" s="543"/>
    </row>
    <row r="536" spans="1:6">
      <c r="A536" s="573"/>
      <c r="B536" s="576"/>
      <c r="C536" s="25" t="s">
        <v>767</v>
      </c>
      <c r="D536" s="308" t="s">
        <v>2463</v>
      </c>
      <c r="E536" s="16">
        <v>3</v>
      </c>
      <c r="F536" s="543"/>
    </row>
    <row r="537" spans="1:6">
      <c r="A537" s="573"/>
      <c r="B537" s="576"/>
      <c r="C537" s="34" t="s">
        <v>768</v>
      </c>
      <c r="D537" s="343" t="s">
        <v>2464</v>
      </c>
      <c r="E537" s="16">
        <v>3</v>
      </c>
      <c r="F537" s="543"/>
    </row>
    <row r="538" spans="1:6">
      <c r="A538" s="573"/>
      <c r="B538" s="576"/>
      <c r="C538" s="35" t="s">
        <v>3004</v>
      </c>
      <c r="D538" s="396" t="s">
        <v>3005</v>
      </c>
      <c r="E538" s="16">
        <v>2</v>
      </c>
      <c r="F538" s="543"/>
    </row>
    <row r="539" spans="1:6">
      <c r="A539" s="573"/>
      <c r="B539" s="576"/>
      <c r="C539" s="35" t="s">
        <v>3006</v>
      </c>
      <c r="D539" s="396" t="s">
        <v>2939</v>
      </c>
      <c r="E539" s="16">
        <v>1</v>
      </c>
      <c r="F539" s="543"/>
    </row>
    <row r="540" spans="1:6">
      <c r="A540" s="573"/>
      <c r="B540" s="576"/>
      <c r="C540" s="35" t="s">
        <v>3007</v>
      </c>
      <c r="D540" s="396" t="s">
        <v>2955</v>
      </c>
      <c r="E540" s="16">
        <v>2</v>
      </c>
      <c r="F540" s="543"/>
    </row>
    <row r="541" spans="1:6">
      <c r="A541" s="573"/>
      <c r="B541" s="576"/>
      <c r="C541" s="35" t="s">
        <v>3008</v>
      </c>
      <c r="D541" s="396" t="s">
        <v>3009</v>
      </c>
      <c r="E541" s="16">
        <v>2</v>
      </c>
      <c r="F541" s="543"/>
    </row>
    <row r="542" spans="1:6">
      <c r="A542" s="573"/>
      <c r="B542" s="581"/>
      <c r="C542" s="143" t="s">
        <v>3010</v>
      </c>
      <c r="D542" s="441" t="s">
        <v>3011</v>
      </c>
      <c r="E542" s="144">
        <v>2</v>
      </c>
      <c r="F542" s="547"/>
    </row>
    <row r="543" spans="1:6" ht="33">
      <c r="A543" s="573"/>
      <c r="B543" s="580" t="s">
        <v>782</v>
      </c>
      <c r="C543" s="458" t="s">
        <v>783</v>
      </c>
      <c r="D543" s="459" t="s">
        <v>2465</v>
      </c>
      <c r="E543" s="490" t="s">
        <v>746</v>
      </c>
      <c r="F543" s="551" t="s">
        <v>1264</v>
      </c>
    </row>
    <row r="544" spans="1:6" ht="19.5">
      <c r="A544" s="573"/>
      <c r="B544" s="581"/>
      <c r="C544" s="462" t="s">
        <v>784</v>
      </c>
      <c r="D544" s="463" t="s">
        <v>2466</v>
      </c>
      <c r="E544" s="491" t="s">
        <v>746</v>
      </c>
      <c r="F544" s="556" t="s">
        <v>1264</v>
      </c>
    </row>
    <row r="545" spans="1:6">
      <c r="A545" s="573"/>
      <c r="B545" s="580" t="s">
        <v>785</v>
      </c>
      <c r="C545" s="71" t="s">
        <v>786</v>
      </c>
      <c r="D545" s="325" t="s">
        <v>3012</v>
      </c>
      <c r="E545" s="48">
        <v>2</v>
      </c>
      <c r="F545" s="548"/>
    </row>
    <row r="546" spans="1:6">
      <c r="A546" s="573"/>
      <c r="B546" s="576"/>
      <c r="C546" s="25" t="s">
        <v>788</v>
      </c>
      <c r="D546" s="310" t="s">
        <v>3013</v>
      </c>
      <c r="E546" s="16">
        <v>2</v>
      </c>
      <c r="F546" s="543"/>
    </row>
    <row r="547" spans="1:6">
      <c r="A547" s="573"/>
      <c r="B547" s="576"/>
      <c r="C547" s="25" t="s">
        <v>790</v>
      </c>
      <c r="D547" s="310" t="s">
        <v>2467</v>
      </c>
      <c r="E547" s="29">
        <v>4</v>
      </c>
      <c r="F547" s="543"/>
    </row>
    <row r="548" spans="1:6">
      <c r="A548" s="573"/>
      <c r="B548" s="576"/>
      <c r="C548" s="25" t="s">
        <v>791</v>
      </c>
      <c r="D548" s="310" t="s">
        <v>2468</v>
      </c>
      <c r="E548" s="29">
        <v>3</v>
      </c>
      <c r="F548" s="543"/>
    </row>
    <row r="549" spans="1:6">
      <c r="A549" s="573"/>
      <c r="B549" s="576"/>
      <c r="C549" s="25" t="s">
        <v>792</v>
      </c>
      <c r="D549" s="310" t="s">
        <v>2469</v>
      </c>
      <c r="E549" s="29">
        <v>4</v>
      </c>
      <c r="F549" s="543"/>
    </row>
    <row r="550" spans="1:6">
      <c r="A550" s="573"/>
      <c r="B550" s="576"/>
      <c r="C550" s="25" t="s">
        <v>793</v>
      </c>
      <c r="D550" s="310" t="s">
        <v>2470</v>
      </c>
      <c r="E550" s="16">
        <v>3</v>
      </c>
      <c r="F550" s="543"/>
    </row>
    <row r="551" spans="1:6">
      <c r="A551" s="573"/>
      <c r="B551" s="576"/>
      <c r="C551" s="25" t="s">
        <v>794</v>
      </c>
      <c r="D551" s="310" t="s">
        <v>2354</v>
      </c>
      <c r="E551" s="16">
        <v>2</v>
      </c>
      <c r="F551" s="543"/>
    </row>
    <row r="552" spans="1:6">
      <c r="A552" s="573"/>
      <c r="B552" s="576"/>
      <c r="C552" s="25" t="s">
        <v>795</v>
      </c>
      <c r="D552" s="310" t="s">
        <v>2471</v>
      </c>
      <c r="E552" s="16">
        <v>4</v>
      </c>
      <c r="F552" s="543"/>
    </row>
    <row r="553" spans="1:6">
      <c r="A553" s="573"/>
      <c r="B553" s="576"/>
      <c r="C553" s="25" t="s">
        <v>796</v>
      </c>
      <c r="D553" s="310" t="s">
        <v>3014</v>
      </c>
      <c r="E553" s="16">
        <v>1</v>
      </c>
      <c r="F553" s="543"/>
    </row>
    <row r="554" spans="1:6">
      <c r="A554" s="573"/>
      <c r="B554" s="576"/>
      <c r="C554" s="25" t="s">
        <v>798</v>
      </c>
      <c r="D554" s="310" t="s">
        <v>3015</v>
      </c>
      <c r="E554" s="16">
        <v>2</v>
      </c>
      <c r="F554" s="543"/>
    </row>
    <row r="555" spans="1:6">
      <c r="A555" s="573"/>
      <c r="B555" s="576"/>
      <c r="C555" s="25" t="s">
        <v>800</v>
      </c>
      <c r="D555" s="310" t="s">
        <v>3016</v>
      </c>
      <c r="E555" s="16">
        <v>2</v>
      </c>
      <c r="F555" s="543"/>
    </row>
    <row r="556" spans="1:6">
      <c r="A556" s="573"/>
      <c r="B556" s="576"/>
      <c r="C556" s="25" t="s">
        <v>802</v>
      </c>
      <c r="D556" s="310" t="s">
        <v>2472</v>
      </c>
      <c r="E556" s="16">
        <v>4</v>
      </c>
      <c r="F556" s="543"/>
    </row>
    <row r="557" spans="1:6">
      <c r="A557" s="573"/>
      <c r="B557" s="576"/>
      <c r="C557" s="132" t="s">
        <v>803</v>
      </c>
      <c r="D557" s="314" t="s">
        <v>2473</v>
      </c>
      <c r="E557" s="16">
        <v>3</v>
      </c>
      <c r="F557" s="543"/>
    </row>
    <row r="558" spans="1:6">
      <c r="A558" s="573"/>
      <c r="B558" s="576"/>
      <c r="C558" s="132" t="s">
        <v>3017</v>
      </c>
      <c r="D558" s="314" t="s">
        <v>3018</v>
      </c>
      <c r="E558" s="16">
        <v>3</v>
      </c>
      <c r="F558" s="543"/>
    </row>
    <row r="559" spans="1:6">
      <c r="A559" s="573"/>
      <c r="B559" s="576"/>
      <c r="C559" s="25" t="s">
        <v>807</v>
      </c>
      <c r="D559" s="310" t="s">
        <v>2474</v>
      </c>
      <c r="E559" s="16">
        <v>2</v>
      </c>
      <c r="F559" s="543"/>
    </row>
    <row r="560" spans="1:6">
      <c r="A560" s="573"/>
      <c r="B560" s="576"/>
      <c r="C560" s="25" t="s">
        <v>808</v>
      </c>
      <c r="D560" s="310" t="s">
        <v>2475</v>
      </c>
      <c r="E560" s="16">
        <v>2</v>
      </c>
      <c r="F560" s="543"/>
    </row>
    <row r="561" spans="1:6">
      <c r="A561" s="573"/>
      <c r="B561" s="576"/>
      <c r="C561" s="566" t="s">
        <v>3417</v>
      </c>
      <c r="D561" s="536" t="s">
        <v>2476</v>
      </c>
      <c r="E561" s="456">
        <v>4</v>
      </c>
      <c r="F561" s="550" t="s">
        <v>1264</v>
      </c>
    </row>
    <row r="562" spans="1:6">
      <c r="A562" s="573"/>
      <c r="B562" s="576"/>
      <c r="C562" s="35" t="s">
        <v>3019</v>
      </c>
      <c r="D562" s="396" t="s">
        <v>2939</v>
      </c>
      <c r="E562" s="16">
        <v>1</v>
      </c>
      <c r="F562" s="543"/>
    </row>
    <row r="563" spans="1:6">
      <c r="A563" s="573"/>
      <c r="B563" s="581"/>
      <c r="C563" s="143" t="s">
        <v>3020</v>
      </c>
      <c r="D563" s="443" t="s">
        <v>2955</v>
      </c>
      <c r="E563" s="118">
        <v>2</v>
      </c>
      <c r="F563" s="547"/>
    </row>
    <row r="564" spans="1:6">
      <c r="A564" s="573"/>
      <c r="B564" s="580" t="s">
        <v>814</v>
      </c>
      <c r="C564" s="22" t="s">
        <v>815</v>
      </c>
      <c r="D564" s="313" t="s">
        <v>3021</v>
      </c>
      <c r="E564" s="159">
        <v>2</v>
      </c>
      <c r="F564" s="548"/>
    </row>
    <row r="565" spans="1:6">
      <c r="A565" s="573"/>
      <c r="B565" s="576"/>
      <c r="C565" s="25" t="s">
        <v>817</v>
      </c>
      <c r="D565" s="310" t="s">
        <v>2477</v>
      </c>
      <c r="E565" s="166">
        <v>1</v>
      </c>
      <c r="F565" s="543"/>
    </row>
    <row r="566" spans="1:6">
      <c r="A566" s="573"/>
      <c r="B566" s="576"/>
      <c r="C566" s="25" t="s">
        <v>818</v>
      </c>
      <c r="D566" s="310" t="s">
        <v>3022</v>
      </c>
      <c r="E566" s="29">
        <v>2</v>
      </c>
      <c r="F566" s="543"/>
    </row>
    <row r="567" spans="1:6">
      <c r="A567" s="573"/>
      <c r="B567" s="576"/>
      <c r="C567" s="25" t="s">
        <v>820</v>
      </c>
      <c r="D567" s="310" t="s">
        <v>2478</v>
      </c>
      <c r="E567" s="29">
        <v>2</v>
      </c>
      <c r="F567" s="543"/>
    </row>
    <row r="568" spans="1:6">
      <c r="A568" s="573"/>
      <c r="B568" s="576"/>
      <c r="C568" s="25" t="s">
        <v>821</v>
      </c>
      <c r="D568" s="310" t="s">
        <v>2479</v>
      </c>
      <c r="E568" s="29">
        <v>3</v>
      </c>
      <c r="F568" s="543"/>
    </row>
    <row r="569" spans="1:6">
      <c r="A569" s="573"/>
      <c r="B569" s="576"/>
      <c r="C569" s="25" t="s">
        <v>822</v>
      </c>
      <c r="D569" s="310" t="s">
        <v>3023</v>
      </c>
      <c r="E569" s="16">
        <v>1</v>
      </c>
      <c r="F569" s="543"/>
    </row>
    <row r="570" spans="1:6">
      <c r="A570" s="573"/>
      <c r="B570" s="576"/>
      <c r="C570" s="25" t="s">
        <v>824</v>
      </c>
      <c r="D570" s="310" t="s">
        <v>2480</v>
      </c>
      <c r="E570" s="16">
        <v>1</v>
      </c>
      <c r="F570" s="543"/>
    </row>
    <row r="571" spans="1:6">
      <c r="A571" s="573"/>
      <c r="B571" s="576"/>
      <c r="C571" s="25" t="s">
        <v>825</v>
      </c>
      <c r="D571" s="308" t="s">
        <v>3024</v>
      </c>
      <c r="E571" s="16">
        <v>2</v>
      </c>
      <c r="F571" s="543"/>
    </row>
    <row r="572" spans="1:6">
      <c r="A572" s="573"/>
      <c r="B572" s="576"/>
      <c r="C572" s="25" t="s">
        <v>827</v>
      </c>
      <c r="D572" s="308" t="s">
        <v>2481</v>
      </c>
      <c r="E572" s="16">
        <v>2</v>
      </c>
      <c r="F572" s="543"/>
    </row>
    <row r="573" spans="1:6">
      <c r="A573" s="573"/>
      <c r="B573" s="576"/>
      <c r="C573" s="25" t="s">
        <v>828</v>
      </c>
      <c r="D573" s="308" t="s">
        <v>3025</v>
      </c>
      <c r="E573" s="16">
        <v>2</v>
      </c>
      <c r="F573" s="543"/>
    </row>
    <row r="574" spans="1:6">
      <c r="A574" s="573"/>
      <c r="B574" s="576"/>
      <c r="C574" s="25" t="s">
        <v>830</v>
      </c>
      <c r="D574" s="308" t="s">
        <v>2482</v>
      </c>
      <c r="E574" s="16">
        <v>2</v>
      </c>
      <c r="F574" s="543"/>
    </row>
    <row r="575" spans="1:6">
      <c r="A575" s="573"/>
      <c r="B575" s="576"/>
      <c r="C575" s="25" t="s">
        <v>831</v>
      </c>
      <c r="D575" s="308" t="s">
        <v>2483</v>
      </c>
      <c r="E575" s="16">
        <v>4</v>
      </c>
      <c r="F575" s="543"/>
    </row>
    <row r="576" spans="1:6">
      <c r="A576" s="573"/>
      <c r="B576" s="581"/>
      <c r="C576" s="63" t="s">
        <v>832</v>
      </c>
      <c r="D576" s="337" t="s">
        <v>2484</v>
      </c>
      <c r="E576" s="52">
        <v>2</v>
      </c>
      <c r="F576" s="547"/>
    </row>
    <row r="577" spans="1:6">
      <c r="A577" s="573"/>
      <c r="B577" s="580" t="s">
        <v>833</v>
      </c>
      <c r="C577" s="71" t="s">
        <v>834</v>
      </c>
      <c r="D577" s="325" t="s">
        <v>3026</v>
      </c>
      <c r="E577" s="48">
        <v>3</v>
      </c>
      <c r="F577" s="548"/>
    </row>
    <row r="578" spans="1:6">
      <c r="A578" s="573"/>
      <c r="B578" s="576"/>
      <c r="C578" s="25" t="s">
        <v>836</v>
      </c>
      <c r="D578" s="310" t="s">
        <v>2485</v>
      </c>
      <c r="E578" s="16">
        <v>3</v>
      </c>
      <c r="F578" s="543"/>
    </row>
    <row r="579" spans="1:6">
      <c r="A579" s="573"/>
      <c r="B579" s="576"/>
      <c r="C579" s="25" t="s">
        <v>837</v>
      </c>
      <c r="D579" s="310" t="s">
        <v>2486</v>
      </c>
      <c r="E579" s="16">
        <v>4</v>
      </c>
      <c r="F579" s="543"/>
    </row>
    <row r="580" spans="1:6">
      <c r="A580" s="573"/>
      <c r="B580" s="576"/>
      <c r="C580" s="454" t="s">
        <v>838</v>
      </c>
      <c r="D580" s="455" t="s">
        <v>2487</v>
      </c>
      <c r="E580" s="456">
        <v>5</v>
      </c>
      <c r="F580" s="550" t="s">
        <v>1264</v>
      </c>
    </row>
    <row r="581" spans="1:6">
      <c r="A581" s="573"/>
      <c r="B581" s="576"/>
      <c r="C581" s="25" t="s">
        <v>839</v>
      </c>
      <c r="D581" s="310" t="s">
        <v>2488</v>
      </c>
      <c r="E581" s="16">
        <v>4</v>
      </c>
      <c r="F581" s="543"/>
    </row>
    <row r="582" spans="1:6">
      <c r="A582" s="573"/>
      <c r="B582" s="576"/>
      <c r="C582" s="25" t="s">
        <v>840</v>
      </c>
      <c r="D582" s="310" t="s">
        <v>3027</v>
      </c>
      <c r="E582" s="16">
        <v>2</v>
      </c>
      <c r="F582" s="543"/>
    </row>
    <row r="583" spans="1:6">
      <c r="A583" s="573"/>
      <c r="B583" s="576"/>
      <c r="C583" s="25" t="s">
        <v>843</v>
      </c>
      <c r="D583" s="308" t="s">
        <v>3028</v>
      </c>
      <c r="E583" s="16">
        <v>2</v>
      </c>
      <c r="F583" s="543"/>
    </row>
    <row r="584" spans="1:6">
      <c r="A584" s="573"/>
      <c r="B584" s="576"/>
      <c r="C584" s="25" t="s">
        <v>845</v>
      </c>
      <c r="D584" s="308" t="s">
        <v>3029</v>
      </c>
      <c r="E584" s="16">
        <v>2</v>
      </c>
      <c r="F584" s="543"/>
    </row>
    <row r="585" spans="1:6">
      <c r="A585" s="573"/>
      <c r="B585" s="576"/>
      <c r="C585" s="51" t="s">
        <v>847</v>
      </c>
      <c r="D585" s="321" t="s">
        <v>2489</v>
      </c>
      <c r="E585" s="16">
        <v>3</v>
      </c>
      <c r="F585" s="547"/>
    </row>
    <row r="586" spans="1:6">
      <c r="A586" s="573"/>
      <c r="B586" s="580" t="s">
        <v>848</v>
      </c>
      <c r="C586" s="22" t="s">
        <v>849</v>
      </c>
      <c r="D586" s="313" t="s">
        <v>3030</v>
      </c>
      <c r="E586" s="145">
        <v>3</v>
      </c>
      <c r="F586" s="548"/>
    </row>
    <row r="587" spans="1:6">
      <c r="A587" s="573"/>
      <c r="B587" s="576"/>
      <c r="C587" s="25" t="s">
        <v>851</v>
      </c>
      <c r="D587" s="310" t="s">
        <v>2354</v>
      </c>
      <c r="E587" s="29">
        <v>3</v>
      </c>
      <c r="F587" s="543"/>
    </row>
    <row r="588" spans="1:6">
      <c r="A588" s="573"/>
      <c r="B588" s="576"/>
      <c r="C588" s="25" t="s">
        <v>852</v>
      </c>
      <c r="D588" s="310" t="s">
        <v>2490</v>
      </c>
      <c r="E588" s="29">
        <v>3</v>
      </c>
      <c r="F588" s="543"/>
    </row>
    <row r="589" spans="1:6">
      <c r="A589" s="573"/>
      <c r="B589" s="576"/>
      <c r="C589" s="25" t="s">
        <v>853</v>
      </c>
      <c r="D589" s="310" t="s">
        <v>2491</v>
      </c>
      <c r="E589" s="29">
        <v>3</v>
      </c>
      <c r="F589" s="543"/>
    </row>
    <row r="590" spans="1:6">
      <c r="A590" s="573"/>
      <c r="B590" s="576"/>
      <c r="C590" s="25" t="s">
        <v>854</v>
      </c>
      <c r="D590" s="308" t="s">
        <v>2492</v>
      </c>
      <c r="E590" s="29">
        <v>4</v>
      </c>
      <c r="F590" s="543"/>
    </row>
    <row r="591" spans="1:6">
      <c r="A591" s="573"/>
      <c r="B591" s="576"/>
      <c r="C591" s="25" t="s">
        <v>855</v>
      </c>
      <c r="D591" s="308" t="s">
        <v>2493</v>
      </c>
      <c r="E591" s="29">
        <v>3</v>
      </c>
      <c r="F591" s="543"/>
    </row>
    <row r="592" spans="1:6">
      <c r="A592" s="573"/>
      <c r="B592" s="576"/>
      <c r="C592" s="25" t="s">
        <v>856</v>
      </c>
      <c r="D592" s="308" t="s">
        <v>2477</v>
      </c>
      <c r="E592" s="16">
        <v>1</v>
      </c>
      <c r="F592" s="543"/>
    </row>
    <row r="593" spans="1:6">
      <c r="A593" s="573"/>
      <c r="B593" s="576"/>
      <c r="C593" s="25" t="s">
        <v>857</v>
      </c>
      <c r="D593" s="308" t="s">
        <v>3031</v>
      </c>
      <c r="E593" s="16">
        <v>2</v>
      </c>
      <c r="F593" s="543"/>
    </row>
    <row r="594" spans="1:6">
      <c r="A594" s="573"/>
      <c r="B594" s="576"/>
      <c r="C594" s="25" t="s">
        <v>859</v>
      </c>
      <c r="D594" s="308" t="s">
        <v>2494</v>
      </c>
      <c r="E594" s="16">
        <v>3</v>
      </c>
      <c r="F594" s="543"/>
    </row>
    <row r="595" spans="1:6">
      <c r="A595" s="573"/>
      <c r="B595" s="576"/>
      <c r="C595" s="25" t="s">
        <v>860</v>
      </c>
      <c r="D595" s="308" t="s">
        <v>2495</v>
      </c>
      <c r="E595" s="16">
        <v>3</v>
      </c>
      <c r="F595" s="543"/>
    </row>
    <row r="596" spans="1:6">
      <c r="A596" s="573"/>
      <c r="B596" s="576"/>
      <c r="C596" s="25" t="s">
        <v>861</v>
      </c>
      <c r="D596" s="308" t="s">
        <v>2496</v>
      </c>
      <c r="E596" s="16">
        <v>4</v>
      </c>
      <c r="F596" s="543"/>
    </row>
    <row r="597" spans="1:6">
      <c r="A597" s="573"/>
      <c r="B597" s="576"/>
      <c r="C597" s="22" t="s">
        <v>3032</v>
      </c>
      <c r="D597" s="348" t="s">
        <v>2939</v>
      </c>
      <c r="E597" s="117">
        <v>1</v>
      </c>
      <c r="F597" s="543"/>
    </row>
    <row r="598" spans="1:6">
      <c r="A598" s="573"/>
      <c r="B598" s="581"/>
      <c r="C598" s="143" t="s">
        <v>3033</v>
      </c>
      <c r="D598" s="443" t="s">
        <v>2955</v>
      </c>
      <c r="E598" s="118">
        <v>2</v>
      </c>
      <c r="F598" s="547"/>
    </row>
    <row r="599" spans="1:6">
      <c r="A599" s="573"/>
      <c r="B599" s="580" t="s">
        <v>867</v>
      </c>
      <c r="C599" s="71" t="s">
        <v>868</v>
      </c>
      <c r="D599" s="339" t="s">
        <v>3034</v>
      </c>
      <c r="E599" s="145">
        <v>2</v>
      </c>
      <c r="F599" s="548"/>
    </row>
    <row r="600" spans="1:6">
      <c r="A600" s="573"/>
      <c r="B600" s="576"/>
      <c r="C600" s="25" t="s">
        <v>870</v>
      </c>
      <c r="D600" s="308" t="s">
        <v>2497</v>
      </c>
      <c r="E600" s="29">
        <v>2</v>
      </c>
      <c r="F600" s="543"/>
    </row>
    <row r="601" spans="1:6">
      <c r="A601" s="573"/>
      <c r="B601" s="576"/>
      <c r="C601" s="25" t="s">
        <v>871</v>
      </c>
      <c r="D601" s="308" t="s">
        <v>3035</v>
      </c>
      <c r="E601" s="29">
        <v>3</v>
      </c>
      <c r="F601" s="543"/>
    </row>
    <row r="602" spans="1:6">
      <c r="A602" s="573"/>
      <c r="B602" s="576"/>
      <c r="C602" s="25" t="s">
        <v>873</v>
      </c>
      <c r="D602" s="308" t="s">
        <v>2498</v>
      </c>
      <c r="E602" s="29">
        <v>3</v>
      </c>
      <c r="F602" s="543"/>
    </row>
    <row r="603" spans="1:6">
      <c r="A603" s="573"/>
      <c r="B603" s="576"/>
      <c r="C603" s="25" t="s">
        <v>874</v>
      </c>
      <c r="D603" s="308" t="s">
        <v>3036</v>
      </c>
      <c r="E603" s="29">
        <v>1</v>
      </c>
      <c r="F603" s="543"/>
    </row>
    <row r="604" spans="1:6">
      <c r="A604" s="573"/>
      <c r="B604" s="576"/>
      <c r="C604" s="132" t="s">
        <v>876</v>
      </c>
      <c r="D604" s="332" t="s">
        <v>3037</v>
      </c>
      <c r="E604" s="29">
        <v>3</v>
      </c>
      <c r="F604" s="543"/>
    </row>
    <row r="605" spans="1:6">
      <c r="A605" s="573"/>
      <c r="B605" s="576"/>
      <c r="C605" s="25" t="s">
        <v>879</v>
      </c>
      <c r="D605" s="308" t="s">
        <v>3038</v>
      </c>
      <c r="E605" s="16">
        <v>2</v>
      </c>
      <c r="F605" s="543"/>
    </row>
    <row r="606" spans="1:6">
      <c r="A606" s="573"/>
      <c r="B606" s="576"/>
      <c r="C606" s="25" t="s">
        <v>881</v>
      </c>
      <c r="D606" s="308" t="s">
        <v>3039</v>
      </c>
      <c r="E606" s="16">
        <v>2</v>
      </c>
      <c r="F606" s="543"/>
    </row>
    <row r="607" spans="1:6">
      <c r="A607" s="573"/>
      <c r="B607" s="576"/>
      <c r="C607" s="51" t="s">
        <v>883</v>
      </c>
      <c r="D607" s="319" t="s">
        <v>2499</v>
      </c>
      <c r="E607" s="16">
        <v>3</v>
      </c>
      <c r="F607" s="547"/>
    </row>
    <row r="608" spans="1:6">
      <c r="A608" s="573"/>
      <c r="B608" s="580" t="s">
        <v>884</v>
      </c>
      <c r="C608" s="22" t="s">
        <v>885</v>
      </c>
      <c r="D608" s="313" t="s">
        <v>3040</v>
      </c>
      <c r="E608" s="145">
        <v>3</v>
      </c>
      <c r="F608" s="548"/>
    </row>
    <row r="609" spans="1:6">
      <c r="A609" s="573"/>
      <c r="B609" s="576"/>
      <c r="C609" s="25" t="s">
        <v>887</v>
      </c>
      <c r="D609" s="310" t="s">
        <v>3041</v>
      </c>
      <c r="E609" s="93">
        <v>4</v>
      </c>
      <c r="F609" s="547"/>
    </row>
    <row r="610" spans="1:6">
      <c r="A610" s="573"/>
      <c r="B610" s="580" t="s">
        <v>889</v>
      </c>
      <c r="C610" s="71" t="s">
        <v>890</v>
      </c>
      <c r="D610" s="325" t="s">
        <v>2500</v>
      </c>
      <c r="E610" s="159">
        <v>3</v>
      </c>
      <c r="F610" s="548"/>
    </row>
    <row r="611" spans="1:6">
      <c r="A611" s="573"/>
      <c r="B611" s="576"/>
      <c r="C611" s="25" t="s">
        <v>891</v>
      </c>
      <c r="D611" s="310" t="s">
        <v>3042</v>
      </c>
      <c r="E611" s="83">
        <v>2</v>
      </c>
      <c r="F611" s="543"/>
    </row>
    <row r="612" spans="1:6">
      <c r="A612" s="573"/>
      <c r="B612" s="576"/>
      <c r="C612" s="25" t="s">
        <v>893</v>
      </c>
      <c r="D612" s="310" t="s">
        <v>2478</v>
      </c>
      <c r="E612" s="16">
        <v>3</v>
      </c>
      <c r="F612" s="543"/>
    </row>
    <row r="613" spans="1:6">
      <c r="A613" s="573"/>
      <c r="B613" s="576"/>
      <c r="C613" s="25" t="s">
        <v>895</v>
      </c>
      <c r="D613" s="310" t="s">
        <v>2501</v>
      </c>
      <c r="E613" s="16">
        <v>3</v>
      </c>
      <c r="F613" s="543"/>
    </row>
    <row r="614" spans="1:6">
      <c r="A614" s="573"/>
      <c r="B614" s="576"/>
      <c r="C614" s="25" t="s">
        <v>896</v>
      </c>
      <c r="D614" s="310" t="s">
        <v>2502</v>
      </c>
      <c r="E614" s="16">
        <v>2</v>
      </c>
      <c r="F614" s="543"/>
    </row>
    <row r="615" spans="1:6">
      <c r="A615" s="573"/>
      <c r="B615" s="576"/>
      <c r="C615" s="25" t="s">
        <v>897</v>
      </c>
      <c r="D615" s="308" t="s">
        <v>3043</v>
      </c>
      <c r="E615" s="16">
        <v>2</v>
      </c>
      <c r="F615" s="543"/>
    </row>
    <row r="616" spans="1:6">
      <c r="A616" s="573"/>
      <c r="B616" s="576"/>
      <c r="C616" s="25" t="s">
        <v>899</v>
      </c>
      <c r="D616" s="308" t="s">
        <v>3044</v>
      </c>
      <c r="E616" s="16">
        <v>2</v>
      </c>
      <c r="F616" s="543"/>
    </row>
    <row r="617" spans="1:6">
      <c r="A617" s="573"/>
      <c r="B617" s="576"/>
      <c r="C617" s="25" t="s">
        <v>901</v>
      </c>
      <c r="D617" s="308" t="s">
        <v>3045</v>
      </c>
      <c r="E617" s="16">
        <v>2</v>
      </c>
      <c r="F617" s="543"/>
    </row>
    <row r="618" spans="1:6">
      <c r="A618" s="573"/>
      <c r="B618" s="576"/>
      <c r="C618" s="25" t="s">
        <v>903</v>
      </c>
      <c r="D618" s="308" t="s">
        <v>2967</v>
      </c>
      <c r="E618" s="16">
        <v>2</v>
      </c>
      <c r="F618" s="543"/>
    </row>
    <row r="619" spans="1:6">
      <c r="A619" s="573"/>
      <c r="B619" s="576"/>
      <c r="C619" s="25" t="s">
        <v>905</v>
      </c>
      <c r="D619" s="308" t="s">
        <v>2503</v>
      </c>
      <c r="E619" s="16">
        <v>3</v>
      </c>
      <c r="F619" s="543"/>
    </row>
    <row r="620" spans="1:6">
      <c r="A620" s="573"/>
      <c r="B620" s="576"/>
      <c r="C620" s="25" t="s">
        <v>906</v>
      </c>
      <c r="D620" s="308" t="s">
        <v>2354</v>
      </c>
      <c r="E620" s="16">
        <v>2</v>
      </c>
      <c r="F620" s="543"/>
    </row>
    <row r="621" spans="1:6">
      <c r="A621" s="573"/>
      <c r="B621" s="576"/>
      <c r="C621" s="25" t="s">
        <v>907</v>
      </c>
      <c r="D621" s="308" t="s">
        <v>2504</v>
      </c>
      <c r="E621" s="16">
        <v>2</v>
      </c>
      <c r="F621" s="543"/>
    </row>
    <row r="622" spans="1:6">
      <c r="A622" s="573"/>
      <c r="B622" s="576"/>
      <c r="C622" s="25" t="s">
        <v>908</v>
      </c>
      <c r="D622" s="308" t="s">
        <v>2505</v>
      </c>
      <c r="E622" s="16">
        <v>4</v>
      </c>
      <c r="F622" s="543"/>
    </row>
    <row r="623" spans="1:6">
      <c r="A623" s="573"/>
      <c r="B623" s="576"/>
      <c r="C623" s="34" t="s">
        <v>909</v>
      </c>
      <c r="D623" s="315" t="s">
        <v>2506</v>
      </c>
      <c r="E623" s="16">
        <v>4</v>
      </c>
      <c r="F623" s="543"/>
    </row>
    <row r="624" spans="1:6">
      <c r="A624" s="573"/>
      <c r="B624" s="576"/>
      <c r="C624" s="35" t="s">
        <v>3046</v>
      </c>
      <c r="D624" s="396" t="s">
        <v>2939</v>
      </c>
      <c r="E624" s="16">
        <v>1</v>
      </c>
      <c r="F624" s="543"/>
    </row>
    <row r="625" spans="1:6">
      <c r="A625" s="573"/>
      <c r="B625" s="576"/>
      <c r="C625" s="35" t="s">
        <v>3047</v>
      </c>
      <c r="D625" s="396" t="s">
        <v>2955</v>
      </c>
      <c r="E625" s="48">
        <v>2</v>
      </c>
      <c r="F625" s="543"/>
    </row>
    <row r="626" spans="1:6">
      <c r="A626" s="573"/>
      <c r="B626" s="581"/>
      <c r="C626" s="143" t="s">
        <v>3048</v>
      </c>
      <c r="D626" s="316" t="s">
        <v>3049</v>
      </c>
      <c r="E626" s="48">
        <v>1</v>
      </c>
      <c r="F626" s="547"/>
    </row>
    <row r="627" spans="1:6">
      <c r="A627" s="573"/>
      <c r="B627" s="580" t="s">
        <v>918</v>
      </c>
      <c r="C627" s="22" t="s">
        <v>919</v>
      </c>
      <c r="D627" s="313" t="s">
        <v>3050</v>
      </c>
      <c r="E627" s="82">
        <v>2</v>
      </c>
      <c r="F627" s="548"/>
    </row>
    <row r="628" spans="1:6">
      <c r="A628" s="573"/>
      <c r="B628" s="576"/>
      <c r="C628" s="25" t="s">
        <v>921</v>
      </c>
      <c r="D628" s="310" t="s">
        <v>2507</v>
      </c>
      <c r="E628" s="83">
        <v>4</v>
      </c>
      <c r="F628" s="543"/>
    </row>
    <row r="629" spans="1:6">
      <c r="A629" s="573"/>
      <c r="B629" s="576"/>
      <c r="C629" s="25" t="s">
        <v>922</v>
      </c>
      <c r="D629" s="310" t="s">
        <v>2386</v>
      </c>
      <c r="E629" s="29">
        <v>3</v>
      </c>
      <c r="F629" s="543"/>
    </row>
    <row r="630" spans="1:6">
      <c r="A630" s="573"/>
      <c r="B630" s="576"/>
      <c r="C630" s="25" t="s">
        <v>923</v>
      </c>
      <c r="D630" s="310" t="s">
        <v>2967</v>
      </c>
      <c r="E630" s="29">
        <v>3</v>
      </c>
      <c r="F630" s="543"/>
    </row>
    <row r="631" spans="1:6">
      <c r="A631" s="573"/>
      <c r="B631" s="576"/>
      <c r="C631" s="454" t="s">
        <v>925</v>
      </c>
      <c r="D631" s="455" t="s">
        <v>2387</v>
      </c>
      <c r="E631" s="476">
        <v>5</v>
      </c>
      <c r="F631" s="550" t="s">
        <v>1264</v>
      </c>
    </row>
    <row r="632" spans="1:6">
      <c r="A632" s="573"/>
      <c r="B632" s="576"/>
      <c r="C632" s="454" t="s">
        <v>926</v>
      </c>
      <c r="D632" s="455" t="s">
        <v>2398</v>
      </c>
      <c r="E632" s="476">
        <v>5</v>
      </c>
      <c r="F632" s="550" t="s">
        <v>1264</v>
      </c>
    </row>
    <row r="633" spans="1:6">
      <c r="A633" s="573"/>
      <c r="B633" s="576"/>
      <c r="C633" s="454" t="s">
        <v>927</v>
      </c>
      <c r="D633" s="455" t="s">
        <v>2397</v>
      </c>
      <c r="E633" s="476">
        <v>5</v>
      </c>
      <c r="F633" s="550" t="s">
        <v>1264</v>
      </c>
    </row>
    <row r="634" spans="1:6">
      <c r="A634" s="573"/>
      <c r="B634" s="576"/>
      <c r="C634" s="454" t="s">
        <v>928</v>
      </c>
      <c r="D634" s="457" t="s">
        <v>2396</v>
      </c>
      <c r="E634" s="476">
        <v>5</v>
      </c>
      <c r="F634" s="550" t="s">
        <v>1264</v>
      </c>
    </row>
    <row r="635" spans="1:6">
      <c r="A635" s="573"/>
      <c r="B635" s="576"/>
      <c r="C635" s="25" t="s">
        <v>3052</v>
      </c>
      <c r="D635" s="308" t="s">
        <v>2957</v>
      </c>
      <c r="E635" s="29">
        <v>4</v>
      </c>
      <c r="F635" s="543"/>
    </row>
    <row r="636" spans="1:6">
      <c r="A636" s="573"/>
      <c r="B636" s="576"/>
      <c r="C636" s="454" t="s">
        <v>932</v>
      </c>
      <c r="D636" s="457" t="s">
        <v>2390</v>
      </c>
      <c r="E636" s="476">
        <v>5</v>
      </c>
      <c r="F636" s="550" t="s">
        <v>1264</v>
      </c>
    </row>
    <row r="637" spans="1:6">
      <c r="A637" s="573"/>
      <c r="B637" s="576"/>
      <c r="C637" s="25" t="s">
        <v>933</v>
      </c>
      <c r="D637" s="308" t="s">
        <v>2388</v>
      </c>
      <c r="E637" s="29">
        <v>4</v>
      </c>
      <c r="F637" s="543"/>
    </row>
    <row r="638" spans="1:6">
      <c r="A638" s="573"/>
      <c r="B638" s="576"/>
      <c r="C638" s="454" t="s">
        <v>934</v>
      </c>
      <c r="D638" s="457" t="s">
        <v>2389</v>
      </c>
      <c r="E638" s="476">
        <v>5</v>
      </c>
      <c r="F638" s="550" t="s">
        <v>1264</v>
      </c>
    </row>
    <row r="639" spans="1:6">
      <c r="A639" s="573"/>
      <c r="B639" s="576"/>
      <c r="C639" s="25" t="s">
        <v>935</v>
      </c>
      <c r="D639" s="308" t="s">
        <v>3053</v>
      </c>
      <c r="E639" s="177">
        <v>2</v>
      </c>
      <c r="F639" s="543"/>
    </row>
    <row r="640" spans="1:6">
      <c r="A640" s="573"/>
      <c r="B640" s="576"/>
      <c r="C640" s="25" t="s">
        <v>937</v>
      </c>
      <c r="D640" s="308" t="s">
        <v>2508</v>
      </c>
      <c r="E640" s="177">
        <v>3</v>
      </c>
      <c r="F640" s="543"/>
    </row>
    <row r="641" spans="1:6">
      <c r="A641" s="573"/>
      <c r="B641" s="576"/>
      <c r="C641" s="22" t="s">
        <v>3054</v>
      </c>
      <c r="D641" s="348" t="s">
        <v>2939</v>
      </c>
      <c r="E641" s="180">
        <v>1</v>
      </c>
      <c r="F641" s="543"/>
    </row>
    <row r="642" spans="1:6">
      <c r="A642" s="573"/>
      <c r="B642" s="581"/>
      <c r="C642" s="22" t="s">
        <v>3055</v>
      </c>
      <c r="D642" s="348" t="s">
        <v>2955</v>
      </c>
      <c r="E642" s="181">
        <v>2</v>
      </c>
      <c r="F642" s="547"/>
    </row>
    <row r="643" spans="1:6">
      <c r="A643" s="573"/>
      <c r="B643" s="577" t="s">
        <v>942</v>
      </c>
      <c r="C643" s="71" t="s">
        <v>943</v>
      </c>
      <c r="D643" s="346" t="s">
        <v>3056</v>
      </c>
      <c r="E643" s="183">
        <v>3</v>
      </c>
      <c r="F643" s="548"/>
    </row>
    <row r="644" spans="1:6">
      <c r="A644" s="573"/>
      <c r="B644" s="578"/>
      <c r="C644" s="25" t="s">
        <v>945</v>
      </c>
      <c r="D644" s="333" t="s">
        <v>3057</v>
      </c>
      <c r="E644" s="177">
        <v>3</v>
      </c>
      <c r="F644" s="543"/>
    </row>
    <row r="645" spans="1:6">
      <c r="A645" s="573"/>
      <c r="B645" s="578"/>
      <c r="C645" s="25" t="s">
        <v>947</v>
      </c>
      <c r="D645" s="333" t="s">
        <v>2509</v>
      </c>
      <c r="E645" s="177">
        <v>3</v>
      </c>
      <c r="F645" s="543"/>
    </row>
    <row r="646" spans="1:6">
      <c r="A646" s="573"/>
      <c r="B646" s="578"/>
      <c r="C646" s="34" t="s">
        <v>948</v>
      </c>
      <c r="D646" s="347" t="s">
        <v>2510</v>
      </c>
      <c r="E646" s="177">
        <v>4</v>
      </c>
      <c r="F646" s="543"/>
    </row>
    <row r="647" spans="1:6">
      <c r="A647" s="573"/>
      <c r="B647" s="579"/>
      <c r="C647" s="143" t="s">
        <v>3058</v>
      </c>
      <c r="D647" s="398" t="s">
        <v>3059</v>
      </c>
      <c r="E647" s="188">
        <v>2</v>
      </c>
      <c r="F647" s="547"/>
    </row>
    <row r="648" spans="1:6">
      <c r="A648" s="573"/>
      <c r="B648" s="592" t="s">
        <v>952</v>
      </c>
      <c r="C648" s="22" t="s">
        <v>953</v>
      </c>
      <c r="D648" s="348" t="s">
        <v>3060</v>
      </c>
      <c r="E648" s="183">
        <v>2</v>
      </c>
      <c r="F648" s="548"/>
    </row>
    <row r="649" spans="1:6">
      <c r="A649" s="573"/>
      <c r="B649" s="593"/>
      <c r="C649" s="25" t="s">
        <v>955</v>
      </c>
      <c r="D649" s="333" t="s">
        <v>3061</v>
      </c>
      <c r="E649" s="177">
        <v>2</v>
      </c>
      <c r="F649" s="547"/>
    </row>
    <row r="650" spans="1:6">
      <c r="A650" s="573"/>
      <c r="B650" s="580" t="s">
        <v>957</v>
      </c>
      <c r="C650" s="71" t="s">
        <v>958</v>
      </c>
      <c r="D650" s="325" t="s">
        <v>2511</v>
      </c>
      <c r="E650" s="193">
        <v>2</v>
      </c>
      <c r="F650" s="548"/>
    </row>
    <row r="651" spans="1:6">
      <c r="A651" s="573"/>
      <c r="B651" s="576"/>
      <c r="C651" s="22" t="s">
        <v>959</v>
      </c>
      <c r="D651" s="313" t="s">
        <v>2512</v>
      </c>
      <c r="E651" s="183">
        <v>3</v>
      </c>
      <c r="F651" s="543"/>
    </row>
    <row r="652" spans="1:6">
      <c r="A652" s="573"/>
      <c r="B652" s="576"/>
      <c r="C652" s="25" t="s">
        <v>960</v>
      </c>
      <c r="D652" s="333" t="s">
        <v>2513</v>
      </c>
      <c r="E652" s="177">
        <v>2</v>
      </c>
      <c r="F652" s="543"/>
    </row>
    <row r="653" spans="1:6">
      <c r="A653" s="573"/>
      <c r="B653" s="576"/>
      <c r="C653" s="25" t="s">
        <v>961</v>
      </c>
      <c r="D653" s="310" t="s">
        <v>2514</v>
      </c>
      <c r="E653" s="177">
        <v>2</v>
      </c>
      <c r="F653" s="543"/>
    </row>
    <row r="654" spans="1:6">
      <c r="A654" s="573"/>
      <c r="B654" s="576"/>
      <c r="C654" s="25" t="s">
        <v>962</v>
      </c>
      <c r="D654" s="333" t="s">
        <v>2515</v>
      </c>
      <c r="E654" s="177">
        <v>2</v>
      </c>
      <c r="F654" s="543"/>
    </row>
    <row r="655" spans="1:6">
      <c r="A655" s="573"/>
      <c r="B655" s="576"/>
      <c r="C655" s="25" t="s">
        <v>963</v>
      </c>
      <c r="D655" s="333" t="s">
        <v>2516</v>
      </c>
      <c r="E655" s="177">
        <v>2</v>
      </c>
      <c r="F655" s="543"/>
    </row>
    <row r="656" spans="1:6">
      <c r="A656" s="573"/>
      <c r="B656" s="576"/>
      <c r="C656" s="25" t="s">
        <v>964</v>
      </c>
      <c r="D656" s="333" t="s">
        <v>2517</v>
      </c>
      <c r="E656" s="177">
        <v>3</v>
      </c>
      <c r="F656" s="543"/>
    </row>
    <row r="657" spans="1:6">
      <c r="A657" s="573"/>
      <c r="B657" s="576"/>
      <c r="C657" s="25" t="s">
        <v>965</v>
      </c>
      <c r="D657" s="333" t="s">
        <v>3062</v>
      </c>
      <c r="E657" s="177">
        <v>3</v>
      </c>
      <c r="F657" s="543"/>
    </row>
    <row r="658" spans="1:6">
      <c r="A658" s="573"/>
      <c r="B658" s="576"/>
      <c r="C658" s="25" t="s">
        <v>968</v>
      </c>
      <c r="D658" s="333" t="s">
        <v>2518</v>
      </c>
      <c r="E658" s="177">
        <v>3</v>
      </c>
      <c r="F658" s="543"/>
    </row>
    <row r="659" spans="1:6">
      <c r="A659" s="573"/>
      <c r="B659" s="576"/>
      <c r="C659" s="25" t="s">
        <v>969</v>
      </c>
      <c r="D659" s="333" t="s">
        <v>2519</v>
      </c>
      <c r="E659" s="177">
        <v>3</v>
      </c>
      <c r="F659" s="543"/>
    </row>
    <row r="660" spans="1:6">
      <c r="A660" s="573"/>
      <c r="B660" s="576"/>
      <c r="C660" s="34" t="s">
        <v>970</v>
      </c>
      <c r="D660" s="334" t="s">
        <v>2520</v>
      </c>
      <c r="E660" s="177">
        <v>4</v>
      </c>
      <c r="F660" s="543"/>
    </row>
    <row r="661" spans="1:6">
      <c r="A661" s="573"/>
      <c r="B661" s="576"/>
      <c r="C661" s="136" t="s">
        <v>3063</v>
      </c>
      <c r="D661" s="349" t="s">
        <v>3064</v>
      </c>
      <c r="E661" s="194">
        <v>3</v>
      </c>
      <c r="F661" s="547"/>
    </row>
    <row r="662" spans="1:6">
      <c r="A662" s="573"/>
      <c r="B662" s="577" t="s">
        <v>3075</v>
      </c>
      <c r="C662" s="71" t="s">
        <v>3065</v>
      </c>
      <c r="D662" s="350" t="s">
        <v>3066</v>
      </c>
      <c r="E662" s="196">
        <v>2</v>
      </c>
      <c r="F662" s="548"/>
    </row>
    <row r="663" spans="1:6">
      <c r="A663" s="573"/>
      <c r="B663" s="578"/>
      <c r="C663" s="25" t="s">
        <v>3067</v>
      </c>
      <c r="D663" s="351" t="s">
        <v>3068</v>
      </c>
      <c r="E663" s="200">
        <v>2</v>
      </c>
      <c r="F663" s="543"/>
    </row>
    <row r="664" spans="1:6">
      <c r="A664" s="573"/>
      <c r="B664" s="578"/>
      <c r="C664" s="142" t="s">
        <v>3069</v>
      </c>
      <c r="D664" s="315" t="s">
        <v>3070</v>
      </c>
      <c r="E664" s="183">
        <v>2</v>
      </c>
      <c r="F664" s="543"/>
    </row>
    <row r="665" spans="1:6">
      <c r="A665" s="573"/>
      <c r="B665" s="578"/>
      <c r="C665" s="35" t="s">
        <v>3071</v>
      </c>
      <c r="D665" s="396" t="s">
        <v>3072</v>
      </c>
      <c r="E665" s="177">
        <v>2</v>
      </c>
      <c r="F665" s="543"/>
    </row>
    <row r="666" spans="1:6" ht="19.5" thickBot="1">
      <c r="A666" s="573"/>
      <c r="B666" s="589"/>
      <c r="C666" s="35" t="s">
        <v>3073</v>
      </c>
      <c r="D666" s="423" t="s">
        <v>3074</v>
      </c>
      <c r="E666" s="204">
        <v>2</v>
      </c>
      <c r="F666" s="549"/>
    </row>
    <row r="667" spans="1:6" ht="19.5" thickTop="1">
      <c r="A667" s="572" t="s">
        <v>988</v>
      </c>
      <c r="B667" s="590" t="s">
        <v>989</v>
      </c>
      <c r="C667" s="7" t="s">
        <v>990</v>
      </c>
      <c r="D667" s="313" t="s">
        <v>2080</v>
      </c>
      <c r="E667" s="48">
        <v>1</v>
      </c>
      <c r="F667" s="548"/>
    </row>
    <row r="668" spans="1:6">
      <c r="A668" s="573"/>
      <c r="B668" s="585"/>
      <c r="C668" s="25" t="s">
        <v>991</v>
      </c>
      <c r="D668" s="310" t="s">
        <v>2521</v>
      </c>
      <c r="E668" s="16">
        <v>2</v>
      </c>
      <c r="F668" s="543"/>
    </row>
    <row r="669" spans="1:6">
      <c r="A669" s="573"/>
      <c r="B669" s="585"/>
      <c r="C669" s="25" t="s">
        <v>992</v>
      </c>
      <c r="D669" s="310" t="s">
        <v>2522</v>
      </c>
      <c r="E669" s="16">
        <v>2</v>
      </c>
      <c r="F669" s="543"/>
    </row>
    <row r="670" spans="1:6" ht="19.5">
      <c r="A670" s="573"/>
      <c r="B670" s="585"/>
      <c r="C670" s="454" t="s">
        <v>993</v>
      </c>
      <c r="D670" s="455" t="s">
        <v>2523</v>
      </c>
      <c r="E670" s="456" t="s">
        <v>746</v>
      </c>
      <c r="F670" s="550" t="s">
        <v>1264</v>
      </c>
    </row>
    <row r="671" spans="1:6">
      <c r="A671" s="573"/>
      <c r="B671" s="585"/>
      <c r="C671" s="25" t="s">
        <v>994</v>
      </c>
      <c r="D671" s="310" t="s">
        <v>2524</v>
      </c>
      <c r="E671" s="16">
        <v>2</v>
      </c>
      <c r="F671" s="543"/>
    </row>
    <row r="672" spans="1:6">
      <c r="A672" s="573"/>
      <c r="B672" s="585"/>
      <c r="C672" s="25" t="s">
        <v>995</v>
      </c>
      <c r="D672" s="310" t="s">
        <v>3076</v>
      </c>
      <c r="E672" s="16">
        <v>2</v>
      </c>
      <c r="F672" s="543"/>
    </row>
    <row r="673" spans="1:6">
      <c r="A673" s="573"/>
      <c r="B673" s="585"/>
      <c r="C673" s="25" t="s">
        <v>997</v>
      </c>
      <c r="D673" s="310" t="s">
        <v>3077</v>
      </c>
      <c r="E673" s="16">
        <v>1</v>
      </c>
      <c r="F673" s="543"/>
    </row>
    <row r="674" spans="1:6">
      <c r="A674" s="573"/>
      <c r="B674" s="585"/>
      <c r="C674" s="25" t="s">
        <v>999</v>
      </c>
      <c r="D674" s="308" t="s">
        <v>3078</v>
      </c>
      <c r="E674" s="16">
        <v>2</v>
      </c>
      <c r="F674" s="543"/>
    </row>
    <row r="675" spans="1:6">
      <c r="A675" s="573"/>
      <c r="B675" s="585"/>
      <c r="C675" s="132" t="s">
        <v>1001</v>
      </c>
      <c r="D675" s="332" t="s">
        <v>3079</v>
      </c>
      <c r="E675" s="16">
        <v>2</v>
      </c>
      <c r="F675" s="543"/>
    </row>
    <row r="676" spans="1:6">
      <c r="A676" s="573"/>
      <c r="B676" s="585"/>
      <c r="C676" s="25" t="s">
        <v>1004</v>
      </c>
      <c r="D676" s="308" t="s">
        <v>2525</v>
      </c>
      <c r="E676" s="16">
        <v>2</v>
      </c>
      <c r="F676" s="543"/>
    </row>
    <row r="677" spans="1:6">
      <c r="A677" s="573"/>
      <c r="B677" s="585"/>
      <c r="C677" s="25" t="s">
        <v>1005</v>
      </c>
      <c r="D677" s="308" t="s">
        <v>2526</v>
      </c>
      <c r="E677" s="16">
        <v>3</v>
      </c>
      <c r="F677" s="543"/>
    </row>
    <row r="678" spans="1:6">
      <c r="A678" s="573"/>
      <c r="B678" s="591"/>
      <c r="C678" s="63" t="s">
        <v>1006</v>
      </c>
      <c r="D678" s="337" t="s">
        <v>2489</v>
      </c>
      <c r="E678" s="52">
        <v>3</v>
      </c>
      <c r="F678" s="547"/>
    </row>
    <row r="679" spans="1:6">
      <c r="A679" s="573"/>
      <c r="B679" s="584" t="s">
        <v>1007</v>
      </c>
      <c r="C679" s="71" t="s">
        <v>1008</v>
      </c>
      <c r="D679" s="325" t="s">
        <v>2203</v>
      </c>
      <c r="E679" s="48">
        <v>1</v>
      </c>
      <c r="F679" s="548"/>
    </row>
    <row r="680" spans="1:6">
      <c r="A680" s="573"/>
      <c r="B680" s="585"/>
      <c r="C680" s="25" t="s">
        <v>1009</v>
      </c>
      <c r="D680" s="310" t="s">
        <v>2527</v>
      </c>
      <c r="E680" s="16">
        <v>2</v>
      </c>
      <c r="F680" s="543"/>
    </row>
    <row r="681" spans="1:6">
      <c r="A681" s="573"/>
      <c r="B681" s="585"/>
      <c r="C681" s="25" t="s">
        <v>1010</v>
      </c>
      <c r="D681" s="310" t="s">
        <v>2528</v>
      </c>
      <c r="E681" s="16">
        <v>2</v>
      </c>
      <c r="F681" s="543"/>
    </row>
    <row r="682" spans="1:6">
      <c r="A682" s="573"/>
      <c r="B682" s="585"/>
      <c r="C682" s="454" t="s">
        <v>1011</v>
      </c>
      <c r="D682" s="457" t="s">
        <v>2529</v>
      </c>
      <c r="E682" s="456">
        <v>5</v>
      </c>
      <c r="F682" s="550" t="s">
        <v>1264</v>
      </c>
    </row>
    <row r="683" spans="1:6">
      <c r="A683" s="573"/>
      <c r="B683" s="585"/>
      <c r="C683" s="25" t="s">
        <v>1012</v>
      </c>
      <c r="D683" s="308" t="s">
        <v>2530</v>
      </c>
      <c r="E683" s="16">
        <v>2</v>
      </c>
      <c r="F683" s="543"/>
    </row>
    <row r="684" spans="1:6">
      <c r="A684" s="573"/>
      <c r="B684" s="585"/>
      <c r="C684" s="25" t="s">
        <v>1013</v>
      </c>
      <c r="D684" s="308" t="s">
        <v>2531</v>
      </c>
      <c r="E684" s="16">
        <v>2</v>
      </c>
      <c r="F684" s="543"/>
    </row>
    <row r="685" spans="1:6">
      <c r="A685" s="573"/>
      <c r="B685" s="585"/>
      <c r="C685" s="25" t="s">
        <v>1014</v>
      </c>
      <c r="D685" s="308" t="s">
        <v>2532</v>
      </c>
      <c r="E685" s="16">
        <v>2</v>
      </c>
      <c r="F685" s="543"/>
    </row>
    <row r="686" spans="1:6">
      <c r="A686" s="573"/>
      <c r="B686" s="585"/>
      <c r="C686" s="63" t="s">
        <v>1015</v>
      </c>
      <c r="D686" s="337" t="s">
        <v>2533</v>
      </c>
      <c r="E686" s="67">
        <v>3</v>
      </c>
      <c r="F686" s="543"/>
    </row>
    <row r="687" spans="1:6" ht="19.5" thickBot="1">
      <c r="A687" s="574"/>
      <c r="B687" s="586"/>
      <c r="C687" s="15" t="s">
        <v>3080</v>
      </c>
      <c r="D687" s="399" t="s">
        <v>3081</v>
      </c>
      <c r="E687" s="139">
        <v>2</v>
      </c>
      <c r="F687" s="549"/>
    </row>
    <row r="688" spans="1:6" ht="19.5" thickTop="1">
      <c r="A688" s="572" t="s">
        <v>1019</v>
      </c>
      <c r="B688" s="575" t="s">
        <v>1020</v>
      </c>
      <c r="C688" s="22" t="s">
        <v>1021</v>
      </c>
      <c r="D688" s="313" t="s">
        <v>2534</v>
      </c>
      <c r="E688" s="48">
        <v>1</v>
      </c>
      <c r="F688" s="548"/>
    </row>
    <row r="689" spans="1:6">
      <c r="A689" s="573"/>
      <c r="B689" s="576"/>
      <c r="C689" s="25" t="s">
        <v>1022</v>
      </c>
      <c r="D689" s="310" t="s">
        <v>3082</v>
      </c>
      <c r="E689" s="16">
        <v>1</v>
      </c>
      <c r="F689" s="543"/>
    </row>
    <row r="690" spans="1:6">
      <c r="A690" s="573"/>
      <c r="B690" s="576"/>
      <c r="C690" s="25" t="s">
        <v>1025</v>
      </c>
      <c r="D690" s="310" t="s">
        <v>3083</v>
      </c>
      <c r="E690" s="16">
        <v>1</v>
      </c>
      <c r="F690" s="543"/>
    </row>
    <row r="691" spans="1:6">
      <c r="A691" s="573"/>
      <c r="B691" s="576"/>
      <c r="C691" s="25" t="s">
        <v>1027</v>
      </c>
      <c r="D691" s="310" t="s">
        <v>3084</v>
      </c>
      <c r="E691" s="16">
        <v>1</v>
      </c>
      <c r="F691" s="543"/>
    </row>
    <row r="692" spans="1:6">
      <c r="A692" s="573"/>
      <c r="B692" s="576"/>
      <c r="C692" s="25" t="s">
        <v>1029</v>
      </c>
      <c r="D692" s="310" t="s">
        <v>3085</v>
      </c>
      <c r="E692" s="16">
        <v>3</v>
      </c>
      <c r="F692" s="543"/>
    </row>
    <row r="693" spans="1:6">
      <c r="A693" s="573"/>
      <c r="B693" s="576"/>
      <c r="C693" s="25" t="s">
        <v>1031</v>
      </c>
      <c r="D693" s="310" t="s">
        <v>3086</v>
      </c>
      <c r="E693" s="16">
        <v>3</v>
      </c>
      <c r="F693" s="543"/>
    </row>
    <row r="694" spans="1:6">
      <c r="A694" s="573"/>
      <c r="B694" s="576"/>
      <c r="C694" s="25" t="s">
        <v>1033</v>
      </c>
      <c r="D694" s="308" t="s">
        <v>3087</v>
      </c>
      <c r="E694" s="16">
        <v>3</v>
      </c>
      <c r="F694" s="543"/>
    </row>
    <row r="695" spans="1:6">
      <c r="A695" s="573"/>
      <c r="B695" s="576"/>
      <c r="C695" s="25" t="s">
        <v>1035</v>
      </c>
      <c r="D695" s="310" t="s">
        <v>2535</v>
      </c>
      <c r="E695" s="16">
        <v>2</v>
      </c>
      <c r="F695" s="543"/>
    </row>
    <row r="696" spans="1:6">
      <c r="A696" s="573"/>
      <c r="B696" s="576"/>
      <c r="C696" s="25" t="s">
        <v>1036</v>
      </c>
      <c r="D696" s="310" t="s">
        <v>2536</v>
      </c>
      <c r="E696" s="16">
        <v>2</v>
      </c>
      <c r="F696" s="543"/>
    </row>
    <row r="697" spans="1:6">
      <c r="A697" s="573"/>
      <c r="B697" s="576"/>
      <c r="C697" s="25" t="s">
        <v>1037</v>
      </c>
      <c r="D697" s="310" t="s">
        <v>2537</v>
      </c>
      <c r="E697" s="16">
        <v>2</v>
      </c>
      <c r="F697" s="543"/>
    </row>
    <row r="698" spans="1:6">
      <c r="A698" s="573"/>
      <c r="B698" s="576"/>
      <c r="C698" s="25" t="s">
        <v>1038</v>
      </c>
      <c r="D698" s="310" t="s">
        <v>2909</v>
      </c>
      <c r="E698" s="16">
        <v>2</v>
      </c>
      <c r="F698" s="543"/>
    </row>
    <row r="699" spans="1:6">
      <c r="A699" s="573"/>
      <c r="B699" s="576"/>
      <c r="C699" s="132" t="s">
        <v>1040</v>
      </c>
      <c r="D699" s="314" t="s">
        <v>3088</v>
      </c>
      <c r="E699" s="16">
        <v>2</v>
      </c>
      <c r="F699" s="543"/>
    </row>
    <row r="700" spans="1:6">
      <c r="A700" s="573"/>
      <c r="B700" s="576"/>
      <c r="C700" s="25" t="s">
        <v>1043</v>
      </c>
      <c r="D700" s="310" t="s">
        <v>2538</v>
      </c>
      <c r="E700" s="16">
        <v>1</v>
      </c>
      <c r="F700" s="543"/>
    </row>
    <row r="701" spans="1:6">
      <c r="A701" s="573"/>
      <c r="B701" s="576"/>
      <c r="C701" s="22" t="s">
        <v>3089</v>
      </c>
      <c r="D701" s="310" t="s">
        <v>3090</v>
      </c>
      <c r="E701" s="67">
        <v>1</v>
      </c>
      <c r="F701" s="543"/>
    </row>
    <row r="702" spans="1:6">
      <c r="A702" s="573"/>
      <c r="B702" s="576"/>
      <c r="C702" s="22" t="s">
        <v>3091</v>
      </c>
      <c r="D702" s="310" t="s">
        <v>3092</v>
      </c>
      <c r="E702" s="67">
        <v>2</v>
      </c>
      <c r="F702" s="543"/>
    </row>
    <row r="703" spans="1:6">
      <c r="A703" s="573"/>
      <c r="B703" s="576"/>
      <c r="C703" s="22" t="s">
        <v>1050</v>
      </c>
      <c r="D703" s="310" t="s">
        <v>3093</v>
      </c>
      <c r="E703" s="67">
        <v>2</v>
      </c>
      <c r="F703" s="543"/>
    </row>
    <row r="704" spans="1:6">
      <c r="A704" s="573"/>
      <c r="B704" s="576"/>
      <c r="C704" s="22" t="s">
        <v>1053</v>
      </c>
      <c r="D704" s="310" t="s">
        <v>3094</v>
      </c>
      <c r="E704" s="117">
        <v>1</v>
      </c>
      <c r="F704" s="543"/>
    </row>
    <row r="705" spans="1:6">
      <c r="A705" s="573"/>
      <c r="B705" s="576"/>
      <c r="C705" s="22" t="s">
        <v>1056</v>
      </c>
      <c r="D705" s="444" t="s">
        <v>3095</v>
      </c>
      <c r="E705" s="48">
        <v>1</v>
      </c>
      <c r="F705" s="543"/>
    </row>
    <row r="706" spans="1:6">
      <c r="A706" s="573"/>
      <c r="B706" s="576"/>
      <c r="C706" s="22" t="s">
        <v>1059</v>
      </c>
      <c r="D706" s="444" t="s">
        <v>3096</v>
      </c>
      <c r="E706" s="16">
        <v>1</v>
      </c>
      <c r="F706" s="543"/>
    </row>
    <row r="707" spans="1:6">
      <c r="A707" s="573"/>
      <c r="B707" s="581"/>
      <c r="C707" s="22" t="s">
        <v>1062</v>
      </c>
      <c r="D707" s="445" t="s">
        <v>3097</v>
      </c>
      <c r="E707" s="118">
        <v>2</v>
      </c>
      <c r="F707" s="547"/>
    </row>
    <row r="708" spans="1:6">
      <c r="A708" s="573"/>
      <c r="B708" s="580" t="s">
        <v>1064</v>
      </c>
      <c r="C708" s="71" t="s">
        <v>1065</v>
      </c>
      <c r="D708" s="325" t="s">
        <v>2539</v>
      </c>
      <c r="E708" s="48">
        <v>1</v>
      </c>
      <c r="F708" s="548"/>
    </row>
    <row r="709" spans="1:6">
      <c r="A709" s="573"/>
      <c r="B709" s="576"/>
      <c r="C709" s="25" t="s">
        <v>1066</v>
      </c>
      <c r="D709" s="310" t="s">
        <v>2540</v>
      </c>
      <c r="E709" s="16">
        <v>1</v>
      </c>
      <c r="F709" s="543"/>
    </row>
    <row r="710" spans="1:6">
      <c r="A710" s="573"/>
      <c r="B710" s="576"/>
      <c r="C710" s="25" t="s">
        <v>1067</v>
      </c>
      <c r="D710" s="310" t="s">
        <v>2541</v>
      </c>
      <c r="E710" s="16">
        <v>2</v>
      </c>
      <c r="F710" s="543"/>
    </row>
    <row r="711" spans="1:6">
      <c r="A711" s="573"/>
      <c r="B711" s="576"/>
      <c r="C711" s="25" t="s">
        <v>1068</v>
      </c>
      <c r="D711" s="335" t="s">
        <v>2542</v>
      </c>
      <c r="E711" s="16">
        <v>4</v>
      </c>
      <c r="F711" s="543"/>
    </row>
    <row r="712" spans="1:6">
      <c r="A712" s="573"/>
      <c r="B712" s="576"/>
      <c r="C712" s="25" t="s">
        <v>1069</v>
      </c>
      <c r="D712" s="335" t="s">
        <v>2543</v>
      </c>
      <c r="E712" s="16">
        <v>2</v>
      </c>
      <c r="F712" s="543"/>
    </row>
    <row r="713" spans="1:6">
      <c r="A713" s="573"/>
      <c r="B713" s="576"/>
      <c r="C713" s="132" t="s">
        <v>1070</v>
      </c>
      <c r="D713" s="559" t="s">
        <v>2544</v>
      </c>
      <c r="E713" s="16">
        <v>2</v>
      </c>
      <c r="F713" s="543"/>
    </row>
    <row r="714" spans="1:6">
      <c r="A714" s="573"/>
      <c r="B714" s="576"/>
      <c r="C714" s="25" t="s">
        <v>1071</v>
      </c>
      <c r="D714" s="360" t="s">
        <v>2545</v>
      </c>
      <c r="E714" s="16">
        <v>2</v>
      </c>
      <c r="F714" s="543"/>
    </row>
    <row r="715" spans="1:6">
      <c r="A715" s="573"/>
      <c r="B715" s="576"/>
      <c r="C715" s="25" t="s">
        <v>1072</v>
      </c>
      <c r="D715" s="360" t="s">
        <v>2546</v>
      </c>
      <c r="E715" s="16">
        <v>1</v>
      </c>
      <c r="F715" s="543"/>
    </row>
    <row r="716" spans="1:6">
      <c r="A716" s="573"/>
      <c r="B716" s="576"/>
      <c r="C716" s="25" t="s">
        <v>1073</v>
      </c>
      <c r="D716" s="360" t="s">
        <v>2547</v>
      </c>
      <c r="E716" s="16">
        <v>1</v>
      </c>
      <c r="F716" s="543"/>
    </row>
    <row r="717" spans="1:6">
      <c r="A717" s="573"/>
      <c r="B717" s="576"/>
      <c r="C717" s="25" t="s">
        <v>1074</v>
      </c>
      <c r="D717" s="360" t="s">
        <v>2548</v>
      </c>
      <c r="E717" s="16">
        <v>2</v>
      </c>
      <c r="F717" s="543"/>
    </row>
    <row r="718" spans="1:6">
      <c r="A718" s="573"/>
      <c r="B718" s="576"/>
      <c r="C718" s="25" t="s">
        <v>1075</v>
      </c>
      <c r="D718" s="360" t="s">
        <v>2549</v>
      </c>
      <c r="E718" s="16">
        <v>2</v>
      </c>
      <c r="F718" s="543"/>
    </row>
    <row r="719" spans="1:6">
      <c r="A719" s="573"/>
      <c r="B719" s="576"/>
      <c r="C719" s="63" t="s">
        <v>1076</v>
      </c>
      <c r="D719" s="360" t="s">
        <v>2550</v>
      </c>
      <c r="E719" s="67">
        <v>3</v>
      </c>
      <c r="F719" s="543"/>
    </row>
    <row r="720" spans="1:6">
      <c r="A720" s="573"/>
      <c r="B720" s="576"/>
      <c r="C720" s="63" t="s">
        <v>3098</v>
      </c>
      <c r="D720" s="315" t="s">
        <v>3099</v>
      </c>
      <c r="E720" s="67">
        <v>2</v>
      </c>
      <c r="F720" s="543"/>
    </row>
    <row r="721" spans="1:6">
      <c r="A721" s="573"/>
      <c r="B721" s="576"/>
      <c r="C721" s="63" t="s">
        <v>3100</v>
      </c>
      <c r="D721" s="400" t="s">
        <v>3101</v>
      </c>
      <c r="E721" s="16">
        <v>1</v>
      </c>
      <c r="F721" s="543"/>
    </row>
    <row r="722" spans="1:6">
      <c r="A722" s="573"/>
      <c r="B722" s="576"/>
      <c r="C722" s="63" t="s">
        <v>1083</v>
      </c>
      <c r="D722" s="446" t="s">
        <v>3102</v>
      </c>
      <c r="E722" s="67">
        <v>1</v>
      </c>
      <c r="F722" s="543"/>
    </row>
    <row r="723" spans="1:6">
      <c r="A723" s="573"/>
      <c r="B723" s="576"/>
      <c r="C723" s="63" t="s">
        <v>1085</v>
      </c>
      <c r="D723" s="446" t="s">
        <v>3103</v>
      </c>
      <c r="E723" s="67">
        <v>1</v>
      </c>
      <c r="F723" s="543"/>
    </row>
    <row r="724" spans="1:6">
      <c r="A724" s="573"/>
      <c r="B724" s="576"/>
      <c r="C724" s="63" t="s">
        <v>1087</v>
      </c>
      <c r="D724" s="446" t="s">
        <v>3104</v>
      </c>
      <c r="E724" s="67">
        <v>2</v>
      </c>
      <c r="F724" s="543"/>
    </row>
    <row r="725" spans="1:6">
      <c r="A725" s="573"/>
      <c r="B725" s="576"/>
      <c r="C725" s="63" t="s">
        <v>1090</v>
      </c>
      <c r="D725" s="446" t="s">
        <v>3105</v>
      </c>
      <c r="E725" s="67">
        <v>1</v>
      </c>
      <c r="F725" s="543"/>
    </row>
    <row r="726" spans="1:6">
      <c r="A726" s="573"/>
      <c r="B726" s="576"/>
      <c r="C726" s="63" t="s">
        <v>1093</v>
      </c>
      <c r="D726" s="446" t="s">
        <v>3106</v>
      </c>
      <c r="E726" s="67">
        <v>2</v>
      </c>
      <c r="F726" s="543"/>
    </row>
    <row r="727" spans="1:6" ht="19.5" thickBot="1">
      <c r="A727" s="573"/>
      <c r="B727" s="576"/>
      <c r="C727" s="63" t="s">
        <v>1096</v>
      </c>
      <c r="D727" s="446" t="s">
        <v>3107</v>
      </c>
      <c r="E727" s="67">
        <v>1</v>
      </c>
      <c r="F727" s="549"/>
    </row>
    <row r="728" spans="1:6" ht="19.5" thickTop="1">
      <c r="A728" s="572" t="s">
        <v>1099</v>
      </c>
      <c r="B728" s="575" t="s">
        <v>1100</v>
      </c>
      <c r="C728" s="7" t="s">
        <v>1101</v>
      </c>
      <c r="D728" s="311" t="s">
        <v>2551</v>
      </c>
      <c r="E728" s="213">
        <v>1</v>
      </c>
      <c r="F728" s="548"/>
    </row>
    <row r="729" spans="1:6">
      <c r="A729" s="573"/>
      <c r="B729" s="576"/>
      <c r="C729" s="132" t="s">
        <v>1102</v>
      </c>
      <c r="D729" s="314" t="s">
        <v>3108</v>
      </c>
      <c r="E729" s="214">
        <v>1</v>
      </c>
      <c r="F729" s="543"/>
    </row>
    <row r="730" spans="1:6">
      <c r="A730" s="573"/>
      <c r="B730" s="576"/>
      <c r="C730" s="132" t="s">
        <v>3110</v>
      </c>
      <c r="D730" s="314" t="s">
        <v>3109</v>
      </c>
      <c r="E730" s="214">
        <v>1</v>
      </c>
      <c r="F730" s="543"/>
    </row>
    <row r="731" spans="1:6">
      <c r="A731" s="573"/>
      <c r="B731" s="576"/>
      <c r="C731" s="25" t="s">
        <v>1107</v>
      </c>
      <c r="D731" s="310" t="s">
        <v>2552</v>
      </c>
      <c r="E731" s="214">
        <v>1</v>
      </c>
      <c r="F731" s="543"/>
    </row>
    <row r="732" spans="1:6">
      <c r="A732" s="573"/>
      <c r="B732" s="576"/>
      <c r="C732" s="132" t="s">
        <v>1108</v>
      </c>
      <c r="D732" s="314" t="s">
        <v>2553</v>
      </c>
      <c r="E732" s="214">
        <v>2</v>
      </c>
      <c r="F732" s="543"/>
    </row>
    <row r="733" spans="1:6">
      <c r="A733" s="573"/>
      <c r="B733" s="576"/>
      <c r="C733" s="132" t="s">
        <v>3111</v>
      </c>
      <c r="D733" s="314" t="s">
        <v>3112</v>
      </c>
      <c r="E733" s="214">
        <v>2</v>
      </c>
      <c r="F733" s="543"/>
    </row>
    <row r="734" spans="1:6">
      <c r="A734" s="573"/>
      <c r="B734" s="576"/>
      <c r="C734" s="454" t="s">
        <v>1112</v>
      </c>
      <c r="D734" s="455" t="s">
        <v>2554</v>
      </c>
      <c r="E734" s="492">
        <v>5</v>
      </c>
      <c r="F734" s="550" t="s">
        <v>1264</v>
      </c>
    </row>
    <row r="735" spans="1:6" ht="19.5">
      <c r="A735" s="573"/>
      <c r="B735" s="576"/>
      <c r="C735" s="454" t="s">
        <v>1113</v>
      </c>
      <c r="D735" s="455" t="s">
        <v>2555</v>
      </c>
      <c r="E735" s="492" t="s">
        <v>746</v>
      </c>
      <c r="F735" s="550" t="s">
        <v>1264</v>
      </c>
    </row>
    <row r="736" spans="1:6">
      <c r="A736" s="573"/>
      <c r="B736" s="576"/>
      <c r="C736" s="25" t="s">
        <v>1114</v>
      </c>
      <c r="D736" s="310" t="s">
        <v>2556</v>
      </c>
      <c r="E736" s="216">
        <v>1</v>
      </c>
      <c r="F736" s="543"/>
    </row>
    <row r="737" spans="1:6">
      <c r="A737" s="573"/>
      <c r="B737" s="576"/>
      <c r="C737" s="25" t="s">
        <v>1115</v>
      </c>
      <c r="D737" s="310" t="s">
        <v>2557</v>
      </c>
      <c r="E737" s="214">
        <v>2</v>
      </c>
      <c r="F737" s="543"/>
    </row>
    <row r="738" spans="1:6">
      <c r="A738" s="573"/>
      <c r="B738" s="576"/>
      <c r="C738" s="25" t="s">
        <v>1116</v>
      </c>
      <c r="D738" s="308" t="s">
        <v>2558</v>
      </c>
      <c r="E738" s="214">
        <v>2</v>
      </c>
      <c r="F738" s="543"/>
    </row>
    <row r="739" spans="1:6">
      <c r="A739" s="573"/>
      <c r="B739" s="576"/>
      <c r="C739" s="25" t="s">
        <v>1117</v>
      </c>
      <c r="D739" s="308" t="s">
        <v>2559</v>
      </c>
      <c r="E739" s="214">
        <v>2</v>
      </c>
      <c r="F739" s="543"/>
    </row>
    <row r="740" spans="1:6">
      <c r="A740" s="573"/>
      <c r="B740" s="576"/>
      <c r="C740" s="25" t="s">
        <v>1118</v>
      </c>
      <c r="D740" s="308" t="s">
        <v>2560</v>
      </c>
      <c r="E740" s="214">
        <v>2</v>
      </c>
      <c r="F740" s="543"/>
    </row>
    <row r="741" spans="1:6">
      <c r="A741" s="573"/>
      <c r="B741" s="576"/>
      <c r="C741" s="25" t="s">
        <v>1119</v>
      </c>
      <c r="D741" s="308" t="s">
        <v>2561</v>
      </c>
      <c r="E741" s="214">
        <v>2</v>
      </c>
      <c r="F741" s="543"/>
    </row>
    <row r="742" spans="1:6">
      <c r="A742" s="573"/>
      <c r="B742" s="576"/>
      <c r="C742" s="25" t="s">
        <v>1120</v>
      </c>
      <c r="D742" s="308" t="s">
        <v>2562</v>
      </c>
      <c r="E742" s="214">
        <v>2</v>
      </c>
      <c r="F742" s="543"/>
    </row>
    <row r="743" spans="1:6">
      <c r="A743" s="573"/>
      <c r="B743" s="576"/>
      <c r="C743" s="25" t="s">
        <v>1121</v>
      </c>
      <c r="D743" s="308" t="s">
        <v>2563</v>
      </c>
      <c r="E743" s="214">
        <v>4</v>
      </c>
      <c r="F743" s="543"/>
    </row>
    <row r="744" spans="1:6">
      <c r="A744" s="573"/>
      <c r="B744" s="576"/>
      <c r="C744" s="25" t="s">
        <v>1122</v>
      </c>
      <c r="D744" s="308" t="s">
        <v>2564</v>
      </c>
      <c r="E744" s="214">
        <v>4</v>
      </c>
      <c r="F744" s="543"/>
    </row>
    <row r="745" spans="1:6">
      <c r="A745" s="573"/>
      <c r="B745" s="576"/>
      <c r="C745" s="25" t="s">
        <v>1123</v>
      </c>
      <c r="D745" s="308" t="s">
        <v>2565</v>
      </c>
      <c r="E745" s="214">
        <v>1</v>
      </c>
      <c r="F745" s="543"/>
    </row>
    <row r="746" spans="1:6">
      <c r="A746" s="573"/>
      <c r="B746" s="576"/>
      <c r="C746" s="25" t="s">
        <v>1124</v>
      </c>
      <c r="D746" s="308" t="s">
        <v>2566</v>
      </c>
      <c r="E746" s="214">
        <v>2</v>
      </c>
      <c r="F746" s="543"/>
    </row>
    <row r="747" spans="1:6">
      <c r="A747" s="573"/>
      <c r="B747" s="576"/>
      <c r="C747" s="25" t="s">
        <v>1125</v>
      </c>
      <c r="D747" s="308" t="s">
        <v>2567</v>
      </c>
      <c r="E747" s="214">
        <v>2</v>
      </c>
      <c r="F747" s="543"/>
    </row>
    <row r="748" spans="1:6">
      <c r="A748" s="573"/>
      <c r="B748" s="576"/>
      <c r="C748" s="25" t="s">
        <v>1126</v>
      </c>
      <c r="D748" s="308" t="s">
        <v>2568</v>
      </c>
      <c r="E748" s="214">
        <v>1</v>
      </c>
      <c r="F748" s="543"/>
    </row>
    <row r="749" spans="1:6">
      <c r="A749" s="573"/>
      <c r="B749" s="576"/>
      <c r="C749" s="25" t="s">
        <v>1127</v>
      </c>
      <c r="D749" s="308" t="s">
        <v>3113</v>
      </c>
      <c r="E749" s="214">
        <v>1</v>
      </c>
      <c r="F749" s="543"/>
    </row>
    <row r="750" spans="1:6">
      <c r="A750" s="573"/>
      <c r="B750" s="576"/>
      <c r="C750" s="63" t="s">
        <v>1130</v>
      </c>
      <c r="D750" s="308" t="s">
        <v>2569</v>
      </c>
      <c r="E750" s="214">
        <v>4</v>
      </c>
      <c r="F750" s="543"/>
    </row>
    <row r="751" spans="1:6">
      <c r="A751" s="573"/>
      <c r="B751" s="576"/>
      <c r="C751" s="25" t="s">
        <v>1131</v>
      </c>
      <c r="D751" s="308" t="s">
        <v>2570</v>
      </c>
      <c r="E751" s="214">
        <v>2</v>
      </c>
      <c r="F751" s="543"/>
    </row>
    <row r="752" spans="1:6">
      <c r="A752" s="573"/>
      <c r="B752" s="576"/>
      <c r="C752" s="25" t="s">
        <v>1132</v>
      </c>
      <c r="D752" s="308" t="s">
        <v>2571</v>
      </c>
      <c r="E752" s="214">
        <v>3</v>
      </c>
      <c r="F752" s="543"/>
    </row>
    <row r="753" spans="1:6">
      <c r="A753" s="573"/>
      <c r="B753" s="576"/>
      <c r="C753" s="25" t="s">
        <v>1133</v>
      </c>
      <c r="D753" s="308" t="s">
        <v>2572</v>
      </c>
      <c r="E753" s="214">
        <v>3</v>
      </c>
      <c r="F753" s="543"/>
    </row>
    <row r="754" spans="1:6">
      <c r="A754" s="573"/>
      <c r="B754" s="576"/>
      <c r="C754" s="25" t="s">
        <v>1134</v>
      </c>
      <c r="D754" s="308" t="s">
        <v>2573</v>
      </c>
      <c r="E754" s="214">
        <v>4</v>
      </c>
      <c r="F754" s="543"/>
    </row>
    <row r="755" spans="1:6">
      <c r="A755" s="573"/>
      <c r="B755" s="576"/>
      <c r="C755" s="25" t="s">
        <v>1135</v>
      </c>
      <c r="D755" s="337" t="s">
        <v>2574</v>
      </c>
      <c r="E755" s="219">
        <v>2</v>
      </c>
      <c r="F755" s="543"/>
    </row>
    <row r="756" spans="1:6">
      <c r="A756" s="573"/>
      <c r="B756" s="576"/>
      <c r="C756" s="25" t="s">
        <v>3114</v>
      </c>
      <c r="D756" s="401" t="s">
        <v>3115</v>
      </c>
      <c r="E756" s="402">
        <v>2</v>
      </c>
      <c r="F756" s="543"/>
    </row>
    <row r="757" spans="1:6">
      <c r="A757" s="573"/>
      <c r="B757" s="581"/>
      <c r="C757" s="47" t="s">
        <v>3116</v>
      </c>
      <c r="D757" s="320" t="s">
        <v>3117</v>
      </c>
      <c r="E757" s="403">
        <v>1</v>
      </c>
      <c r="F757" s="547"/>
    </row>
    <row r="758" spans="1:6">
      <c r="A758" s="573"/>
      <c r="B758" s="580" t="s">
        <v>1142</v>
      </c>
      <c r="C758" s="71" t="s">
        <v>1143</v>
      </c>
      <c r="D758" s="325" t="s">
        <v>2575</v>
      </c>
      <c r="E758" s="220">
        <v>2</v>
      </c>
      <c r="F758" s="548"/>
    </row>
    <row r="759" spans="1:6">
      <c r="A759" s="573"/>
      <c r="B759" s="576"/>
      <c r="C759" s="25" t="s">
        <v>1144</v>
      </c>
      <c r="D759" s="310" t="s">
        <v>2576</v>
      </c>
      <c r="E759" s="214">
        <v>2</v>
      </c>
      <c r="F759" s="543"/>
    </row>
    <row r="760" spans="1:6">
      <c r="A760" s="573"/>
      <c r="B760" s="576"/>
      <c r="C760" s="25" t="s">
        <v>1145</v>
      </c>
      <c r="D760" s="310" t="s">
        <v>3118</v>
      </c>
      <c r="E760" s="214">
        <v>2</v>
      </c>
      <c r="F760" s="543"/>
    </row>
    <row r="761" spans="1:6">
      <c r="A761" s="573"/>
      <c r="B761" s="576"/>
      <c r="C761" s="51" t="s">
        <v>1147</v>
      </c>
      <c r="D761" s="345" t="s">
        <v>2577</v>
      </c>
      <c r="E761" s="214">
        <v>2</v>
      </c>
      <c r="F761" s="547"/>
    </row>
    <row r="762" spans="1:6">
      <c r="A762" s="573"/>
      <c r="B762" s="580" t="s">
        <v>1148</v>
      </c>
      <c r="C762" s="22" t="s">
        <v>1149</v>
      </c>
      <c r="D762" s="313" t="s">
        <v>2578</v>
      </c>
      <c r="E762" s="223">
        <v>1</v>
      </c>
      <c r="F762" s="548"/>
    </row>
    <row r="763" spans="1:6">
      <c r="A763" s="573"/>
      <c r="B763" s="576"/>
      <c r="C763" s="25" t="s">
        <v>1150</v>
      </c>
      <c r="D763" s="310" t="s">
        <v>2911</v>
      </c>
      <c r="E763" s="214">
        <v>1</v>
      </c>
      <c r="F763" s="543"/>
    </row>
    <row r="764" spans="1:6">
      <c r="A764" s="573"/>
      <c r="B764" s="576"/>
      <c r="C764" s="25" t="s">
        <v>1152</v>
      </c>
      <c r="D764" s="310" t="s">
        <v>2579</v>
      </c>
      <c r="E764" s="214">
        <v>3</v>
      </c>
      <c r="F764" s="543"/>
    </row>
    <row r="765" spans="1:6">
      <c r="A765" s="573"/>
      <c r="B765" s="576"/>
      <c r="C765" s="25" t="s">
        <v>1153</v>
      </c>
      <c r="D765" s="310" t="s">
        <v>2909</v>
      </c>
      <c r="E765" s="214">
        <v>2</v>
      </c>
      <c r="F765" s="543"/>
    </row>
    <row r="766" spans="1:6">
      <c r="A766" s="573"/>
      <c r="B766" s="576"/>
      <c r="C766" s="63" t="s">
        <v>1155</v>
      </c>
      <c r="D766" s="322" t="s">
        <v>3119</v>
      </c>
      <c r="E766" s="214">
        <v>1</v>
      </c>
      <c r="F766" s="547"/>
    </row>
    <row r="767" spans="1:6">
      <c r="A767" s="573"/>
      <c r="B767" s="580" t="s">
        <v>1157</v>
      </c>
      <c r="C767" s="516" t="s">
        <v>1158</v>
      </c>
      <c r="D767" s="517" t="s">
        <v>3120</v>
      </c>
      <c r="E767" s="518">
        <v>1</v>
      </c>
      <c r="F767" s="548" t="s">
        <v>3410</v>
      </c>
    </row>
    <row r="768" spans="1:6">
      <c r="A768" s="573"/>
      <c r="B768" s="576"/>
      <c r="C768" s="519" t="s">
        <v>1161</v>
      </c>
      <c r="D768" s="520" t="s">
        <v>1162</v>
      </c>
      <c r="E768" s="521">
        <v>1</v>
      </c>
      <c r="F768" s="543" t="s">
        <v>3410</v>
      </c>
    </row>
    <row r="769" spans="1:6">
      <c r="A769" s="573"/>
      <c r="B769" s="576"/>
      <c r="C769" s="35" t="s">
        <v>3121</v>
      </c>
      <c r="D769" s="329" t="s">
        <v>3122</v>
      </c>
      <c r="E769" s="29">
        <v>2</v>
      </c>
      <c r="F769" s="543"/>
    </row>
    <row r="770" spans="1:6">
      <c r="A770" s="573"/>
      <c r="B770" s="576"/>
      <c r="C770" s="35" t="s">
        <v>3123</v>
      </c>
      <c r="D770" s="404" t="s">
        <v>3124</v>
      </c>
      <c r="E770" s="94">
        <v>1</v>
      </c>
      <c r="F770" s="543"/>
    </row>
    <row r="771" spans="1:6">
      <c r="A771" s="573"/>
      <c r="B771" s="576"/>
      <c r="C771" s="136" t="s">
        <v>3125</v>
      </c>
      <c r="D771" s="405" t="s">
        <v>3126</v>
      </c>
      <c r="E771" s="406">
        <v>2</v>
      </c>
      <c r="F771" s="547"/>
    </row>
    <row r="772" spans="1:6">
      <c r="A772" s="573"/>
      <c r="B772" s="580" t="s">
        <v>1171</v>
      </c>
      <c r="C772" s="22" t="s">
        <v>1172</v>
      </c>
      <c r="D772" s="313" t="s">
        <v>3127</v>
      </c>
      <c r="E772" s="235">
        <v>1</v>
      </c>
      <c r="F772" s="548"/>
    </row>
    <row r="773" spans="1:6">
      <c r="A773" s="573"/>
      <c r="B773" s="576"/>
      <c r="C773" s="25" t="s">
        <v>1174</v>
      </c>
      <c r="D773" s="310" t="s">
        <v>2580</v>
      </c>
      <c r="E773" s="214">
        <v>1</v>
      </c>
      <c r="F773" s="543"/>
    </row>
    <row r="774" spans="1:6">
      <c r="A774" s="573"/>
      <c r="B774" s="576"/>
      <c r="C774" s="25" t="s">
        <v>1175</v>
      </c>
      <c r="D774" s="310" t="s">
        <v>2581</v>
      </c>
      <c r="E774" s="214">
        <v>2</v>
      </c>
      <c r="F774" s="543"/>
    </row>
    <row r="775" spans="1:6">
      <c r="A775" s="573"/>
      <c r="B775" s="576"/>
      <c r="C775" s="25" t="s">
        <v>1176</v>
      </c>
      <c r="D775" s="310" t="s">
        <v>2582</v>
      </c>
      <c r="E775" s="214">
        <v>1</v>
      </c>
      <c r="F775" s="543"/>
    </row>
    <row r="776" spans="1:6">
      <c r="A776" s="573"/>
      <c r="B776" s="576"/>
      <c r="C776" s="25" t="s">
        <v>1177</v>
      </c>
      <c r="D776" s="310" t="s">
        <v>2583</v>
      </c>
      <c r="E776" s="214">
        <v>4</v>
      </c>
      <c r="F776" s="543"/>
    </row>
    <row r="777" spans="1:6">
      <c r="A777" s="573"/>
      <c r="B777" s="576"/>
      <c r="C777" s="132" t="s">
        <v>3128</v>
      </c>
      <c r="D777" s="314" t="s">
        <v>3129</v>
      </c>
      <c r="E777" s="214">
        <v>2</v>
      </c>
      <c r="F777" s="543"/>
    </row>
    <row r="778" spans="1:6">
      <c r="A778" s="573"/>
      <c r="B778" s="576"/>
      <c r="C778" s="132" t="s">
        <v>3130</v>
      </c>
      <c r="D778" s="314" t="s">
        <v>3131</v>
      </c>
      <c r="E778" s="214">
        <v>2</v>
      </c>
      <c r="F778" s="547"/>
    </row>
    <row r="779" spans="1:6">
      <c r="A779" s="573"/>
      <c r="B779" s="580" t="s">
        <v>1183</v>
      </c>
      <c r="C779" s="238" t="s">
        <v>1184</v>
      </c>
      <c r="D779" s="344" t="s">
        <v>3132</v>
      </c>
      <c r="E779" s="223">
        <v>1</v>
      </c>
      <c r="F779" s="548"/>
    </row>
    <row r="780" spans="1:6">
      <c r="A780" s="573"/>
      <c r="B780" s="576"/>
      <c r="C780" s="22" t="s">
        <v>1187</v>
      </c>
      <c r="D780" s="313" t="s">
        <v>2580</v>
      </c>
      <c r="E780" s="240">
        <v>1</v>
      </c>
      <c r="F780" s="543"/>
    </row>
    <row r="781" spans="1:6">
      <c r="A781" s="573"/>
      <c r="B781" s="576"/>
      <c r="C781" s="25" t="s">
        <v>1188</v>
      </c>
      <c r="D781" s="310" t="s">
        <v>2584</v>
      </c>
      <c r="E781" s="214">
        <v>1</v>
      </c>
      <c r="F781" s="543"/>
    </row>
    <row r="782" spans="1:6">
      <c r="A782" s="573"/>
      <c r="B782" s="576"/>
      <c r="C782" s="462" t="s">
        <v>1189</v>
      </c>
      <c r="D782" s="463" t="s">
        <v>2583</v>
      </c>
      <c r="E782" s="493">
        <v>5</v>
      </c>
      <c r="F782" s="550" t="s">
        <v>1264</v>
      </c>
    </row>
    <row r="783" spans="1:6">
      <c r="A783" s="573"/>
      <c r="B783" s="576"/>
      <c r="C783" s="266" t="s">
        <v>3133</v>
      </c>
      <c r="D783" s="407" t="s">
        <v>3134</v>
      </c>
      <c r="E783" s="216">
        <v>2</v>
      </c>
      <c r="F783" s="543"/>
    </row>
    <row r="784" spans="1:6">
      <c r="A784" s="573"/>
      <c r="B784" s="576"/>
      <c r="C784" s="408" t="s">
        <v>3135</v>
      </c>
      <c r="D784" s="405" t="s">
        <v>3136</v>
      </c>
      <c r="E784" s="216">
        <v>2</v>
      </c>
      <c r="F784" s="547"/>
    </row>
    <row r="785" spans="1:6">
      <c r="A785" s="573"/>
      <c r="B785" s="580" t="s">
        <v>1195</v>
      </c>
      <c r="C785" s="22" t="s">
        <v>1196</v>
      </c>
      <c r="D785" s="313" t="s">
        <v>3137</v>
      </c>
      <c r="E785" s="223">
        <v>1</v>
      </c>
      <c r="F785" s="548"/>
    </row>
    <row r="786" spans="1:6">
      <c r="A786" s="573"/>
      <c r="B786" s="576"/>
      <c r="C786" s="25" t="s">
        <v>1198</v>
      </c>
      <c r="D786" s="310" t="s">
        <v>2584</v>
      </c>
      <c r="E786" s="214">
        <v>1</v>
      </c>
      <c r="F786" s="543"/>
    </row>
    <row r="787" spans="1:6">
      <c r="A787" s="573"/>
      <c r="B787" s="576"/>
      <c r="C787" s="25" t="s">
        <v>1199</v>
      </c>
      <c r="D787" s="310" t="s">
        <v>2585</v>
      </c>
      <c r="E787" s="214">
        <v>2</v>
      </c>
      <c r="F787" s="543"/>
    </row>
    <row r="788" spans="1:6">
      <c r="A788" s="573"/>
      <c r="B788" s="576"/>
      <c r="C788" s="25" t="s">
        <v>1200</v>
      </c>
      <c r="D788" s="310" t="s">
        <v>3138</v>
      </c>
      <c r="E788" s="214">
        <v>2</v>
      </c>
      <c r="F788" s="543"/>
    </row>
    <row r="789" spans="1:6">
      <c r="A789" s="573"/>
      <c r="B789" s="576"/>
      <c r="C789" s="25" t="s">
        <v>1202</v>
      </c>
      <c r="D789" s="310" t="s">
        <v>3139</v>
      </c>
      <c r="E789" s="214">
        <v>4</v>
      </c>
      <c r="F789" s="543"/>
    </row>
    <row r="790" spans="1:6">
      <c r="A790" s="573"/>
      <c r="B790" s="576"/>
      <c r="C790" s="25" t="s">
        <v>1204</v>
      </c>
      <c r="D790" s="310" t="s">
        <v>2586</v>
      </c>
      <c r="E790" s="214">
        <v>4</v>
      </c>
      <c r="F790" s="543"/>
    </row>
    <row r="791" spans="1:6" ht="19.5">
      <c r="A791" s="573"/>
      <c r="B791" s="576"/>
      <c r="C791" s="454" t="s">
        <v>1205</v>
      </c>
      <c r="D791" s="455" t="s">
        <v>2587</v>
      </c>
      <c r="E791" s="492" t="s">
        <v>746</v>
      </c>
      <c r="F791" s="550" t="s">
        <v>1264</v>
      </c>
    </row>
    <row r="792" spans="1:6">
      <c r="A792" s="573"/>
      <c r="B792" s="576"/>
      <c r="C792" s="25" t="s">
        <v>1206</v>
      </c>
      <c r="D792" s="308" t="s">
        <v>2588</v>
      </c>
      <c r="E792" s="214">
        <v>4</v>
      </c>
      <c r="F792" s="543"/>
    </row>
    <row r="793" spans="1:6">
      <c r="A793" s="573"/>
      <c r="B793" s="576"/>
      <c r="C793" s="25" t="s">
        <v>1207</v>
      </c>
      <c r="D793" s="308" t="s">
        <v>2589</v>
      </c>
      <c r="E793" s="214">
        <v>3</v>
      </c>
      <c r="F793" s="543"/>
    </row>
    <row r="794" spans="1:6">
      <c r="A794" s="573"/>
      <c r="B794" s="576"/>
      <c r="C794" s="25" t="s">
        <v>1208</v>
      </c>
      <c r="D794" s="308" t="s">
        <v>2590</v>
      </c>
      <c r="E794" s="214">
        <v>3</v>
      </c>
      <c r="F794" s="543"/>
    </row>
    <row r="795" spans="1:6">
      <c r="A795" s="573"/>
      <c r="B795" s="576"/>
      <c r="C795" s="25" t="s">
        <v>1209</v>
      </c>
      <c r="D795" s="308" t="s">
        <v>2591</v>
      </c>
      <c r="E795" s="214">
        <v>2</v>
      </c>
      <c r="F795" s="543"/>
    </row>
    <row r="796" spans="1:6">
      <c r="A796" s="573"/>
      <c r="B796" s="576"/>
      <c r="C796" s="63" t="s">
        <v>1210</v>
      </c>
      <c r="D796" s="337" t="s">
        <v>2592</v>
      </c>
      <c r="E796" s="214">
        <v>2</v>
      </c>
      <c r="F796" s="543"/>
    </row>
    <row r="797" spans="1:6">
      <c r="A797" s="573"/>
      <c r="B797" s="576"/>
      <c r="C797" s="462" t="s">
        <v>1211</v>
      </c>
      <c r="D797" s="494" t="s">
        <v>2593</v>
      </c>
      <c r="E797" s="493">
        <v>5</v>
      </c>
      <c r="F797" s="550" t="s">
        <v>1264</v>
      </c>
    </row>
    <row r="798" spans="1:6">
      <c r="A798" s="573"/>
      <c r="B798" s="576"/>
      <c r="C798" s="283" t="s">
        <v>3140</v>
      </c>
      <c r="D798" s="422" t="s">
        <v>3141</v>
      </c>
      <c r="E798" s="214">
        <v>2</v>
      </c>
      <c r="F798" s="543"/>
    </row>
    <row r="799" spans="1:6">
      <c r="A799" s="573"/>
      <c r="B799" s="581"/>
      <c r="C799" s="409" t="s">
        <v>3142</v>
      </c>
      <c r="D799" s="447" t="s">
        <v>3143</v>
      </c>
      <c r="E799" s="240">
        <v>2</v>
      </c>
      <c r="F799" s="547"/>
    </row>
    <row r="800" spans="1:6">
      <c r="A800" s="573"/>
      <c r="B800" s="580" t="s">
        <v>1218</v>
      </c>
      <c r="C800" s="71" t="s">
        <v>1219</v>
      </c>
      <c r="D800" s="325" t="s">
        <v>2594</v>
      </c>
      <c r="E800" s="223">
        <v>1</v>
      </c>
      <c r="F800" s="548"/>
    </row>
    <row r="801" spans="1:6">
      <c r="A801" s="573"/>
      <c r="B801" s="576"/>
      <c r="C801" s="25" t="s">
        <v>1220</v>
      </c>
      <c r="D801" s="310" t="s">
        <v>2595</v>
      </c>
      <c r="E801" s="214">
        <v>1</v>
      </c>
      <c r="F801" s="543"/>
    </row>
    <row r="802" spans="1:6">
      <c r="A802" s="573"/>
      <c r="B802" s="576"/>
      <c r="C802" s="25" t="s">
        <v>1221</v>
      </c>
      <c r="D802" s="310" t="s">
        <v>2596</v>
      </c>
      <c r="E802" s="214">
        <v>1</v>
      </c>
      <c r="F802" s="543"/>
    </row>
    <row r="803" spans="1:6">
      <c r="A803" s="573"/>
      <c r="B803" s="576"/>
      <c r="C803" s="63" t="s">
        <v>1222</v>
      </c>
      <c r="D803" s="337" t="s">
        <v>2597</v>
      </c>
      <c r="E803" s="219">
        <v>1</v>
      </c>
      <c r="F803" s="543"/>
    </row>
    <row r="804" spans="1:6">
      <c r="A804" s="573"/>
      <c r="B804" s="576"/>
      <c r="C804" s="25" t="s">
        <v>1223</v>
      </c>
      <c r="D804" s="308" t="s">
        <v>2598</v>
      </c>
      <c r="E804" s="214">
        <v>2</v>
      </c>
      <c r="F804" s="543"/>
    </row>
    <row r="805" spans="1:6">
      <c r="A805" s="573"/>
      <c r="B805" s="576"/>
      <c r="C805" s="25" t="s">
        <v>1224</v>
      </c>
      <c r="D805" s="308" t="s">
        <v>2599</v>
      </c>
      <c r="E805" s="214">
        <v>2</v>
      </c>
      <c r="F805" s="543"/>
    </row>
    <row r="806" spans="1:6">
      <c r="A806" s="573"/>
      <c r="B806" s="576"/>
      <c r="C806" s="25" t="s">
        <v>1225</v>
      </c>
      <c r="D806" s="308" t="s">
        <v>2600</v>
      </c>
      <c r="E806" s="214">
        <v>2</v>
      </c>
      <c r="F806" s="543"/>
    </row>
    <row r="807" spans="1:6">
      <c r="A807" s="573"/>
      <c r="B807" s="576"/>
      <c r="C807" s="25" t="s">
        <v>1226</v>
      </c>
      <c r="D807" s="308" t="s">
        <v>2601</v>
      </c>
      <c r="E807" s="214">
        <v>3</v>
      </c>
      <c r="F807" s="543"/>
    </row>
    <row r="808" spans="1:6">
      <c r="A808" s="573"/>
      <c r="B808" s="576"/>
      <c r="C808" s="25" t="s">
        <v>1227</v>
      </c>
      <c r="D808" s="308" t="s">
        <v>2602</v>
      </c>
      <c r="E808" s="214">
        <v>1</v>
      </c>
      <c r="F808" s="543"/>
    </row>
    <row r="809" spans="1:6">
      <c r="A809" s="573"/>
      <c r="B809" s="576"/>
      <c r="C809" s="25" t="s">
        <v>1228</v>
      </c>
      <c r="D809" s="308" t="s">
        <v>2603</v>
      </c>
      <c r="E809" s="214">
        <v>2</v>
      </c>
      <c r="F809" s="543"/>
    </row>
    <row r="810" spans="1:6">
      <c r="A810" s="573"/>
      <c r="B810" s="576"/>
      <c r="C810" s="25" t="s">
        <v>1229</v>
      </c>
      <c r="D810" s="308" t="s">
        <v>2604</v>
      </c>
      <c r="E810" s="214">
        <v>2</v>
      </c>
      <c r="F810" s="543"/>
    </row>
    <row r="811" spans="1:6">
      <c r="A811" s="573"/>
      <c r="B811" s="576"/>
      <c r="C811" s="25" t="s">
        <v>1230</v>
      </c>
      <c r="D811" s="308" t="s">
        <v>2605</v>
      </c>
      <c r="E811" s="214">
        <v>2</v>
      </c>
      <c r="F811" s="543"/>
    </row>
    <row r="812" spans="1:6">
      <c r="A812" s="573"/>
      <c r="B812" s="576"/>
      <c r="C812" s="25" t="s">
        <v>1231</v>
      </c>
      <c r="D812" s="308" t="s">
        <v>3144</v>
      </c>
      <c r="E812" s="214">
        <v>2</v>
      </c>
      <c r="F812" s="543"/>
    </row>
    <row r="813" spans="1:6">
      <c r="A813" s="573"/>
      <c r="B813" s="576"/>
      <c r="C813" s="25" t="s">
        <v>1234</v>
      </c>
      <c r="D813" s="308" t="s">
        <v>2606</v>
      </c>
      <c r="E813" s="214">
        <v>2</v>
      </c>
      <c r="F813" s="543"/>
    </row>
    <row r="814" spans="1:6">
      <c r="A814" s="573"/>
      <c r="B814" s="576"/>
      <c r="C814" s="25" t="s">
        <v>1235</v>
      </c>
      <c r="D814" s="308" t="s">
        <v>2607</v>
      </c>
      <c r="E814" s="214">
        <v>2</v>
      </c>
      <c r="F814" s="543"/>
    </row>
    <row r="815" spans="1:6">
      <c r="A815" s="573"/>
      <c r="B815" s="576"/>
      <c r="C815" s="25" t="s">
        <v>1236</v>
      </c>
      <c r="D815" s="308" t="s">
        <v>2608</v>
      </c>
      <c r="E815" s="214">
        <v>1</v>
      </c>
      <c r="F815" s="543"/>
    </row>
    <row r="816" spans="1:6">
      <c r="A816" s="573"/>
      <c r="B816" s="576"/>
      <c r="C816" s="34" t="s">
        <v>1237</v>
      </c>
      <c r="D816" s="315" t="s">
        <v>2609</v>
      </c>
      <c r="E816" s="214">
        <v>2</v>
      </c>
      <c r="F816" s="543"/>
    </row>
    <row r="817" spans="1:6">
      <c r="A817" s="573"/>
      <c r="B817" s="576"/>
      <c r="C817" s="35" t="s">
        <v>3145</v>
      </c>
      <c r="D817" s="448" t="s">
        <v>3146</v>
      </c>
      <c r="E817" s="240">
        <v>1</v>
      </c>
      <c r="F817" s="543"/>
    </row>
    <row r="818" spans="1:6">
      <c r="A818" s="573"/>
      <c r="B818" s="576"/>
      <c r="C818" s="35" t="s">
        <v>3147</v>
      </c>
      <c r="D818" s="448" t="s">
        <v>3148</v>
      </c>
      <c r="E818" s="240">
        <v>1</v>
      </c>
      <c r="F818" s="543"/>
    </row>
    <row r="819" spans="1:6">
      <c r="A819" s="573"/>
      <c r="B819" s="576"/>
      <c r="C819" s="524" t="s">
        <v>3149</v>
      </c>
      <c r="D819" s="537" t="s">
        <v>3150</v>
      </c>
      <c r="E819" s="538">
        <v>3</v>
      </c>
      <c r="F819" s="550" t="s">
        <v>1264</v>
      </c>
    </row>
    <row r="820" spans="1:6">
      <c r="A820" s="573"/>
      <c r="B820" s="581"/>
      <c r="C820" s="143" t="s">
        <v>3151</v>
      </c>
      <c r="D820" s="397" t="s">
        <v>3152</v>
      </c>
      <c r="E820" s="240">
        <v>2</v>
      </c>
      <c r="F820" s="547"/>
    </row>
    <row r="821" spans="1:6">
      <c r="A821" s="573"/>
      <c r="B821" s="580" t="s">
        <v>1249</v>
      </c>
      <c r="C821" s="458" t="s">
        <v>1250</v>
      </c>
      <c r="D821" s="459" t="s">
        <v>3153</v>
      </c>
      <c r="E821" s="495">
        <v>4</v>
      </c>
      <c r="F821" s="551" t="s">
        <v>1264</v>
      </c>
    </row>
    <row r="822" spans="1:6">
      <c r="A822" s="573"/>
      <c r="B822" s="576"/>
      <c r="C822" s="454" t="s">
        <v>1252</v>
      </c>
      <c r="D822" s="455" t="s">
        <v>2610</v>
      </c>
      <c r="E822" s="492">
        <v>4</v>
      </c>
      <c r="F822" s="550" t="s">
        <v>1264</v>
      </c>
    </row>
    <row r="823" spans="1:6">
      <c r="A823" s="573"/>
      <c r="B823" s="576"/>
      <c r="C823" s="454" t="s">
        <v>1253</v>
      </c>
      <c r="D823" s="455" t="s">
        <v>2611</v>
      </c>
      <c r="E823" s="492">
        <v>4</v>
      </c>
      <c r="F823" s="550" t="s">
        <v>1264</v>
      </c>
    </row>
    <row r="824" spans="1:6">
      <c r="A824" s="573"/>
      <c r="B824" s="576"/>
      <c r="C824" s="454" t="s">
        <v>1254</v>
      </c>
      <c r="D824" s="457" t="s">
        <v>2612</v>
      </c>
      <c r="E824" s="492">
        <v>4</v>
      </c>
      <c r="F824" s="550" t="s">
        <v>1264</v>
      </c>
    </row>
    <row r="825" spans="1:6">
      <c r="A825" s="573"/>
      <c r="B825" s="576"/>
      <c r="C825" s="454" t="s">
        <v>1255</v>
      </c>
      <c r="D825" s="457" t="s">
        <v>2613</v>
      </c>
      <c r="E825" s="492">
        <v>4</v>
      </c>
      <c r="F825" s="550" t="s">
        <v>1264</v>
      </c>
    </row>
    <row r="826" spans="1:6">
      <c r="A826" s="573"/>
      <c r="B826" s="576"/>
      <c r="C826" s="454" t="s">
        <v>1256</v>
      </c>
      <c r="D826" s="457" t="s">
        <v>2614</v>
      </c>
      <c r="E826" s="493">
        <v>3</v>
      </c>
      <c r="F826" s="550" t="s">
        <v>1264</v>
      </c>
    </row>
    <row r="827" spans="1:6">
      <c r="A827" s="573"/>
      <c r="B827" s="576"/>
      <c r="C827" s="454" t="s">
        <v>1257</v>
      </c>
      <c r="D827" s="457" t="s">
        <v>2615</v>
      </c>
      <c r="E827" s="493">
        <v>3</v>
      </c>
      <c r="F827" s="550" t="s">
        <v>1264</v>
      </c>
    </row>
    <row r="828" spans="1:6">
      <c r="A828" s="573"/>
      <c r="B828" s="576"/>
      <c r="C828" s="462" t="s">
        <v>1258</v>
      </c>
      <c r="D828" s="494" t="s">
        <v>3154</v>
      </c>
      <c r="E828" s="539">
        <v>3</v>
      </c>
      <c r="F828" s="550" t="s">
        <v>1264</v>
      </c>
    </row>
    <row r="829" spans="1:6">
      <c r="A829" s="573"/>
      <c r="B829" s="576"/>
      <c r="C829" s="462" t="s">
        <v>1260</v>
      </c>
      <c r="D829" s="457" t="s">
        <v>2616</v>
      </c>
      <c r="E829" s="493">
        <v>4</v>
      </c>
      <c r="F829" s="550" t="s">
        <v>1264</v>
      </c>
    </row>
    <row r="830" spans="1:6" ht="19.5">
      <c r="A830" s="573"/>
      <c r="B830" s="576"/>
      <c r="C830" s="462" t="s">
        <v>1262</v>
      </c>
      <c r="D830" s="457" t="s">
        <v>2617</v>
      </c>
      <c r="E830" s="493" t="s">
        <v>746</v>
      </c>
      <c r="F830" s="550" t="s">
        <v>1264</v>
      </c>
    </row>
    <row r="831" spans="1:6" ht="19.5">
      <c r="A831" s="573"/>
      <c r="B831" s="576"/>
      <c r="C831" s="462" t="s">
        <v>1263</v>
      </c>
      <c r="D831" s="494" t="s">
        <v>2618</v>
      </c>
      <c r="E831" s="496" t="s">
        <v>1264</v>
      </c>
      <c r="F831" s="550" t="s">
        <v>1264</v>
      </c>
    </row>
    <row r="832" spans="1:6">
      <c r="A832" s="573"/>
      <c r="B832" s="576"/>
      <c r="C832" s="462" t="s">
        <v>1265</v>
      </c>
      <c r="D832" s="494" t="s">
        <v>3155</v>
      </c>
      <c r="E832" s="539">
        <v>4</v>
      </c>
      <c r="F832" s="556" t="s">
        <v>1264</v>
      </c>
    </row>
    <row r="833" spans="1:6">
      <c r="A833" s="573"/>
      <c r="B833" s="577" t="s">
        <v>3404</v>
      </c>
      <c r="C833" s="71" t="s">
        <v>3156</v>
      </c>
      <c r="D833" s="359" t="s">
        <v>3157</v>
      </c>
      <c r="E833" s="410">
        <v>1</v>
      </c>
      <c r="F833" s="548"/>
    </row>
    <row r="834" spans="1:6">
      <c r="A834" s="573"/>
      <c r="B834" s="578"/>
      <c r="C834" s="25" t="s">
        <v>3158</v>
      </c>
      <c r="D834" s="360" t="s">
        <v>3159</v>
      </c>
      <c r="E834" s="214">
        <v>1</v>
      </c>
      <c r="F834" s="543"/>
    </row>
    <row r="835" spans="1:6">
      <c r="A835" s="573"/>
      <c r="B835" s="578"/>
      <c r="C835" s="25" t="s">
        <v>1274</v>
      </c>
      <c r="D835" s="360" t="s">
        <v>3160</v>
      </c>
      <c r="E835" s="214">
        <v>1</v>
      </c>
      <c r="F835" s="543"/>
    </row>
    <row r="836" spans="1:6">
      <c r="A836" s="573"/>
      <c r="B836" s="578"/>
      <c r="C836" s="25" t="s">
        <v>1277</v>
      </c>
      <c r="D836" s="360" t="s">
        <v>3161</v>
      </c>
      <c r="E836" s="214">
        <v>1</v>
      </c>
      <c r="F836" s="543"/>
    </row>
    <row r="837" spans="1:6">
      <c r="A837" s="573"/>
      <c r="B837" s="578"/>
      <c r="C837" s="25" t="s">
        <v>1280</v>
      </c>
      <c r="D837" s="360" t="s">
        <v>3162</v>
      </c>
      <c r="E837" s="214">
        <v>2</v>
      </c>
      <c r="F837" s="543"/>
    </row>
    <row r="838" spans="1:6">
      <c r="A838" s="573"/>
      <c r="B838" s="578"/>
      <c r="C838" s="25" t="s">
        <v>1283</v>
      </c>
      <c r="D838" s="360" t="s">
        <v>3163</v>
      </c>
      <c r="E838" s="214">
        <v>2</v>
      </c>
      <c r="F838" s="543"/>
    </row>
    <row r="839" spans="1:6" ht="19.5" thickBot="1">
      <c r="A839" s="573"/>
      <c r="B839" s="589"/>
      <c r="C839" s="15" t="s">
        <v>1286</v>
      </c>
      <c r="D839" s="411" t="s">
        <v>3164</v>
      </c>
      <c r="E839" s="249">
        <v>1</v>
      </c>
      <c r="F839" s="549"/>
    </row>
    <row r="840" spans="1:6" ht="19.5" thickTop="1">
      <c r="A840" s="572" t="s">
        <v>1289</v>
      </c>
      <c r="B840" s="575" t="s">
        <v>1290</v>
      </c>
      <c r="C840" s="7" t="s">
        <v>1291</v>
      </c>
      <c r="D840" s="311" t="s">
        <v>2619</v>
      </c>
      <c r="E840" s="48">
        <v>1</v>
      </c>
      <c r="F840" s="548"/>
    </row>
    <row r="841" spans="1:6">
      <c r="A841" s="573"/>
      <c r="B841" s="576"/>
      <c r="C841" s="25" t="s">
        <v>1292</v>
      </c>
      <c r="D841" s="314" t="s">
        <v>2620</v>
      </c>
      <c r="E841" s="16">
        <v>1</v>
      </c>
      <c r="F841" s="543"/>
    </row>
    <row r="842" spans="1:6">
      <c r="A842" s="573"/>
      <c r="B842" s="576"/>
      <c r="C842" s="25" t="s">
        <v>1293</v>
      </c>
      <c r="D842" s="310" t="s">
        <v>2621</v>
      </c>
      <c r="E842" s="16">
        <v>2</v>
      </c>
      <c r="F842" s="543"/>
    </row>
    <row r="843" spans="1:6">
      <c r="A843" s="573"/>
      <c r="B843" s="576"/>
      <c r="C843" s="25" t="s">
        <v>1294</v>
      </c>
      <c r="D843" s="310" t="s">
        <v>2622</v>
      </c>
      <c r="E843" s="16">
        <v>2</v>
      </c>
      <c r="F843" s="543"/>
    </row>
    <row r="844" spans="1:6">
      <c r="A844" s="573"/>
      <c r="B844" s="576"/>
      <c r="C844" s="25" t="s">
        <v>1295</v>
      </c>
      <c r="D844" s="310" t="s">
        <v>2623</v>
      </c>
      <c r="E844" s="16">
        <v>2</v>
      </c>
      <c r="F844" s="543"/>
    </row>
    <row r="845" spans="1:6">
      <c r="A845" s="573"/>
      <c r="B845" s="576"/>
      <c r="C845" s="25" t="s">
        <v>1296</v>
      </c>
      <c r="D845" s="308" t="s">
        <v>3165</v>
      </c>
      <c r="E845" s="16">
        <v>2</v>
      </c>
      <c r="F845" s="543"/>
    </row>
    <row r="846" spans="1:6">
      <c r="A846" s="573"/>
      <c r="B846" s="576"/>
      <c r="C846" s="25" t="s">
        <v>1299</v>
      </c>
      <c r="D846" s="308" t="s">
        <v>2624</v>
      </c>
      <c r="E846" s="16">
        <v>2</v>
      </c>
      <c r="F846" s="543"/>
    </row>
    <row r="847" spans="1:6">
      <c r="A847" s="573"/>
      <c r="B847" s="576"/>
      <c r="C847" s="25" t="s">
        <v>1300</v>
      </c>
      <c r="D847" s="310" t="s">
        <v>2625</v>
      </c>
      <c r="E847" s="16">
        <v>2</v>
      </c>
      <c r="F847" s="543"/>
    </row>
    <row r="848" spans="1:6">
      <c r="A848" s="573"/>
      <c r="B848" s="576"/>
      <c r="C848" s="25" t="s">
        <v>1301</v>
      </c>
      <c r="D848" s="310" t="s">
        <v>2626</v>
      </c>
      <c r="E848" s="16">
        <v>2</v>
      </c>
      <c r="F848" s="543"/>
    </row>
    <row r="849" spans="1:7">
      <c r="A849" s="573"/>
      <c r="B849" s="576"/>
      <c r="C849" s="34" t="s">
        <v>1302</v>
      </c>
      <c r="D849" s="315" t="s">
        <v>2627</v>
      </c>
      <c r="E849" s="16">
        <v>1</v>
      </c>
      <c r="F849" s="543"/>
    </row>
    <row r="850" spans="1:7">
      <c r="A850" s="573"/>
      <c r="B850" s="576"/>
      <c r="C850" s="35" t="s">
        <v>3166</v>
      </c>
      <c r="D850" s="412" t="s">
        <v>3167</v>
      </c>
      <c r="E850" s="67">
        <v>1</v>
      </c>
      <c r="F850" s="543"/>
    </row>
    <row r="851" spans="1:7">
      <c r="A851" s="573"/>
      <c r="B851" s="581"/>
      <c r="C851" s="143" t="s">
        <v>3168</v>
      </c>
      <c r="D851" s="316" t="s">
        <v>3169</v>
      </c>
      <c r="E851" s="52">
        <v>1</v>
      </c>
      <c r="F851" s="547"/>
    </row>
    <row r="852" spans="1:7">
      <c r="A852" s="573"/>
      <c r="B852" s="580" t="s">
        <v>1309</v>
      </c>
      <c r="C852" s="22" t="s">
        <v>1310</v>
      </c>
      <c r="D852" s="313" t="s">
        <v>2628</v>
      </c>
      <c r="E852" s="48">
        <v>1</v>
      </c>
      <c r="F852" s="548"/>
    </row>
    <row r="853" spans="1:7">
      <c r="A853" s="573"/>
      <c r="B853" s="576"/>
      <c r="C853" s="25" t="s">
        <v>1311</v>
      </c>
      <c r="D853" s="310" t="s">
        <v>2629</v>
      </c>
      <c r="E853" s="16">
        <v>1</v>
      </c>
      <c r="F853" s="543"/>
    </row>
    <row r="854" spans="1:7">
      <c r="A854" s="573"/>
      <c r="B854" s="576"/>
      <c r="C854" s="25" t="s">
        <v>1312</v>
      </c>
      <c r="D854" s="310" t="s">
        <v>2630</v>
      </c>
      <c r="E854" s="16">
        <v>2</v>
      </c>
      <c r="F854" s="543"/>
    </row>
    <row r="855" spans="1:7">
      <c r="A855" s="573"/>
      <c r="B855" s="576"/>
      <c r="C855" s="25" t="s">
        <v>1313</v>
      </c>
      <c r="D855" s="310" t="s">
        <v>2631</v>
      </c>
      <c r="E855" s="16">
        <v>2</v>
      </c>
      <c r="F855" s="543"/>
    </row>
    <row r="856" spans="1:7">
      <c r="A856" s="573"/>
      <c r="B856" s="576"/>
      <c r="C856" s="25" t="s">
        <v>1314</v>
      </c>
      <c r="D856" s="308" t="s">
        <v>2632</v>
      </c>
      <c r="E856" s="16">
        <v>1</v>
      </c>
      <c r="F856" s="543"/>
    </row>
    <row r="857" spans="1:7">
      <c r="A857" s="573"/>
      <c r="B857" s="576"/>
      <c r="C857" s="25" t="s">
        <v>1315</v>
      </c>
      <c r="D857" s="308" t="s">
        <v>2633</v>
      </c>
      <c r="E857" s="16">
        <v>1</v>
      </c>
      <c r="F857" s="543"/>
    </row>
    <row r="858" spans="1:7">
      <c r="A858" s="573"/>
      <c r="B858" s="576"/>
      <c r="C858" s="25" t="s">
        <v>1316</v>
      </c>
      <c r="D858" s="308" t="s">
        <v>2634</v>
      </c>
      <c r="E858" s="16">
        <v>3</v>
      </c>
      <c r="F858" s="543"/>
    </row>
    <row r="859" spans="1:7">
      <c r="A859" s="573"/>
      <c r="B859" s="576"/>
      <c r="C859" s="25" t="s">
        <v>1317</v>
      </c>
      <c r="D859" s="308" t="s">
        <v>2635</v>
      </c>
      <c r="E859" s="67">
        <v>2</v>
      </c>
      <c r="F859" s="543"/>
    </row>
    <row r="860" spans="1:7">
      <c r="A860" s="573"/>
      <c r="B860" s="576"/>
      <c r="C860" s="25" t="s">
        <v>3170</v>
      </c>
      <c r="D860" s="308" t="s">
        <v>3171</v>
      </c>
      <c r="E860" s="67">
        <v>1</v>
      </c>
      <c r="F860" s="543"/>
    </row>
    <row r="861" spans="1:7">
      <c r="A861" s="573"/>
      <c r="B861" s="576"/>
      <c r="C861" s="25" t="s">
        <v>3172</v>
      </c>
      <c r="D861" s="308" t="s">
        <v>3173</v>
      </c>
      <c r="E861" s="67">
        <v>1</v>
      </c>
      <c r="F861" s="543"/>
    </row>
    <row r="862" spans="1:7" ht="19.5" thickBot="1">
      <c r="A862" s="573"/>
      <c r="B862" s="576"/>
      <c r="C862" s="25" t="s">
        <v>3174</v>
      </c>
      <c r="D862" s="396" t="s">
        <v>3175</v>
      </c>
      <c r="E862" s="139">
        <v>1</v>
      </c>
      <c r="F862" s="549"/>
    </row>
    <row r="863" spans="1:7" ht="19.5" thickTop="1">
      <c r="A863" s="572" t="s">
        <v>1327</v>
      </c>
      <c r="B863" s="575" t="s">
        <v>1328</v>
      </c>
      <c r="C863" s="7" t="s">
        <v>1329</v>
      </c>
      <c r="D863" s="311" t="s">
        <v>2636</v>
      </c>
      <c r="E863" s="48">
        <v>1</v>
      </c>
      <c r="F863" s="548"/>
      <c r="G863" s="570" t="s">
        <v>3422</v>
      </c>
    </row>
    <row r="864" spans="1:7">
      <c r="A864" s="573"/>
      <c r="B864" s="576"/>
      <c r="C864" s="25" t="s">
        <v>1330</v>
      </c>
      <c r="D864" s="310" t="s">
        <v>2637</v>
      </c>
      <c r="E864" s="16">
        <v>1</v>
      </c>
      <c r="F864" s="543"/>
      <c r="G864" s="570" t="s">
        <v>3422</v>
      </c>
    </row>
    <row r="865" spans="1:7">
      <c r="A865" s="573"/>
      <c r="B865" s="576"/>
      <c r="C865" s="513" t="s">
        <v>1331</v>
      </c>
      <c r="D865" s="522" t="s">
        <v>3176</v>
      </c>
      <c r="E865" s="515">
        <v>2</v>
      </c>
      <c r="F865" s="543" t="s">
        <v>3411</v>
      </c>
      <c r="G865" s="570" t="s">
        <v>3422</v>
      </c>
    </row>
    <row r="866" spans="1:7">
      <c r="A866" s="573"/>
      <c r="B866" s="576"/>
      <c r="C866" s="454" t="s">
        <v>1334</v>
      </c>
      <c r="D866" s="457" t="s">
        <v>2638</v>
      </c>
      <c r="E866" s="456">
        <v>3</v>
      </c>
      <c r="F866" s="550" t="s">
        <v>1264</v>
      </c>
      <c r="G866" s="570" t="s">
        <v>3422</v>
      </c>
    </row>
    <row r="867" spans="1:7">
      <c r="A867" s="573"/>
      <c r="B867" s="576"/>
      <c r="C867" s="25" t="s">
        <v>1335</v>
      </c>
      <c r="D867" s="310" t="s">
        <v>2639</v>
      </c>
      <c r="E867" s="16">
        <v>2</v>
      </c>
      <c r="F867" s="543"/>
      <c r="G867" s="570" t="s">
        <v>3422</v>
      </c>
    </row>
    <row r="868" spans="1:7">
      <c r="A868" s="573"/>
      <c r="B868" s="576"/>
      <c r="C868" s="25" t="s">
        <v>1336</v>
      </c>
      <c r="D868" s="310" t="s">
        <v>2640</v>
      </c>
      <c r="E868" s="16">
        <v>1</v>
      </c>
      <c r="F868" s="543"/>
    </row>
    <row r="869" spans="1:7">
      <c r="A869" s="573"/>
      <c r="B869" s="576"/>
      <c r="C869" s="25" t="s">
        <v>1337</v>
      </c>
      <c r="D869" s="310" t="s">
        <v>2641</v>
      </c>
      <c r="E869" s="16">
        <v>2</v>
      </c>
      <c r="F869" s="543"/>
    </row>
    <row r="870" spans="1:7">
      <c r="A870" s="573"/>
      <c r="B870" s="576"/>
      <c r="C870" s="462" t="s">
        <v>1338</v>
      </c>
      <c r="D870" s="463" t="s">
        <v>2642</v>
      </c>
      <c r="E870" s="469">
        <v>4</v>
      </c>
      <c r="F870" s="550" t="s">
        <v>1264</v>
      </c>
      <c r="G870" s="570" t="s">
        <v>3423</v>
      </c>
    </row>
    <row r="871" spans="1:7" ht="19.5" thickBot="1">
      <c r="A871" s="574"/>
      <c r="B871" s="576"/>
      <c r="C871" s="372" t="s">
        <v>3177</v>
      </c>
      <c r="D871" s="413" t="s">
        <v>3178</v>
      </c>
      <c r="E871" s="139">
        <v>1</v>
      </c>
      <c r="F871" s="549"/>
      <c r="G871" s="570" t="s">
        <v>3422</v>
      </c>
    </row>
    <row r="872" spans="1:7" ht="19.5" thickTop="1">
      <c r="A872" s="572" t="s">
        <v>1342</v>
      </c>
      <c r="B872" s="575" t="s">
        <v>1343</v>
      </c>
      <c r="C872" s="7" t="s">
        <v>1344</v>
      </c>
      <c r="D872" s="311" t="s">
        <v>2080</v>
      </c>
      <c r="E872" s="8">
        <v>1</v>
      </c>
      <c r="F872" s="548"/>
    </row>
    <row r="873" spans="1:7">
      <c r="A873" s="573"/>
      <c r="B873" s="576"/>
      <c r="C873" s="25" t="s">
        <v>1345</v>
      </c>
      <c r="D873" s="310" t="s">
        <v>2643</v>
      </c>
      <c r="E873" s="16">
        <v>3</v>
      </c>
      <c r="F873" s="543"/>
    </row>
    <row r="874" spans="1:7">
      <c r="A874" s="573"/>
      <c r="B874" s="576"/>
      <c r="C874" s="25" t="s">
        <v>1346</v>
      </c>
      <c r="D874" s="310" t="s">
        <v>2644</v>
      </c>
      <c r="E874" s="52">
        <v>2</v>
      </c>
      <c r="F874" s="547"/>
    </row>
    <row r="875" spans="1:7">
      <c r="A875" s="573"/>
      <c r="B875" s="580" t="s">
        <v>1347</v>
      </c>
      <c r="C875" s="71" t="s">
        <v>1348</v>
      </c>
      <c r="D875" s="325" t="s">
        <v>2645</v>
      </c>
      <c r="E875" s="48">
        <v>1</v>
      </c>
      <c r="F875" s="548"/>
    </row>
    <row r="876" spans="1:7">
      <c r="A876" s="573"/>
      <c r="B876" s="576"/>
      <c r="C876" s="25" t="s">
        <v>1349</v>
      </c>
      <c r="D876" s="310" t="s">
        <v>2646</v>
      </c>
      <c r="E876" s="16">
        <v>2</v>
      </c>
      <c r="F876" s="543"/>
    </row>
    <row r="877" spans="1:7">
      <c r="A877" s="573"/>
      <c r="B877" s="576"/>
      <c r="C877" s="25" t="s">
        <v>1350</v>
      </c>
      <c r="D877" s="310" t="s">
        <v>2647</v>
      </c>
      <c r="E877" s="16">
        <v>3</v>
      </c>
      <c r="F877" s="543"/>
    </row>
    <row r="878" spans="1:7">
      <c r="A878" s="573"/>
      <c r="B878" s="576"/>
      <c r="C878" s="25" t="s">
        <v>1351</v>
      </c>
      <c r="D878" s="310" t="s">
        <v>2648</v>
      </c>
      <c r="E878" s="16">
        <v>4</v>
      </c>
      <c r="F878" s="543"/>
    </row>
    <row r="879" spans="1:7">
      <c r="A879" s="573"/>
      <c r="B879" s="576"/>
      <c r="C879" s="25" t="s">
        <v>1352</v>
      </c>
      <c r="D879" s="310" t="s">
        <v>2649</v>
      </c>
      <c r="E879" s="16">
        <v>4</v>
      </c>
      <c r="F879" s="543"/>
    </row>
    <row r="880" spans="1:7">
      <c r="A880" s="573"/>
      <c r="B880" s="576"/>
      <c r="C880" s="454" t="s">
        <v>1353</v>
      </c>
      <c r="D880" s="455" t="s">
        <v>2650</v>
      </c>
      <c r="E880" s="456">
        <v>5</v>
      </c>
      <c r="F880" s="550" t="s">
        <v>1264</v>
      </c>
    </row>
    <row r="881" spans="1:6" ht="19.5">
      <c r="A881" s="573"/>
      <c r="B881" s="576"/>
      <c r="C881" s="454" t="s">
        <v>1354</v>
      </c>
      <c r="D881" s="455" t="s">
        <v>2651</v>
      </c>
      <c r="E881" s="456" t="s">
        <v>746</v>
      </c>
      <c r="F881" s="550" t="s">
        <v>1264</v>
      </c>
    </row>
    <row r="882" spans="1:6">
      <c r="A882" s="573"/>
      <c r="B882" s="576"/>
      <c r="C882" s="454" t="s">
        <v>1355</v>
      </c>
      <c r="D882" s="455" t="s">
        <v>2652</v>
      </c>
      <c r="E882" s="456">
        <v>5</v>
      </c>
      <c r="F882" s="550" t="s">
        <v>1264</v>
      </c>
    </row>
    <row r="883" spans="1:6">
      <c r="A883" s="573"/>
      <c r="B883" s="576"/>
      <c r="C883" s="454" t="s">
        <v>1356</v>
      </c>
      <c r="D883" s="457" t="s">
        <v>2653</v>
      </c>
      <c r="E883" s="456">
        <v>2</v>
      </c>
      <c r="F883" s="550" t="s">
        <v>1264</v>
      </c>
    </row>
    <row r="884" spans="1:6">
      <c r="A884" s="573"/>
      <c r="B884" s="576"/>
      <c r="C884" s="567" t="s">
        <v>3418</v>
      </c>
      <c r="D884" s="500" t="s">
        <v>2654</v>
      </c>
      <c r="E884" s="456">
        <v>4</v>
      </c>
      <c r="F884" s="550" t="s">
        <v>3414</v>
      </c>
    </row>
    <row r="885" spans="1:6">
      <c r="A885" s="573"/>
      <c r="B885" s="576"/>
      <c r="C885" s="25" t="s">
        <v>1357</v>
      </c>
      <c r="D885" s="308" t="s">
        <v>3179</v>
      </c>
      <c r="E885" s="16">
        <v>2</v>
      </c>
      <c r="F885" s="543"/>
    </row>
    <row r="886" spans="1:6">
      <c r="A886" s="573"/>
      <c r="B886" s="576"/>
      <c r="C886" s="454" t="s">
        <v>1359</v>
      </c>
      <c r="D886" s="457" t="s">
        <v>2655</v>
      </c>
      <c r="E886" s="456">
        <v>4</v>
      </c>
      <c r="F886" s="550" t="s">
        <v>3414</v>
      </c>
    </row>
    <row r="887" spans="1:6" ht="19.5">
      <c r="A887" s="573"/>
      <c r="B887" s="576"/>
      <c r="C887" s="454" t="s">
        <v>1360</v>
      </c>
      <c r="D887" s="494" t="s">
        <v>2656</v>
      </c>
      <c r="E887" s="469" t="s">
        <v>746</v>
      </c>
      <c r="F887" s="550" t="s">
        <v>1264</v>
      </c>
    </row>
    <row r="888" spans="1:6" ht="33">
      <c r="A888" s="573"/>
      <c r="B888" s="576"/>
      <c r="C888" s="462" t="s">
        <v>1361</v>
      </c>
      <c r="D888" s="497" t="s">
        <v>2657</v>
      </c>
      <c r="E888" s="469">
        <v>6</v>
      </c>
      <c r="F888" s="556" t="s">
        <v>1264</v>
      </c>
    </row>
    <row r="889" spans="1:6">
      <c r="A889" s="573"/>
      <c r="B889" s="580" t="s">
        <v>1362</v>
      </c>
      <c r="C889" s="71" t="s">
        <v>1363</v>
      </c>
      <c r="D889" s="313" t="s">
        <v>3180</v>
      </c>
      <c r="E889" s="41">
        <v>2</v>
      </c>
      <c r="F889" s="548"/>
    </row>
    <row r="890" spans="1:6">
      <c r="A890" s="573"/>
      <c r="B890" s="576"/>
      <c r="C890" s="25" t="s">
        <v>1365</v>
      </c>
      <c r="D890" s="310" t="s">
        <v>2658</v>
      </c>
      <c r="E890" s="16">
        <v>3</v>
      </c>
      <c r="F890" s="543"/>
    </row>
    <row r="891" spans="1:6">
      <c r="A891" s="573"/>
      <c r="B891" s="576"/>
      <c r="C891" s="25" t="s">
        <v>1366</v>
      </c>
      <c r="D891" s="310" t="s">
        <v>2659</v>
      </c>
      <c r="E891" s="16">
        <v>4</v>
      </c>
      <c r="F891" s="543"/>
    </row>
    <row r="892" spans="1:6">
      <c r="A892" s="573"/>
      <c r="B892" s="576"/>
      <c r="C892" s="25" t="s">
        <v>1367</v>
      </c>
      <c r="D892" s="310" t="s">
        <v>2660</v>
      </c>
      <c r="E892" s="16">
        <v>3</v>
      </c>
      <c r="F892" s="543"/>
    </row>
    <row r="893" spans="1:6">
      <c r="A893" s="573"/>
      <c r="B893" s="576"/>
      <c r="C893" s="25" t="s">
        <v>1368</v>
      </c>
      <c r="D893" s="310" t="s">
        <v>2646</v>
      </c>
      <c r="E893" s="16">
        <v>2</v>
      </c>
      <c r="F893" s="543"/>
    </row>
    <row r="894" spans="1:6">
      <c r="A894" s="573"/>
      <c r="B894" s="576"/>
      <c r="C894" s="25" t="s">
        <v>1369</v>
      </c>
      <c r="D894" s="310" t="s">
        <v>2661</v>
      </c>
      <c r="E894" s="16">
        <v>3</v>
      </c>
      <c r="F894" s="543"/>
    </row>
    <row r="895" spans="1:6">
      <c r="A895" s="573"/>
      <c r="B895" s="576"/>
      <c r="C895" s="63" t="s">
        <v>1370</v>
      </c>
      <c r="D895" s="337" t="s">
        <v>2662</v>
      </c>
      <c r="E895" s="52">
        <v>3</v>
      </c>
      <c r="F895" s="547"/>
    </row>
    <row r="896" spans="1:6">
      <c r="A896" s="573"/>
      <c r="B896" s="580" t="s">
        <v>1371</v>
      </c>
      <c r="C896" s="71" t="s">
        <v>1372</v>
      </c>
      <c r="D896" s="325" t="s">
        <v>3181</v>
      </c>
      <c r="E896" s="48">
        <v>2</v>
      </c>
      <c r="F896" s="548"/>
    </row>
    <row r="897" spans="1:6">
      <c r="A897" s="573"/>
      <c r="B897" s="576"/>
      <c r="C897" s="25" t="s">
        <v>1374</v>
      </c>
      <c r="D897" s="310" t="s">
        <v>2663</v>
      </c>
      <c r="E897" s="16">
        <v>3</v>
      </c>
      <c r="F897" s="543"/>
    </row>
    <row r="898" spans="1:6">
      <c r="A898" s="573"/>
      <c r="B898" s="576"/>
      <c r="C898" s="25" t="s">
        <v>1375</v>
      </c>
      <c r="D898" s="310" t="s">
        <v>2664</v>
      </c>
      <c r="E898" s="16">
        <v>2</v>
      </c>
      <c r="F898" s="543"/>
    </row>
    <row r="899" spans="1:6">
      <c r="A899" s="573"/>
      <c r="B899" s="576"/>
      <c r="C899" s="25" t="s">
        <v>1376</v>
      </c>
      <c r="D899" s="308" t="s">
        <v>2130</v>
      </c>
      <c r="E899" s="16">
        <v>2</v>
      </c>
      <c r="F899" s="543"/>
    </row>
    <row r="900" spans="1:6">
      <c r="A900" s="573"/>
      <c r="B900" s="576"/>
      <c r="C900" s="63" t="s">
        <v>1377</v>
      </c>
      <c r="D900" s="337" t="s">
        <v>2665</v>
      </c>
      <c r="E900" s="67">
        <v>4</v>
      </c>
      <c r="F900" s="547"/>
    </row>
    <row r="901" spans="1:6">
      <c r="A901" s="573"/>
      <c r="B901" s="580" t="s">
        <v>1378</v>
      </c>
      <c r="C901" s="71" t="s">
        <v>1379</v>
      </c>
      <c r="D901" s="339" t="s">
        <v>2666</v>
      </c>
      <c r="E901" s="41">
        <v>2</v>
      </c>
      <c r="F901" s="548"/>
    </row>
    <row r="902" spans="1:6">
      <c r="A902" s="573"/>
      <c r="B902" s="576"/>
      <c r="C902" s="25" t="s">
        <v>1380</v>
      </c>
      <c r="D902" s="308" t="s">
        <v>3182</v>
      </c>
      <c r="E902" s="16">
        <v>3</v>
      </c>
      <c r="F902" s="543"/>
    </row>
    <row r="903" spans="1:6">
      <c r="A903" s="573"/>
      <c r="B903" s="576"/>
      <c r="C903" s="25" t="s">
        <v>1382</v>
      </c>
      <c r="D903" s="308" t="s">
        <v>2667</v>
      </c>
      <c r="E903" s="16">
        <v>3</v>
      </c>
      <c r="F903" s="543"/>
    </row>
    <row r="904" spans="1:6">
      <c r="A904" s="573"/>
      <c r="B904" s="576"/>
      <c r="C904" s="25" t="s">
        <v>1383</v>
      </c>
      <c r="D904" s="308" t="s">
        <v>3183</v>
      </c>
      <c r="E904" s="16">
        <v>3</v>
      </c>
      <c r="F904" s="543"/>
    </row>
    <row r="905" spans="1:6">
      <c r="A905" s="573"/>
      <c r="B905" s="576"/>
      <c r="C905" s="25" t="s">
        <v>1385</v>
      </c>
      <c r="D905" s="308" t="s">
        <v>2668</v>
      </c>
      <c r="E905" s="16">
        <v>3</v>
      </c>
      <c r="F905" s="543"/>
    </row>
    <row r="906" spans="1:6">
      <c r="A906" s="573"/>
      <c r="B906" s="576"/>
      <c r="C906" s="25" t="s">
        <v>1386</v>
      </c>
      <c r="D906" s="308" t="s">
        <v>2669</v>
      </c>
      <c r="E906" s="16">
        <v>3</v>
      </c>
      <c r="F906" s="543"/>
    </row>
    <row r="907" spans="1:6">
      <c r="A907" s="573"/>
      <c r="B907" s="576"/>
      <c r="C907" s="25" t="s">
        <v>1387</v>
      </c>
      <c r="D907" s="308" t="s">
        <v>2670</v>
      </c>
      <c r="E907" s="16">
        <v>4</v>
      </c>
      <c r="F907" s="543"/>
    </row>
    <row r="908" spans="1:6">
      <c r="A908" s="573"/>
      <c r="B908" s="576"/>
      <c r="C908" s="25" t="s">
        <v>1388</v>
      </c>
      <c r="D908" s="308" t="s">
        <v>3184</v>
      </c>
      <c r="E908" s="16">
        <v>4</v>
      </c>
      <c r="F908" s="543"/>
    </row>
    <row r="909" spans="1:6">
      <c r="A909" s="573"/>
      <c r="B909" s="576"/>
      <c r="C909" s="454" t="s">
        <v>1390</v>
      </c>
      <c r="D909" s="457" t="s">
        <v>2671</v>
      </c>
      <c r="E909" s="456">
        <v>5</v>
      </c>
      <c r="F909" s="550" t="s">
        <v>1264</v>
      </c>
    </row>
    <row r="910" spans="1:6" ht="19.5">
      <c r="A910" s="573"/>
      <c r="B910" s="576"/>
      <c r="C910" s="454" t="s">
        <v>1391</v>
      </c>
      <c r="D910" s="457" t="s">
        <v>2672</v>
      </c>
      <c r="E910" s="456" t="s">
        <v>746</v>
      </c>
      <c r="F910" s="550" t="s">
        <v>1264</v>
      </c>
    </row>
    <row r="911" spans="1:6">
      <c r="A911" s="573"/>
      <c r="B911" s="576"/>
      <c r="C911" s="25" t="s">
        <v>1392</v>
      </c>
      <c r="D911" s="308" t="s">
        <v>2673</v>
      </c>
      <c r="E911" s="16">
        <v>3</v>
      </c>
      <c r="F911" s="543"/>
    </row>
    <row r="912" spans="1:6">
      <c r="A912" s="573"/>
      <c r="B912" s="576"/>
      <c r="C912" s="25" t="s">
        <v>1393</v>
      </c>
      <c r="D912" s="308" t="s">
        <v>3185</v>
      </c>
      <c r="E912" s="16">
        <v>2</v>
      </c>
      <c r="F912" s="543"/>
    </row>
    <row r="913" spans="1:6">
      <c r="A913" s="573"/>
      <c r="B913" s="576"/>
      <c r="C913" s="25" t="s">
        <v>1395</v>
      </c>
      <c r="D913" s="308" t="s">
        <v>2674</v>
      </c>
      <c r="E913" s="16">
        <v>3</v>
      </c>
      <c r="F913" s="543"/>
    </row>
    <row r="914" spans="1:6">
      <c r="A914" s="573"/>
      <c r="B914" s="576"/>
      <c r="C914" s="25" t="s">
        <v>1396</v>
      </c>
      <c r="D914" s="343" t="s">
        <v>2675</v>
      </c>
      <c r="E914" s="16">
        <v>3</v>
      </c>
      <c r="F914" s="543"/>
    </row>
    <row r="915" spans="1:6">
      <c r="A915" s="573"/>
      <c r="B915" s="576"/>
      <c r="C915" s="63" t="s">
        <v>1397</v>
      </c>
      <c r="D915" s="354" t="s">
        <v>2676</v>
      </c>
      <c r="E915" s="48">
        <v>3</v>
      </c>
      <c r="F915" s="543"/>
    </row>
    <row r="916" spans="1:6">
      <c r="A916" s="573"/>
      <c r="B916" s="576"/>
      <c r="C916" s="63" t="s">
        <v>1398</v>
      </c>
      <c r="D916" s="355" t="s">
        <v>2677</v>
      </c>
      <c r="E916" s="16">
        <v>3</v>
      </c>
      <c r="F916" s="543"/>
    </row>
    <row r="917" spans="1:6">
      <c r="A917" s="573"/>
      <c r="B917" s="576"/>
      <c r="C917" s="63" t="s">
        <v>3186</v>
      </c>
      <c r="D917" s="352" t="s">
        <v>3187</v>
      </c>
      <c r="E917" s="144">
        <v>2</v>
      </c>
      <c r="F917" s="543"/>
    </row>
    <row r="918" spans="1:6">
      <c r="A918" s="573"/>
      <c r="B918" s="576"/>
      <c r="C918" s="63" t="s">
        <v>3188</v>
      </c>
      <c r="D918" s="390" t="s">
        <v>3189</v>
      </c>
      <c r="E918" s="414">
        <v>2</v>
      </c>
      <c r="F918" s="547"/>
    </row>
    <row r="919" spans="1:6">
      <c r="A919" s="573"/>
      <c r="B919" s="577" t="s">
        <v>1405</v>
      </c>
      <c r="C919" s="71" t="s">
        <v>1406</v>
      </c>
      <c r="D919" s="346" t="s">
        <v>2678</v>
      </c>
      <c r="E919" s="41">
        <v>2</v>
      </c>
      <c r="F919" s="548"/>
    </row>
    <row r="920" spans="1:6">
      <c r="A920" s="573"/>
      <c r="B920" s="578"/>
      <c r="C920" s="25" t="s">
        <v>1407</v>
      </c>
      <c r="D920" s="333" t="s">
        <v>2679</v>
      </c>
      <c r="E920" s="16">
        <v>3</v>
      </c>
      <c r="F920" s="543"/>
    </row>
    <row r="921" spans="1:6">
      <c r="A921" s="573"/>
      <c r="B921" s="578"/>
      <c r="C921" s="25" t="s">
        <v>1408</v>
      </c>
      <c r="D921" s="333" t="s">
        <v>2680</v>
      </c>
      <c r="E921" s="16">
        <v>3</v>
      </c>
      <c r="F921" s="543"/>
    </row>
    <row r="922" spans="1:6">
      <c r="A922" s="573"/>
      <c r="B922" s="578"/>
      <c r="C922" s="454" t="s">
        <v>1409</v>
      </c>
      <c r="D922" s="457" t="s">
        <v>2681</v>
      </c>
      <c r="E922" s="456">
        <v>5</v>
      </c>
      <c r="F922" s="550" t="s">
        <v>1264</v>
      </c>
    </row>
    <row r="923" spans="1:6">
      <c r="A923" s="573"/>
      <c r="B923" s="578"/>
      <c r="C923" s="25" t="s">
        <v>1410</v>
      </c>
      <c r="D923" s="333" t="s">
        <v>2682</v>
      </c>
      <c r="E923" s="16">
        <v>3</v>
      </c>
      <c r="F923" s="543"/>
    </row>
    <row r="924" spans="1:6">
      <c r="A924" s="573"/>
      <c r="B924" s="578"/>
      <c r="C924" s="454" t="s">
        <v>1411</v>
      </c>
      <c r="D924" s="457" t="s">
        <v>2683</v>
      </c>
      <c r="E924" s="456">
        <v>5</v>
      </c>
      <c r="F924" s="550" t="s">
        <v>1264</v>
      </c>
    </row>
    <row r="925" spans="1:6">
      <c r="A925" s="573"/>
      <c r="B925" s="578"/>
      <c r="C925" s="462" t="s">
        <v>1412</v>
      </c>
      <c r="D925" s="498" t="s">
        <v>2684</v>
      </c>
      <c r="E925" s="469">
        <v>5</v>
      </c>
      <c r="F925" s="556" t="s">
        <v>1264</v>
      </c>
    </row>
    <row r="926" spans="1:6">
      <c r="A926" s="573"/>
      <c r="B926" s="580" t="s">
        <v>3198</v>
      </c>
      <c r="C926" s="506" t="s">
        <v>3190</v>
      </c>
      <c r="D926" s="502" t="s">
        <v>3191</v>
      </c>
      <c r="E926" s="503">
        <v>5</v>
      </c>
      <c r="F926" s="551" t="s">
        <v>1264</v>
      </c>
    </row>
    <row r="927" spans="1:6">
      <c r="A927" s="573"/>
      <c r="B927" s="576"/>
      <c r="C927" s="477" t="s">
        <v>3192</v>
      </c>
      <c r="D927" s="500" t="s">
        <v>3193</v>
      </c>
      <c r="E927" s="456">
        <v>6</v>
      </c>
      <c r="F927" s="550" t="s">
        <v>1264</v>
      </c>
    </row>
    <row r="928" spans="1:6">
      <c r="A928" s="573"/>
      <c r="B928" s="576"/>
      <c r="C928" s="477" t="s">
        <v>1418</v>
      </c>
      <c r="D928" s="500" t="s">
        <v>3194</v>
      </c>
      <c r="E928" s="456">
        <v>4</v>
      </c>
      <c r="F928" s="550" t="s">
        <v>3414</v>
      </c>
    </row>
    <row r="929" spans="1:7">
      <c r="A929" s="573"/>
      <c r="B929" s="576"/>
      <c r="C929" s="477" t="s">
        <v>1421</v>
      </c>
      <c r="D929" s="504" t="s">
        <v>3195</v>
      </c>
      <c r="E929" s="456">
        <v>5</v>
      </c>
      <c r="F929" s="550" t="s">
        <v>1264</v>
      </c>
    </row>
    <row r="930" spans="1:7">
      <c r="A930" s="573"/>
      <c r="B930" s="576"/>
      <c r="C930" s="470" t="s">
        <v>1424</v>
      </c>
      <c r="D930" s="504" t="s">
        <v>3196</v>
      </c>
      <c r="E930" s="529">
        <v>5</v>
      </c>
      <c r="F930" s="550" t="s">
        <v>1264</v>
      </c>
    </row>
    <row r="931" spans="1:7" ht="19.5" thickBot="1">
      <c r="A931" s="574"/>
      <c r="B931" s="582"/>
      <c r="C931" s="99" t="s">
        <v>1426</v>
      </c>
      <c r="D931" s="418" t="s">
        <v>3197</v>
      </c>
      <c r="E931" s="139">
        <v>2</v>
      </c>
      <c r="F931" s="549"/>
    </row>
    <row r="932" spans="1:7" ht="19.5" thickTop="1">
      <c r="A932" s="572" t="s">
        <v>1429</v>
      </c>
      <c r="B932" s="575" t="s">
        <v>1430</v>
      </c>
      <c r="C932" s="22" t="s">
        <v>1431</v>
      </c>
      <c r="D932" s="313" t="s">
        <v>2685</v>
      </c>
      <c r="E932" s="94">
        <v>1</v>
      </c>
      <c r="F932" s="548"/>
    </row>
    <row r="933" spans="1:7">
      <c r="A933" s="573"/>
      <c r="B933" s="576"/>
      <c r="C933" s="25" t="s">
        <v>1432</v>
      </c>
      <c r="D933" s="310" t="s">
        <v>2686</v>
      </c>
      <c r="E933" s="29">
        <v>1</v>
      </c>
      <c r="F933" s="543"/>
      <c r="G933" s="570" t="s">
        <v>3424</v>
      </c>
    </row>
    <row r="934" spans="1:7">
      <c r="A934" s="573"/>
      <c r="B934" s="576"/>
      <c r="C934" s="132" t="s">
        <v>1433</v>
      </c>
      <c r="D934" s="314" t="s">
        <v>3199</v>
      </c>
      <c r="E934" s="29">
        <v>1</v>
      </c>
      <c r="F934" s="543"/>
      <c r="G934" s="570" t="s">
        <v>3422</v>
      </c>
    </row>
    <row r="935" spans="1:7">
      <c r="A935" s="573"/>
      <c r="B935" s="576"/>
      <c r="C935" s="132" t="s">
        <v>3201</v>
      </c>
      <c r="D935" s="314" t="s">
        <v>3200</v>
      </c>
      <c r="E935" s="29">
        <v>1</v>
      </c>
      <c r="F935" s="543"/>
    </row>
    <row r="936" spans="1:7">
      <c r="A936" s="573"/>
      <c r="B936" s="576"/>
      <c r="C936" s="25" t="s">
        <v>1438</v>
      </c>
      <c r="D936" s="310" t="s">
        <v>2687</v>
      </c>
      <c r="E936" s="29">
        <v>1</v>
      </c>
      <c r="F936" s="543"/>
    </row>
    <row r="937" spans="1:7">
      <c r="A937" s="573"/>
      <c r="B937" s="576"/>
      <c r="C937" s="25" t="s">
        <v>1439</v>
      </c>
      <c r="D937" s="310" t="s">
        <v>2688</v>
      </c>
      <c r="E937" s="29">
        <v>1</v>
      </c>
      <c r="F937" s="543"/>
    </row>
    <row r="938" spans="1:7">
      <c r="A938" s="573"/>
      <c r="B938" s="576"/>
      <c r="C938" s="25" t="s">
        <v>1440</v>
      </c>
      <c r="D938" s="310" t="s">
        <v>2689</v>
      </c>
      <c r="E938" s="29">
        <v>1</v>
      </c>
      <c r="F938" s="543"/>
    </row>
    <row r="939" spans="1:7">
      <c r="A939" s="573"/>
      <c r="B939" s="576"/>
      <c r="C939" s="25" t="s">
        <v>1441</v>
      </c>
      <c r="D939" s="310" t="s">
        <v>2690</v>
      </c>
      <c r="E939" s="83">
        <v>2</v>
      </c>
      <c r="F939" s="543"/>
    </row>
    <row r="940" spans="1:7">
      <c r="A940" s="573"/>
      <c r="B940" s="576"/>
      <c r="C940" s="25" t="s">
        <v>1442</v>
      </c>
      <c r="D940" s="310" t="s">
        <v>2691</v>
      </c>
      <c r="E940" s="29">
        <v>1</v>
      </c>
      <c r="F940" s="543"/>
    </row>
    <row r="941" spans="1:7">
      <c r="A941" s="573"/>
      <c r="B941" s="576"/>
      <c r="C941" s="25" t="s">
        <v>1443</v>
      </c>
      <c r="D941" s="310" t="s">
        <v>2692</v>
      </c>
      <c r="E941" s="83">
        <v>2</v>
      </c>
      <c r="F941" s="543"/>
    </row>
    <row r="942" spans="1:7">
      <c r="A942" s="573"/>
      <c r="B942" s="576"/>
      <c r="C942" s="25" t="s">
        <v>1444</v>
      </c>
      <c r="D942" s="310" t="s">
        <v>2693</v>
      </c>
      <c r="E942" s="83">
        <v>2</v>
      </c>
      <c r="F942" s="543"/>
    </row>
    <row r="943" spans="1:7">
      <c r="A943" s="573"/>
      <c r="B943" s="576"/>
      <c r="C943" s="25" t="s">
        <v>1445</v>
      </c>
      <c r="D943" s="310" t="s">
        <v>2694</v>
      </c>
      <c r="E943" s="83">
        <v>2</v>
      </c>
      <c r="F943" s="543"/>
    </row>
    <row r="944" spans="1:7">
      <c r="A944" s="573"/>
      <c r="B944" s="576"/>
      <c r="C944" s="25" t="s">
        <v>1446</v>
      </c>
      <c r="D944" s="310" t="s">
        <v>2695</v>
      </c>
      <c r="E944" s="83">
        <v>2</v>
      </c>
      <c r="F944" s="543"/>
    </row>
    <row r="945" spans="1:6">
      <c r="A945" s="573"/>
      <c r="B945" s="576"/>
      <c r="C945" s="25" t="s">
        <v>1447</v>
      </c>
      <c r="D945" s="310" t="s">
        <v>2696</v>
      </c>
      <c r="E945" s="83">
        <v>2</v>
      </c>
      <c r="F945" s="543"/>
    </row>
    <row r="946" spans="1:6">
      <c r="A946" s="573"/>
      <c r="B946" s="576"/>
      <c r="C946" s="25" t="s">
        <v>1448</v>
      </c>
      <c r="D946" s="310" t="s">
        <v>2697</v>
      </c>
      <c r="E946" s="83">
        <v>2</v>
      </c>
      <c r="F946" s="543"/>
    </row>
    <row r="947" spans="1:6">
      <c r="A947" s="573"/>
      <c r="B947" s="576"/>
      <c r="C947" s="25" t="s">
        <v>1449</v>
      </c>
      <c r="D947" s="310" t="s">
        <v>2698</v>
      </c>
      <c r="E947" s="83">
        <v>2</v>
      </c>
      <c r="F947" s="543"/>
    </row>
    <row r="948" spans="1:6">
      <c r="A948" s="573"/>
      <c r="B948" s="576"/>
      <c r="C948" s="25" t="s">
        <v>1450</v>
      </c>
      <c r="D948" s="310" t="s">
        <v>2699</v>
      </c>
      <c r="E948" s="29">
        <v>1</v>
      </c>
      <c r="F948" s="543"/>
    </row>
    <row r="949" spans="1:6">
      <c r="A949" s="573"/>
      <c r="B949" s="576"/>
      <c r="C949" s="25" t="s">
        <v>1451</v>
      </c>
      <c r="D949" s="310" t="s">
        <v>2700</v>
      </c>
      <c r="E949" s="29">
        <v>1</v>
      </c>
      <c r="F949" s="543"/>
    </row>
    <row r="950" spans="1:6">
      <c r="A950" s="573"/>
      <c r="B950" s="576"/>
      <c r="C950" s="25" t="s">
        <v>1452</v>
      </c>
      <c r="D950" s="310" t="s">
        <v>2701</v>
      </c>
      <c r="E950" s="29">
        <v>1</v>
      </c>
      <c r="F950" s="543"/>
    </row>
    <row r="951" spans="1:6">
      <c r="A951" s="573"/>
      <c r="B951" s="576"/>
      <c r="C951" s="25" t="s">
        <v>1453</v>
      </c>
      <c r="D951" s="310" t="s">
        <v>2702</v>
      </c>
      <c r="E951" s="29">
        <v>1</v>
      </c>
      <c r="F951" s="543"/>
    </row>
    <row r="952" spans="1:6">
      <c r="A952" s="573"/>
      <c r="B952" s="576"/>
      <c r="C952" s="25" t="s">
        <v>1454</v>
      </c>
      <c r="D952" s="310" t="s">
        <v>2703</v>
      </c>
      <c r="E952" s="83">
        <v>2</v>
      </c>
      <c r="F952" s="543"/>
    </row>
    <row r="953" spans="1:6">
      <c r="A953" s="573"/>
      <c r="B953" s="576"/>
      <c r="C953" s="25" t="s">
        <v>1455</v>
      </c>
      <c r="D953" s="310" t="s">
        <v>2704</v>
      </c>
      <c r="E953" s="29">
        <v>3</v>
      </c>
      <c r="F953" s="543"/>
    </row>
    <row r="954" spans="1:6">
      <c r="A954" s="573"/>
      <c r="B954" s="576"/>
      <c r="C954" s="25" t="s">
        <v>1456</v>
      </c>
      <c r="D954" s="310" t="s">
        <v>2705</v>
      </c>
      <c r="E954" s="29">
        <v>1</v>
      </c>
      <c r="F954" s="543"/>
    </row>
    <row r="955" spans="1:6">
      <c r="A955" s="573"/>
      <c r="B955" s="576"/>
      <c r="C955" s="132" t="s">
        <v>1457</v>
      </c>
      <c r="D955" s="314" t="s">
        <v>3202</v>
      </c>
      <c r="E955" s="29">
        <v>1</v>
      </c>
      <c r="F955" s="543"/>
    </row>
    <row r="956" spans="1:6">
      <c r="A956" s="573"/>
      <c r="B956" s="576"/>
      <c r="C956" s="25" t="s">
        <v>1459</v>
      </c>
      <c r="D956" s="310" t="s">
        <v>2706</v>
      </c>
      <c r="E956" s="29">
        <v>1</v>
      </c>
      <c r="F956" s="543"/>
    </row>
    <row r="957" spans="1:6">
      <c r="A957" s="573"/>
      <c r="B957" s="576"/>
      <c r="C957" s="25" t="s">
        <v>1460</v>
      </c>
      <c r="D957" s="310" t="s">
        <v>2707</v>
      </c>
      <c r="E957" s="29">
        <v>1</v>
      </c>
      <c r="F957" s="543"/>
    </row>
    <row r="958" spans="1:6">
      <c r="A958" s="573"/>
      <c r="B958" s="576"/>
      <c r="C958" s="132" t="s">
        <v>1461</v>
      </c>
      <c r="D958" s="314" t="s">
        <v>2708</v>
      </c>
      <c r="E958" s="29">
        <v>1</v>
      </c>
      <c r="F958" s="543"/>
    </row>
    <row r="959" spans="1:6">
      <c r="A959" s="573"/>
      <c r="B959" s="576"/>
      <c r="C959" s="25" t="s">
        <v>1462</v>
      </c>
      <c r="D959" s="310" t="s">
        <v>2709</v>
      </c>
      <c r="E959" s="83">
        <v>2</v>
      </c>
      <c r="F959" s="543"/>
    </row>
    <row r="960" spans="1:6">
      <c r="A960" s="573"/>
      <c r="B960" s="576"/>
      <c r="C960" s="25" t="s">
        <v>1463</v>
      </c>
      <c r="D960" s="310" t="s">
        <v>2710</v>
      </c>
      <c r="E960" s="83">
        <v>2</v>
      </c>
      <c r="F960" s="543"/>
    </row>
    <row r="961" spans="1:6">
      <c r="A961" s="573"/>
      <c r="B961" s="576"/>
      <c r="C961" s="132" t="s">
        <v>1464</v>
      </c>
      <c r="D961" s="314" t="s">
        <v>2711</v>
      </c>
      <c r="E961" s="29">
        <v>1</v>
      </c>
      <c r="F961" s="543"/>
    </row>
    <row r="962" spans="1:6">
      <c r="A962" s="573"/>
      <c r="B962" s="576"/>
      <c r="C962" s="132" t="s">
        <v>1465</v>
      </c>
      <c r="D962" s="314" t="s">
        <v>3203</v>
      </c>
      <c r="E962" s="29">
        <v>3</v>
      </c>
      <c r="F962" s="543"/>
    </row>
    <row r="963" spans="1:6">
      <c r="A963" s="573"/>
      <c r="B963" s="576"/>
      <c r="C963" s="25" t="s">
        <v>1467</v>
      </c>
      <c r="D963" s="310" t="s">
        <v>2712</v>
      </c>
      <c r="E963" s="83">
        <v>2</v>
      </c>
      <c r="F963" s="543"/>
    </row>
    <row r="964" spans="1:6">
      <c r="A964" s="573"/>
      <c r="B964" s="576"/>
      <c r="C964" s="25" t="s">
        <v>1468</v>
      </c>
      <c r="D964" s="310" t="s">
        <v>2713</v>
      </c>
      <c r="E964" s="29">
        <v>1</v>
      </c>
      <c r="F964" s="543"/>
    </row>
    <row r="965" spans="1:6">
      <c r="A965" s="573"/>
      <c r="B965" s="576"/>
      <c r="C965" s="25"/>
      <c r="D965" s="310" t="s">
        <v>2714</v>
      </c>
      <c r="E965" s="83"/>
      <c r="F965" s="543"/>
    </row>
    <row r="966" spans="1:6">
      <c r="A966" s="573"/>
      <c r="B966" s="576"/>
      <c r="C966" s="25" t="s">
        <v>1469</v>
      </c>
      <c r="D966" s="310" t="s">
        <v>3204</v>
      </c>
      <c r="E966" s="29">
        <v>1</v>
      </c>
      <c r="F966" s="543"/>
    </row>
    <row r="967" spans="1:6">
      <c r="A967" s="573"/>
      <c r="B967" s="576"/>
      <c r="C967" s="25" t="s">
        <v>1471</v>
      </c>
      <c r="D967" s="310" t="s">
        <v>3205</v>
      </c>
      <c r="E967" s="29">
        <v>1</v>
      </c>
      <c r="F967" s="543"/>
    </row>
    <row r="968" spans="1:6">
      <c r="A968" s="573"/>
      <c r="B968" s="576"/>
      <c r="C968" s="25" t="s">
        <v>1473</v>
      </c>
      <c r="D968" s="310" t="s">
        <v>3206</v>
      </c>
      <c r="E968" s="29">
        <v>3</v>
      </c>
      <c r="F968" s="543"/>
    </row>
    <row r="969" spans="1:6">
      <c r="A969" s="573"/>
      <c r="B969" s="576"/>
      <c r="C969" s="25" t="s">
        <v>1475</v>
      </c>
      <c r="D969" s="310" t="s">
        <v>3207</v>
      </c>
      <c r="E969" s="29">
        <v>3</v>
      </c>
      <c r="F969" s="543"/>
    </row>
    <row r="970" spans="1:6">
      <c r="A970" s="573"/>
      <c r="B970" s="576"/>
      <c r="C970" s="25"/>
      <c r="D970" s="310" t="s">
        <v>2715</v>
      </c>
      <c r="E970" s="83"/>
      <c r="F970" s="543"/>
    </row>
    <row r="971" spans="1:6">
      <c r="A971" s="573"/>
      <c r="B971" s="576"/>
      <c r="C971" s="25" t="s">
        <v>1477</v>
      </c>
      <c r="D971" s="310" t="s">
        <v>3208</v>
      </c>
      <c r="E971" s="83">
        <v>2</v>
      </c>
      <c r="F971" s="543"/>
    </row>
    <row r="972" spans="1:6">
      <c r="A972" s="573"/>
      <c r="B972" s="576"/>
      <c r="C972" s="25" t="s">
        <v>1479</v>
      </c>
      <c r="D972" s="310" t="s">
        <v>3209</v>
      </c>
      <c r="E972" s="83">
        <v>2</v>
      </c>
      <c r="F972" s="543"/>
    </row>
    <row r="973" spans="1:6">
      <c r="A973" s="573"/>
      <c r="B973" s="576"/>
      <c r="C973" s="25" t="s">
        <v>1481</v>
      </c>
      <c r="D973" s="310" t="s">
        <v>3210</v>
      </c>
      <c r="E973" s="29">
        <v>4</v>
      </c>
      <c r="F973" s="543"/>
    </row>
    <row r="974" spans="1:6">
      <c r="A974" s="573"/>
      <c r="B974" s="576"/>
      <c r="C974" s="454" t="s">
        <v>1483</v>
      </c>
      <c r="D974" s="455" t="s">
        <v>3211</v>
      </c>
      <c r="E974" s="461">
        <v>5</v>
      </c>
      <c r="F974" s="550" t="s">
        <v>1264</v>
      </c>
    </row>
    <row r="975" spans="1:6">
      <c r="A975" s="573"/>
      <c r="B975" s="576"/>
      <c r="C975" s="25" t="s">
        <v>1485</v>
      </c>
      <c r="D975" s="310" t="s">
        <v>2716</v>
      </c>
      <c r="E975" s="29">
        <v>3</v>
      </c>
      <c r="F975" s="543"/>
    </row>
    <row r="976" spans="1:6">
      <c r="A976" s="573"/>
      <c r="B976" s="576"/>
      <c r="C976" s="25" t="s">
        <v>1486</v>
      </c>
      <c r="D976" s="310" t="s">
        <v>3212</v>
      </c>
      <c r="E976" s="29">
        <v>1</v>
      </c>
      <c r="F976" s="543"/>
    </row>
    <row r="977" spans="1:7">
      <c r="A977" s="573"/>
      <c r="B977" s="576"/>
      <c r="C977" s="25" t="s">
        <v>3216</v>
      </c>
      <c r="D977" s="310" t="s">
        <v>3213</v>
      </c>
      <c r="E977" s="29">
        <v>2</v>
      </c>
      <c r="F977" s="543"/>
    </row>
    <row r="978" spans="1:7">
      <c r="A978" s="573"/>
      <c r="B978" s="576"/>
      <c r="C978" s="132" t="s">
        <v>1492</v>
      </c>
      <c r="D978" s="314" t="s">
        <v>3214</v>
      </c>
      <c r="E978" s="29">
        <v>1</v>
      </c>
      <c r="F978" s="543"/>
      <c r="G978" s="570" t="s">
        <v>3422</v>
      </c>
    </row>
    <row r="979" spans="1:7">
      <c r="A979" s="573"/>
      <c r="B979" s="576"/>
      <c r="C979" s="132" t="s">
        <v>3217</v>
      </c>
      <c r="D979" s="314" t="s">
        <v>3215</v>
      </c>
      <c r="E979" s="29">
        <v>1</v>
      </c>
      <c r="F979" s="543"/>
      <c r="G979" s="570" t="s">
        <v>3422</v>
      </c>
    </row>
    <row r="980" spans="1:7">
      <c r="A980" s="573"/>
      <c r="B980" s="576"/>
      <c r="C980" s="25" t="s">
        <v>1497</v>
      </c>
      <c r="D980" s="310" t="s">
        <v>2717</v>
      </c>
      <c r="E980" s="29">
        <v>1</v>
      </c>
      <c r="F980" s="543"/>
      <c r="G980" s="570" t="s">
        <v>3423</v>
      </c>
    </row>
    <row r="981" spans="1:7">
      <c r="A981" s="573"/>
      <c r="B981" s="576"/>
      <c r="C981" s="132" t="s">
        <v>3218</v>
      </c>
      <c r="D981" s="314" t="s">
        <v>3219</v>
      </c>
      <c r="E981" s="29">
        <v>1</v>
      </c>
      <c r="F981" s="543"/>
    </row>
    <row r="982" spans="1:7">
      <c r="A982" s="573"/>
      <c r="B982" s="576"/>
      <c r="C982" s="132" t="s">
        <v>1501</v>
      </c>
      <c r="D982" s="314" t="s">
        <v>3251</v>
      </c>
      <c r="E982" s="29">
        <v>1</v>
      </c>
      <c r="F982" s="543"/>
      <c r="G982" s="570" t="s">
        <v>3422</v>
      </c>
    </row>
    <row r="983" spans="1:7">
      <c r="A983" s="573"/>
      <c r="B983" s="576"/>
      <c r="C983" s="132" t="s">
        <v>3220</v>
      </c>
      <c r="D983" s="314" t="s">
        <v>3221</v>
      </c>
      <c r="E983" s="29">
        <v>1</v>
      </c>
      <c r="F983" s="543"/>
      <c r="G983" s="570" t="s">
        <v>3423</v>
      </c>
    </row>
    <row r="984" spans="1:7">
      <c r="A984" s="573"/>
      <c r="B984" s="576"/>
      <c r="C984" s="132" t="s">
        <v>1507</v>
      </c>
      <c r="D984" s="314" t="s">
        <v>3222</v>
      </c>
      <c r="E984" s="29">
        <v>2</v>
      </c>
      <c r="F984" s="543"/>
      <c r="G984" s="570" t="s">
        <v>3422</v>
      </c>
    </row>
    <row r="985" spans="1:7">
      <c r="A985" s="573"/>
      <c r="B985" s="576"/>
      <c r="C985" s="25" t="s">
        <v>1510</v>
      </c>
      <c r="D985" s="310" t="s">
        <v>2718</v>
      </c>
      <c r="E985" s="29">
        <v>2</v>
      </c>
      <c r="F985" s="543"/>
    </row>
    <row r="986" spans="1:7">
      <c r="A986" s="573"/>
      <c r="B986" s="576"/>
      <c r="C986" s="132" t="s">
        <v>1511</v>
      </c>
      <c r="D986" s="314" t="s">
        <v>3250</v>
      </c>
      <c r="E986" s="29">
        <v>2</v>
      </c>
      <c r="F986" s="543"/>
    </row>
    <row r="987" spans="1:7">
      <c r="A987" s="573"/>
      <c r="B987" s="576"/>
      <c r="C987" s="132" t="s">
        <v>3223</v>
      </c>
      <c r="D987" s="314" t="s">
        <v>3224</v>
      </c>
      <c r="E987" s="29">
        <v>2</v>
      </c>
      <c r="F987" s="543"/>
    </row>
    <row r="988" spans="1:7">
      <c r="A988" s="573"/>
      <c r="B988" s="576"/>
      <c r="C988" s="25" t="s">
        <v>1516</v>
      </c>
      <c r="D988" s="310" t="s">
        <v>2719</v>
      </c>
      <c r="E988" s="29">
        <v>2</v>
      </c>
      <c r="F988" s="543"/>
    </row>
    <row r="989" spans="1:7">
      <c r="A989" s="573"/>
      <c r="B989" s="576"/>
      <c r="C989" s="25" t="s">
        <v>1517</v>
      </c>
      <c r="D989" s="310" t="s">
        <v>3225</v>
      </c>
      <c r="E989" s="29">
        <v>3</v>
      </c>
      <c r="F989" s="543"/>
    </row>
    <row r="990" spans="1:7">
      <c r="A990" s="573"/>
      <c r="B990" s="576"/>
      <c r="C990" s="25" t="s">
        <v>1520</v>
      </c>
      <c r="D990" s="310" t="s">
        <v>2720</v>
      </c>
      <c r="E990" s="29">
        <v>2</v>
      </c>
      <c r="F990" s="543"/>
    </row>
    <row r="991" spans="1:7" ht="19.5">
      <c r="A991" s="573"/>
      <c r="B991" s="576"/>
      <c r="C991" s="454" t="s">
        <v>3226</v>
      </c>
      <c r="D991" s="455" t="s">
        <v>3227</v>
      </c>
      <c r="E991" s="530" t="s">
        <v>1264</v>
      </c>
      <c r="F991" s="550" t="s">
        <v>1264</v>
      </c>
      <c r="G991" s="570" t="s">
        <v>3422</v>
      </c>
    </row>
    <row r="992" spans="1:7">
      <c r="A992" s="573"/>
      <c r="B992" s="576"/>
      <c r="C992" s="132" t="s">
        <v>3228</v>
      </c>
      <c r="D992" s="314" t="s">
        <v>3229</v>
      </c>
      <c r="E992" s="29">
        <v>1</v>
      </c>
      <c r="F992" s="543"/>
    </row>
    <row r="993" spans="1:7">
      <c r="A993" s="573"/>
      <c r="B993" s="576"/>
      <c r="C993" s="132" t="s">
        <v>3230</v>
      </c>
      <c r="D993" s="314" t="s">
        <v>3231</v>
      </c>
      <c r="E993" s="29">
        <v>1</v>
      </c>
      <c r="F993" s="543"/>
    </row>
    <row r="994" spans="1:7">
      <c r="A994" s="573"/>
      <c r="B994" s="576"/>
      <c r="C994" s="132" t="s">
        <v>3232</v>
      </c>
      <c r="D994" s="314" t="s">
        <v>3233</v>
      </c>
      <c r="E994" s="29">
        <v>1</v>
      </c>
      <c r="F994" s="543"/>
    </row>
    <row r="995" spans="1:7">
      <c r="A995" s="573"/>
      <c r="B995" s="576"/>
      <c r="C995" s="132" t="s">
        <v>3234</v>
      </c>
      <c r="D995" s="314" t="s">
        <v>3235</v>
      </c>
      <c r="E995" s="29">
        <v>2</v>
      </c>
      <c r="F995" s="543"/>
    </row>
    <row r="996" spans="1:7">
      <c r="A996" s="573"/>
      <c r="B996" s="576"/>
      <c r="C996" s="132" t="s">
        <v>3236</v>
      </c>
      <c r="D996" s="314" t="s">
        <v>3237</v>
      </c>
      <c r="E996" s="29">
        <v>1</v>
      </c>
      <c r="F996" s="543"/>
      <c r="G996" s="570" t="s">
        <v>3422</v>
      </c>
    </row>
    <row r="997" spans="1:7">
      <c r="A997" s="573"/>
      <c r="B997" s="576"/>
      <c r="C997" s="132" t="s">
        <v>3238</v>
      </c>
      <c r="D997" s="314" t="s">
        <v>3239</v>
      </c>
      <c r="E997" s="29">
        <v>1</v>
      </c>
      <c r="F997" s="543"/>
      <c r="G997" s="570" t="s">
        <v>3422</v>
      </c>
    </row>
    <row r="998" spans="1:7">
      <c r="A998" s="573"/>
      <c r="B998" s="576"/>
      <c r="C998" s="132" t="s">
        <v>3240</v>
      </c>
      <c r="D998" s="314" t="s">
        <v>3241</v>
      </c>
      <c r="E998" s="29">
        <v>2</v>
      </c>
      <c r="F998" s="543"/>
      <c r="G998" s="570" t="s">
        <v>3422</v>
      </c>
    </row>
    <row r="999" spans="1:7">
      <c r="A999" s="573"/>
      <c r="B999" s="576"/>
      <c r="C999" s="132" t="s">
        <v>1544</v>
      </c>
      <c r="D999" s="314" t="s">
        <v>3242</v>
      </c>
      <c r="E999" s="29">
        <v>1</v>
      </c>
      <c r="F999" s="543"/>
      <c r="G999" s="570" t="s">
        <v>3423</v>
      </c>
    </row>
    <row r="1000" spans="1:7">
      <c r="A1000" s="573"/>
      <c r="B1000" s="576"/>
      <c r="C1000" s="132" t="s">
        <v>1546</v>
      </c>
      <c r="D1000" s="314" t="s">
        <v>3243</v>
      </c>
      <c r="E1000" s="29">
        <v>1</v>
      </c>
      <c r="F1000" s="543"/>
      <c r="G1000" s="570" t="s">
        <v>3421</v>
      </c>
    </row>
    <row r="1001" spans="1:7">
      <c r="A1001" s="573"/>
      <c r="B1001" s="576"/>
      <c r="C1001" s="132" t="s">
        <v>1548</v>
      </c>
      <c r="D1001" s="314" t="s">
        <v>3244</v>
      </c>
      <c r="E1001" s="29">
        <v>2</v>
      </c>
      <c r="F1001" s="543"/>
      <c r="G1001" s="570" t="s">
        <v>3422</v>
      </c>
    </row>
    <row r="1002" spans="1:7">
      <c r="A1002" s="573"/>
      <c r="B1002" s="576"/>
      <c r="C1002" s="132" t="s">
        <v>3245</v>
      </c>
      <c r="D1002" s="314" t="s">
        <v>3246</v>
      </c>
      <c r="E1002" s="29">
        <v>1</v>
      </c>
      <c r="F1002" s="543"/>
    </row>
    <row r="1003" spans="1:7">
      <c r="A1003" s="573"/>
      <c r="B1003" s="576"/>
      <c r="C1003" s="132" t="s">
        <v>1553</v>
      </c>
      <c r="D1003" s="314" t="s">
        <v>3247</v>
      </c>
      <c r="E1003" s="29">
        <v>2</v>
      </c>
      <c r="F1003" s="543"/>
    </row>
    <row r="1004" spans="1:7" ht="19.5" thickBot="1">
      <c r="A1004" s="300"/>
      <c r="B1004" s="301"/>
      <c r="C1004" s="132" t="s">
        <v>3248</v>
      </c>
      <c r="D1004" s="318" t="s">
        <v>3249</v>
      </c>
      <c r="E1004" s="94">
        <v>2</v>
      </c>
      <c r="F1004" s="549"/>
    </row>
    <row r="1005" spans="1:7" ht="19.5" thickTop="1">
      <c r="A1005" s="572" t="s">
        <v>1559</v>
      </c>
      <c r="B1005" s="575" t="s">
        <v>1560</v>
      </c>
      <c r="C1005" s="7" t="s">
        <v>1561</v>
      </c>
      <c r="D1005" s="311" t="s">
        <v>2203</v>
      </c>
      <c r="E1005" s="8">
        <v>1</v>
      </c>
      <c r="F1005" s="548"/>
    </row>
    <row r="1006" spans="1:7">
      <c r="A1006" s="573"/>
      <c r="B1006" s="576"/>
      <c r="C1006" s="25" t="s">
        <v>1562</v>
      </c>
      <c r="D1006" s="310" t="s">
        <v>2172</v>
      </c>
      <c r="E1006" s="16">
        <v>2</v>
      </c>
      <c r="F1006" s="543"/>
    </row>
    <row r="1007" spans="1:7">
      <c r="A1007" s="573"/>
      <c r="B1007" s="576"/>
      <c r="C1007" s="25" t="s">
        <v>1563</v>
      </c>
      <c r="D1007" s="310" t="s">
        <v>2721</v>
      </c>
      <c r="E1007" s="16">
        <v>2</v>
      </c>
      <c r="F1007" s="543"/>
    </row>
    <row r="1008" spans="1:7">
      <c r="A1008" s="573"/>
      <c r="B1008" s="576"/>
      <c r="C1008" s="25" t="s">
        <v>1564</v>
      </c>
      <c r="D1008" s="308" t="s">
        <v>2722</v>
      </c>
      <c r="E1008" s="16">
        <v>2</v>
      </c>
      <c r="F1008" s="543"/>
    </row>
    <row r="1009" spans="1:7">
      <c r="A1009" s="573"/>
      <c r="B1009" s="576"/>
      <c r="C1009" s="72" t="s">
        <v>1565</v>
      </c>
      <c r="D1009" s="357" t="s">
        <v>2723</v>
      </c>
      <c r="E1009" s="16">
        <v>3</v>
      </c>
      <c r="F1009" s="543"/>
    </row>
    <row r="1010" spans="1:7">
      <c r="A1010" s="573"/>
      <c r="B1010" s="576"/>
      <c r="C1010" s="266" t="s">
        <v>3252</v>
      </c>
      <c r="D1010" s="358" t="s">
        <v>3253</v>
      </c>
      <c r="E1010" s="16">
        <v>3</v>
      </c>
      <c r="F1010" s="543"/>
    </row>
    <row r="1011" spans="1:7">
      <c r="A1011" s="573"/>
      <c r="B1011" s="576"/>
      <c r="C1011" s="283" t="s">
        <v>3254</v>
      </c>
      <c r="D1011" s="400" t="s">
        <v>3255</v>
      </c>
      <c r="E1011" s="16">
        <v>1</v>
      </c>
      <c r="F1011" s="543"/>
    </row>
    <row r="1012" spans="1:7">
      <c r="A1012" s="573"/>
      <c r="B1012" s="576"/>
      <c r="C1012" s="420" t="s">
        <v>1572</v>
      </c>
      <c r="D1012" s="400" t="s">
        <v>3256</v>
      </c>
      <c r="E1012" s="16">
        <v>1</v>
      </c>
      <c r="F1012" s="543"/>
    </row>
    <row r="1013" spans="1:7">
      <c r="A1013" s="573"/>
      <c r="B1013" s="576"/>
      <c r="C1013" s="420" t="s">
        <v>1575</v>
      </c>
      <c r="D1013" s="421" t="s">
        <v>3257</v>
      </c>
      <c r="E1013" s="67">
        <v>1</v>
      </c>
      <c r="F1013" s="543"/>
    </row>
    <row r="1014" spans="1:7">
      <c r="A1014" s="573"/>
      <c r="B1014" s="576"/>
      <c r="C1014" s="420" t="s">
        <v>1578</v>
      </c>
      <c r="D1014" s="337" t="s">
        <v>3258</v>
      </c>
      <c r="E1014" s="16">
        <v>1</v>
      </c>
      <c r="F1014" s="543"/>
    </row>
    <row r="1015" spans="1:7">
      <c r="A1015" s="573"/>
      <c r="B1015" s="576"/>
      <c r="C1015" s="420" t="s">
        <v>1581</v>
      </c>
      <c r="D1015" s="337" t="s">
        <v>3259</v>
      </c>
      <c r="E1015" s="16">
        <v>1</v>
      </c>
      <c r="F1015" s="543"/>
    </row>
    <row r="1016" spans="1:7">
      <c r="A1016" s="573"/>
      <c r="B1016" s="576"/>
      <c r="C1016" s="420" t="s">
        <v>1584</v>
      </c>
      <c r="D1016" s="337" t="s">
        <v>3260</v>
      </c>
      <c r="E1016" s="16">
        <v>2</v>
      </c>
      <c r="F1016" s="543"/>
    </row>
    <row r="1017" spans="1:7">
      <c r="A1017" s="573"/>
      <c r="B1017" s="576"/>
      <c r="C1017" s="420" t="s">
        <v>1586</v>
      </c>
      <c r="D1017" s="337" t="s">
        <v>3261</v>
      </c>
      <c r="E1017" s="16">
        <v>1</v>
      </c>
      <c r="F1017" s="543"/>
    </row>
    <row r="1018" spans="1:7">
      <c r="A1018" s="573"/>
      <c r="B1018" s="576"/>
      <c r="C1018" s="394" t="s">
        <v>1588</v>
      </c>
      <c r="D1018" s="337" t="s">
        <v>3262</v>
      </c>
      <c r="E1018" s="67">
        <v>2</v>
      </c>
      <c r="F1018" s="547"/>
    </row>
    <row r="1019" spans="1:7">
      <c r="A1019" s="573"/>
      <c r="B1019" s="580" t="s">
        <v>1590</v>
      </c>
      <c r="C1019" s="22" t="s">
        <v>1591</v>
      </c>
      <c r="D1019" s="344" t="s">
        <v>2724</v>
      </c>
      <c r="E1019" s="41">
        <v>1</v>
      </c>
      <c r="F1019" s="548"/>
      <c r="G1019" s="570" t="s">
        <v>3423</v>
      </c>
    </row>
    <row r="1020" spans="1:7">
      <c r="A1020" s="573"/>
      <c r="B1020" s="576"/>
      <c r="C1020" s="25" t="s">
        <v>1592</v>
      </c>
      <c r="D1020" s="308" t="s">
        <v>2725</v>
      </c>
      <c r="E1020" s="16">
        <v>1</v>
      </c>
      <c r="F1020" s="543"/>
      <c r="G1020" s="570" t="s">
        <v>3422</v>
      </c>
    </row>
    <row r="1021" spans="1:7">
      <c r="A1021" s="573"/>
      <c r="B1021" s="576"/>
      <c r="C1021" s="132" t="s">
        <v>1593</v>
      </c>
      <c r="D1021" s="314" t="s">
        <v>2726</v>
      </c>
      <c r="E1021" s="16">
        <v>1</v>
      </c>
      <c r="F1021" s="543"/>
    </row>
    <row r="1022" spans="1:7">
      <c r="A1022" s="573"/>
      <c r="B1022" s="576"/>
      <c r="C1022" s="25" t="s">
        <v>1594</v>
      </c>
      <c r="D1022" s="310" t="s">
        <v>2727</v>
      </c>
      <c r="E1022" s="16">
        <v>1</v>
      </c>
      <c r="F1022" s="543"/>
    </row>
    <row r="1023" spans="1:7">
      <c r="A1023" s="573"/>
      <c r="B1023" s="576"/>
      <c r="C1023" s="25" t="s">
        <v>1595</v>
      </c>
      <c r="D1023" s="308" t="s">
        <v>2728</v>
      </c>
      <c r="E1023" s="16">
        <v>2</v>
      </c>
      <c r="F1023" s="543"/>
    </row>
    <row r="1024" spans="1:7">
      <c r="A1024" s="573"/>
      <c r="B1024" s="576"/>
      <c r="C1024" s="25" t="s">
        <v>1596</v>
      </c>
      <c r="D1024" s="308" t="s">
        <v>2729</v>
      </c>
      <c r="E1024" s="67">
        <v>2</v>
      </c>
      <c r="F1024" s="543"/>
      <c r="G1024" s="570" t="s">
        <v>3422</v>
      </c>
    </row>
    <row r="1025" spans="1:7">
      <c r="A1025" s="573"/>
      <c r="B1025" s="576"/>
      <c r="C1025" s="47" t="s">
        <v>3263</v>
      </c>
      <c r="D1025" s="332" t="s">
        <v>3264</v>
      </c>
      <c r="E1025" s="16">
        <v>1</v>
      </c>
      <c r="F1025" s="543"/>
    </row>
    <row r="1026" spans="1:7">
      <c r="A1026" s="573"/>
      <c r="B1026" s="576"/>
      <c r="C1026" s="47" t="s">
        <v>3265</v>
      </c>
      <c r="D1026" s="332" t="s">
        <v>3266</v>
      </c>
      <c r="E1026" s="16">
        <v>1</v>
      </c>
      <c r="F1026" s="543"/>
    </row>
    <row r="1027" spans="1:7">
      <c r="A1027" s="573"/>
      <c r="B1027" s="576"/>
      <c r="C1027" s="47" t="s">
        <v>3267</v>
      </c>
      <c r="D1027" s="422" t="s">
        <v>3268</v>
      </c>
      <c r="E1027" s="48">
        <v>2</v>
      </c>
      <c r="F1027" s="543"/>
      <c r="G1027" s="570" t="s">
        <v>3422</v>
      </c>
    </row>
    <row r="1028" spans="1:7">
      <c r="A1028" s="573"/>
      <c r="B1028" s="576"/>
      <c r="C1028" s="47" t="s">
        <v>3269</v>
      </c>
      <c r="D1028" s="396" t="s">
        <v>3270</v>
      </c>
      <c r="E1028" s="48">
        <v>1</v>
      </c>
      <c r="F1028" s="543"/>
    </row>
    <row r="1029" spans="1:7">
      <c r="A1029" s="573"/>
      <c r="B1029" s="576"/>
      <c r="C1029" s="47" t="s">
        <v>3271</v>
      </c>
      <c r="D1029" s="396" t="s">
        <v>3272</v>
      </c>
      <c r="E1029" s="16">
        <v>2</v>
      </c>
      <c r="F1029" s="543"/>
    </row>
    <row r="1030" spans="1:7">
      <c r="A1030" s="573"/>
      <c r="B1030" s="576"/>
      <c r="C1030" s="47" t="s">
        <v>3273</v>
      </c>
      <c r="D1030" s="396" t="s">
        <v>3274</v>
      </c>
      <c r="E1030" s="16">
        <v>2</v>
      </c>
      <c r="F1030" s="543"/>
    </row>
    <row r="1031" spans="1:7">
      <c r="A1031" s="573"/>
      <c r="B1031" s="576"/>
      <c r="C1031" s="47" t="s">
        <v>3275</v>
      </c>
      <c r="D1031" s="396" t="s">
        <v>3276</v>
      </c>
      <c r="E1031" s="16">
        <v>2</v>
      </c>
      <c r="F1031" s="543"/>
    </row>
    <row r="1032" spans="1:7">
      <c r="A1032" s="573"/>
      <c r="B1032" s="576"/>
      <c r="C1032" s="47" t="s">
        <v>3277</v>
      </c>
      <c r="D1032" s="396" t="s">
        <v>3278</v>
      </c>
      <c r="E1032" s="67">
        <v>1</v>
      </c>
      <c r="F1032" s="547"/>
    </row>
    <row r="1033" spans="1:7">
      <c r="A1033" s="573"/>
      <c r="B1033" s="580" t="s">
        <v>1620</v>
      </c>
      <c r="C1033" s="71" t="s">
        <v>1621</v>
      </c>
      <c r="D1033" s="325" t="s">
        <v>2730</v>
      </c>
      <c r="E1033" s="41">
        <v>2</v>
      </c>
      <c r="F1033" s="548"/>
      <c r="G1033" s="570" t="s">
        <v>3422</v>
      </c>
    </row>
    <row r="1034" spans="1:7">
      <c r="A1034" s="573"/>
      <c r="B1034" s="576"/>
      <c r="C1034" s="22" t="s">
        <v>3279</v>
      </c>
      <c r="D1034" s="313" t="s">
        <v>3280</v>
      </c>
      <c r="E1034" s="48">
        <v>1</v>
      </c>
      <c r="F1034" s="543"/>
      <c r="G1034" s="570" t="s">
        <v>3423</v>
      </c>
    </row>
    <row r="1035" spans="1:7">
      <c r="A1035" s="573"/>
      <c r="B1035" s="576"/>
      <c r="C1035" s="22" t="s">
        <v>3281</v>
      </c>
      <c r="D1035" s="313" t="s">
        <v>3282</v>
      </c>
      <c r="E1035" s="48">
        <v>2</v>
      </c>
      <c r="F1035" s="543"/>
      <c r="G1035" s="570" t="s">
        <v>3422</v>
      </c>
    </row>
    <row r="1036" spans="1:7">
      <c r="A1036" s="573"/>
      <c r="B1036" s="576"/>
      <c r="C1036" s="25" t="s">
        <v>1627</v>
      </c>
      <c r="D1036" s="310" t="s">
        <v>2731</v>
      </c>
      <c r="E1036" s="16">
        <v>2</v>
      </c>
      <c r="F1036" s="543"/>
    </row>
    <row r="1037" spans="1:7">
      <c r="A1037" s="573"/>
      <c r="B1037" s="576"/>
      <c r="C1037" s="25" t="s">
        <v>1628</v>
      </c>
      <c r="D1037" s="310" t="s">
        <v>2732</v>
      </c>
      <c r="E1037" s="16">
        <v>1</v>
      </c>
      <c r="F1037" s="543"/>
    </row>
    <row r="1038" spans="1:7">
      <c r="A1038" s="573"/>
      <c r="B1038" s="576"/>
      <c r="C1038" s="25" t="s">
        <v>1629</v>
      </c>
      <c r="D1038" s="310" t="s">
        <v>2733</v>
      </c>
      <c r="E1038" s="16">
        <v>1</v>
      </c>
      <c r="F1038" s="543"/>
    </row>
    <row r="1039" spans="1:7">
      <c r="A1039" s="573"/>
      <c r="B1039" s="576"/>
      <c r="C1039" s="132" t="s">
        <v>1630</v>
      </c>
      <c r="D1039" s="314" t="s">
        <v>3283</v>
      </c>
      <c r="E1039" s="16">
        <v>2</v>
      </c>
      <c r="F1039" s="543"/>
    </row>
    <row r="1040" spans="1:7">
      <c r="A1040" s="573"/>
      <c r="B1040" s="576"/>
      <c r="C1040" s="25" t="s">
        <v>1633</v>
      </c>
      <c r="D1040" s="310" t="s">
        <v>2734</v>
      </c>
      <c r="E1040" s="48">
        <v>1</v>
      </c>
      <c r="F1040" s="543"/>
    </row>
    <row r="1041" spans="1:6">
      <c r="A1041" s="573"/>
      <c r="B1041" s="576"/>
      <c r="C1041" s="25" t="s">
        <v>1634</v>
      </c>
      <c r="D1041" s="310" t="s">
        <v>2735</v>
      </c>
      <c r="E1041" s="16">
        <v>2</v>
      </c>
      <c r="F1041" s="543"/>
    </row>
    <row r="1042" spans="1:6">
      <c r="A1042" s="573"/>
      <c r="B1042" s="576"/>
      <c r="C1042" s="25" t="s">
        <v>1635</v>
      </c>
      <c r="D1042" s="310" t="s">
        <v>3284</v>
      </c>
      <c r="E1042" s="16">
        <v>2</v>
      </c>
      <c r="F1042" s="543"/>
    </row>
    <row r="1043" spans="1:6">
      <c r="A1043" s="573"/>
      <c r="B1043" s="576"/>
      <c r="C1043" s="25" t="s">
        <v>1637</v>
      </c>
      <c r="D1043" s="310" t="s">
        <v>2736</v>
      </c>
      <c r="E1043" s="16">
        <v>2</v>
      </c>
      <c r="F1043" s="543"/>
    </row>
    <row r="1044" spans="1:6" ht="33">
      <c r="A1044" s="573"/>
      <c r="B1044" s="576"/>
      <c r="C1044" s="132" t="s">
        <v>1638</v>
      </c>
      <c r="D1044" s="314" t="s">
        <v>3285</v>
      </c>
      <c r="E1044" s="16">
        <v>4</v>
      </c>
      <c r="F1044" s="543"/>
    </row>
    <row r="1045" spans="1:6">
      <c r="A1045" s="573"/>
      <c r="B1045" s="576"/>
      <c r="C1045" s="25" t="s">
        <v>1640</v>
      </c>
      <c r="D1045" s="310" t="s">
        <v>2737</v>
      </c>
      <c r="E1045" s="16">
        <v>2</v>
      </c>
      <c r="F1045" s="543"/>
    </row>
    <row r="1046" spans="1:6">
      <c r="A1046" s="573"/>
      <c r="B1046" s="576"/>
      <c r="C1046" s="25" t="s">
        <v>1641</v>
      </c>
      <c r="D1046" s="310" t="s">
        <v>3286</v>
      </c>
      <c r="E1046" s="16">
        <v>1</v>
      </c>
      <c r="F1046" s="543"/>
    </row>
    <row r="1047" spans="1:6">
      <c r="A1047" s="573"/>
      <c r="B1047" s="576"/>
      <c r="C1047" s="25" t="s">
        <v>3288</v>
      </c>
      <c r="D1047" s="310" t="s">
        <v>3287</v>
      </c>
      <c r="E1047" s="16">
        <v>2</v>
      </c>
      <c r="F1047" s="543"/>
    </row>
    <row r="1048" spans="1:6">
      <c r="A1048" s="573"/>
      <c r="B1048" s="576"/>
      <c r="C1048" s="25" t="s">
        <v>1646</v>
      </c>
      <c r="D1048" s="310" t="s">
        <v>3289</v>
      </c>
      <c r="E1048" s="16">
        <v>2</v>
      </c>
      <c r="F1048" s="543"/>
    </row>
    <row r="1049" spans="1:6">
      <c r="A1049" s="573"/>
      <c r="B1049" s="576"/>
      <c r="C1049" s="454" t="s">
        <v>1648</v>
      </c>
      <c r="D1049" s="455" t="s">
        <v>3290</v>
      </c>
      <c r="E1049" s="456">
        <v>5</v>
      </c>
      <c r="F1049" s="550" t="s">
        <v>1264</v>
      </c>
    </row>
    <row r="1050" spans="1:6">
      <c r="A1050" s="573"/>
      <c r="B1050" s="576"/>
      <c r="C1050" s="25" t="s">
        <v>1650</v>
      </c>
      <c r="D1050" s="310" t="s">
        <v>2738</v>
      </c>
      <c r="E1050" s="16">
        <v>2</v>
      </c>
      <c r="F1050" s="543"/>
    </row>
    <row r="1051" spans="1:6">
      <c r="A1051" s="573"/>
      <c r="B1051" s="576"/>
      <c r="C1051" s="25" t="s">
        <v>1651</v>
      </c>
      <c r="D1051" s="310" t="s">
        <v>2739</v>
      </c>
      <c r="E1051" s="16">
        <v>2</v>
      </c>
      <c r="F1051" s="543"/>
    </row>
    <row r="1052" spans="1:6">
      <c r="A1052" s="573"/>
      <c r="B1052" s="576"/>
      <c r="C1052" s="25" t="s">
        <v>1652</v>
      </c>
      <c r="D1052" s="310" t="s">
        <v>2740</v>
      </c>
      <c r="E1052" s="16">
        <v>2</v>
      </c>
      <c r="F1052" s="543"/>
    </row>
    <row r="1053" spans="1:6">
      <c r="A1053" s="573"/>
      <c r="B1053" s="576"/>
      <c r="C1053" s="454" t="s">
        <v>1653</v>
      </c>
      <c r="D1053" s="455" t="s">
        <v>3291</v>
      </c>
      <c r="E1053" s="456">
        <v>5</v>
      </c>
      <c r="F1053" s="550" t="s">
        <v>1264</v>
      </c>
    </row>
    <row r="1054" spans="1:6">
      <c r="A1054" s="573"/>
      <c r="B1054" s="576"/>
      <c r="C1054" s="25" t="s">
        <v>1655</v>
      </c>
      <c r="D1054" s="310" t="s">
        <v>2741</v>
      </c>
      <c r="E1054" s="16">
        <v>1</v>
      </c>
      <c r="F1054" s="543"/>
    </row>
    <row r="1055" spans="1:6">
      <c r="A1055" s="573"/>
      <c r="B1055" s="576"/>
      <c r="C1055" s="25" t="s">
        <v>1656</v>
      </c>
      <c r="D1055" s="310" t="s">
        <v>3292</v>
      </c>
      <c r="E1055" s="16">
        <v>1</v>
      </c>
      <c r="F1055" s="543"/>
    </row>
    <row r="1056" spans="1:6">
      <c r="A1056" s="573"/>
      <c r="B1056" s="576"/>
      <c r="C1056" s="25" t="s">
        <v>1658</v>
      </c>
      <c r="D1056" s="310" t="s">
        <v>2742</v>
      </c>
      <c r="E1056" s="16">
        <v>2</v>
      </c>
      <c r="F1056" s="543"/>
    </row>
    <row r="1057" spans="1:7">
      <c r="A1057" s="573"/>
      <c r="B1057" s="576"/>
      <c r="C1057" s="25" t="s">
        <v>1659</v>
      </c>
      <c r="D1057" s="310" t="s">
        <v>2743</v>
      </c>
      <c r="E1057" s="16">
        <v>2</v>
      </c>
      <c r="F1057" s="543"/>
    </row>
    <row r="1058" spans="1:7">
      <c r="A1058" s="573"/>
      <c r="B1058" s="576"/>
      <c r="C1058" s="25" t="s">
        <v>1660</v>
      </c>
      <c r="D1058" s="310" t="s">
        <v>3293</v>
      </c>
      <c r="E1058" s="16">
        <v>2</v>
      </c>
      <c r="F1058" s="543"/>
    </row>
    <row r="1059" spans="1:7">
      <c r="A1059" s="573"/>
      <c r="B1059" s="576"/>
      <c r="C1059" s="25" t="s">
        <v>1662</v>
      </c>
      <c r="D1059" s="310" t="s">
        <v>2744</v>
      </c>
      <c r="E1059" s="16">
        <v>1</v>
      </c>
      <c r="F1059" s="543"/>
    </row>
    <row r="1060" spans="1:7">
      <c r="A1060" s="573"/>
      <c r="B1060" s="576"/>
      <c r="C1060" s="25" t="s">
        <v>1663</v>
      </c>
      <c r="D1060" s="310" t="s">
        <v>2745</v>
      </c>
      <c r="E1060" s="16">
        <v>3</v>
      </c>
      <c r="F1060" s="543"/>
    </row>
    <row r="1061" spans="1:7">
      <c r="A1061" s="573"/>
      <c r="B1061" s="576"/>
      <c r="C1061" s="25" t="s">
        <v>1664</v>
      </c>
      <c r="D1061" s="310" t="s">
        <v>3294</v>
      </c>
      <c r="E1061" s="16">
        <v>4</v>
      </c>
      <c r="F1061" s="543"/>
    </row>
    <row r="1062" spans="1:7" ht="19.5">
      <c r="A1062" s="573"/>
      <c r="B1062" s="576"/>
      <c r="C1062" s="454" t="s">
        <v>1666</v>
      </c>
      <c r="D1062" s="455" t="s">
        <v>2746</v>
      </c>
      <c r="E1062" s="456" t="s">
        <v>746</v>
      </c>
      <c r="F1062" s="550" t="s">
        <v>1264</v>
      </c>
    </row>
    <row r="1063" spans="1:7">
      <c r="A1063" s="573"/>
      <c r="B1063" s="576"/>
      <c r="C1063" s="132" t="s">
        <v>1667</v>
      </c>
      <c r="D1063" s="332" t="s">
        <v>3295</v>
      </c>
      <c r="E1063" s="16">
        <v>3</v>
      </c>
      <c r="F1063" s="543"/>
    </row>
    <row r="1064" spans="1:7">
      <c r="A1064" s="573"/>
      <c r="B1064" s="576"/>
      <c r="C1064" s="25" t="s">
        <v>1669</v>
      </c>
      <c r="D1064" s="308" t="s">
        <v>2747</v>
      </c>
      <c r="E1064" s="16">
        <v>3</v>
      </c>
      <c r="F1064" s="543"/>
    </row>
    <row r="1065" spans="1:7">
      <c r="A1065" s="573"/>
      <c r="B1065" s="576"/>
      <c r="C1065" s="25" t="s">
        <v>1670</v>
      </c>
      <c r="D1065" s="308" t="s">
        <v>2748</v>
      </c>
      <c r="E1065" s="16">
        <v>3</v>
      </c>
      <c r="F1065" s="543"/>
    </row>
    <row r="1066" spans="1:7">
      <c r="A1066" s="573"/>
      <c r="B1066" s="576"/>
      <c r="C1066" s="25" t="s">
        <v>1671</v>
      </c>
      <c r="D1066" s="308" t="s">
        <v>3296</v>
      </c>
      <c r="E1066" s="16">
        <v>4</v>
      </c>
      <c r="F1066" s="543"/>
    </row>
    <row r="1067" spans="1:7">
      <c r="A1067" s="573"/>
      <c r="B1067" s="576"/>
      <c r="C1067" s="25" t="s">
        <v>1674</v>
      </c>
      <c r="D1067" s="308" t="s">
        <v>3297</v>
      </c>
      <c r="E1067" s="16">
        <v>2</v>
      </c>
      <c r="F1067" s="543"/>
    </row>
    <row r="1068" spans="1:7">
      <c r="A1068" s="573"/>
      <c r="B1068" s="576"/>
      <c r="C1068" s="132" t="s">
        <v>1676</v>
      </c>
      <c r="D1068" s="332" t="s">
        <v>3298</v>
      </c>
      <c r="E1068" s="16">
        <v>1</v>
      </c>
      <c r="F1068" s="543"/>
      <c r="G1068" s="570" t="s">
        <v>3422</v>
      </c>
    </row>
    <row r="1069" spans="1:7">
      <c r="A1069" s="573"/>
      <c r="B1069" s="576"/>
      <c r="C1069" s="34" t="s">
        <v>1678</v>
      </c>
      <c r="D1069" s="343" t="s">
        <v>2749</v>
      </c>
      <c r="E1069" s="16">
        <v>1</v>
      </c>
      <c r="F1069" s="543"/>
    </row>
    <row r="1070" spans="1:7">
      <c r="A1070" s="573"/>
      <c r="B1070" s="576"/>
      <c r="C1070" s="271" t="s">
        <v>1679</v>
      </c>
      <c r="D1070" s="343" t="s">
        <v>2750</v>
      </c>
      <c r="E1070" s="16">
        <v>1</v>
      </c>
      <c r="F1070" s="543"/>
    </row>
    <row r="1071" spans="1:7">
      <c r="A1071" s="573"/>
      <c r="B1071" s="576"/>
      <c r="C1071" s="271" t="s">
        <v>3299</v>
      </c>
      <c r="D1071" s="361" t="s">
        <v>3300</v>
      </c>
      <c r="E1071" s="16">
        <v>2</v>
      </c>
      <c r="F1071" s="543"/>
    </row>
    <row r="1072" spans="1:7">
      <c r="A1072" s="573"/>
      <c r="B1072" s="576"/>
      <c r="C1072" s="271" t="s">
        <v>3301</v>
      </c>
      <c r="D1072" s="361" t="s">
        <v>3302</v>
      </c>
      <c r="E1072" s="67">
        <v>2</v>
      </c>
      <c r="F1072" s="543"/>
    </row>
    <row r="1073" spans="1:6">
      <c r="A1073" s="573"/>
      <c r="B1073" s="576"/>
      <c r="C1073" s="271" t="s">
        <v>1686</v>
      </c>
      <c r="D1073" s="361" t="s">
        <v>3303</v>
      </c>
      <c r="E1073" s="67">
        <v>1</v>
      </c>
      <c r="F1073" s="543"/>
    </row>
    <row r="1074" spans="1:6">
      <c r="A1074" s="573"/>
      <c r="B1074" s="576"/>
      <c r="C1074" s="271" t="s">
        <v>1689</v>
      </c>
      <c r="D1074" s="361" t="s">
        <v>3304</v>
      </c>
      <c r="E1074" s="67">
        <v>1</v>
      </c>
      <c r="F1074" s="543"/>
    </row>
    <row r="1075" spans="1:6">
      <c r="A1075" s="573"/>
      <c r="B1075" s="576"/>
      <c r="C1075" s="271" t="s">
        <v>1692</v>
      </c>
      <c r="D1075" s="361" t="s">
        <v>3305</v>
      </c>
      <c r="E1075" s="67">
        <v>1</v>
      </c>
      <c r="F1075" s="543"/>
    </row>
    <row r="1076" spans="1:6">
      <c r="A1076" s="573"/>
      <c r="B1076" s="576"/>
      <c r="C1076" s="271" t="s">
        <v>1694</v>
      </c>
      <c r="D1076" s="361" t="s">
        <v>3306</v>
      </c>
      <c r="E1076" s="67">
        <v>1</v>
      </c>
      <c r="F1076" s="543"/>
    </row>
    <row r="1077" spans="1:6">
      <c r="A1077" s="573"/>
      <c r="B1077" s="576"/>
      <c r="C1077" s="271" t="s">
        <v>1696</v>
      </c>
      <c r="D1077" s="364" t="s">
        <v>3307</v>
      </c>
      <c r="E1077" s="67">
        <v>2</v>
      </c>
      <c r="F1077" s="543"/>
    </row>
    <row r="1078" spans="1:6">
      <c r="A1078" s="573"/>
      <c r="B1078" s="576"/>
      <c r="C1078" s="271" t="s">
        <v>1699</v>
      </c>
      <c r="D1078" s="400" t="s">
        <v>3308</v>
      </c>
      <c r="E1078" s="16">
        <v>1</v>
      </c>
      <c r="F1078" s="543"/>
    </row>
    <row r="1079" spans="1:6">
      <c r="A1079" s="573"/>
      <c r="B1079" s="576"/>
      <c r="C1079" s="271" t="s">
        <v>1701</v>
      </c>
      <c r="D1079" s="450" t="s">
        <v>3309</v>
      </c>
      <c r="E1079" s="16">
        <v>2</v>
      </c>
      <c r="F1079" s="543"/>
    </row>
    <row r="1080" spans="1:6">
      <c r="A1080" s="573"/>
      <c r="B1080" s="576"/>
      <c r="C1080" s="271" t="s">
        <v>1704</v>
      </c>
      <c r="D1080" s="396" t="s">
        <v>3310</v>
      </c>
      <c r="E1080" s="16">
        <v>1</v>
      </c>
      <c r="F1080" s="547"/>
    </row>
    <row r="1081" spans="1:6">
      <c r="A1081" s="573"/>
      <c r="B1081" s="584" t="s">
        <v>1706</v>
      </c>
      <c r="C1081" s="71" t="s">
        <v>1707</v>
      </c>
      <c r="D1081" s="359" t="s">
        <v>2751</v>
      </c>
      <c r="E1081" s="41">
        <v>1</v>
      </c>
      <c r="F1081" s="548"/>
    </row>
    <row r="1082" spans="1:6">
      <c r="A1082" s="573"/>
      <c r="B1082" s="585"/>
      <c r="C1082" s="25" t="s">
        <v>1708</v>
      </c>
      <c r="D1082" s="360" t="s">
        <v>2173</v>
      </c>
      <c r="E1082" s="16">
        <v>1</v>
      </c>
      <c r="F1082" s="543"/>
    </row>
    <row r="1083" spans="1:6">
      <c r="A1083" s="573"/>
      <c r="B1083" s="585"/>
      <c r="C1083" s="513" t="s">
        <v>1709</v>
      </c>
      <c r="D1083" s="523" t="s">
        <v>2752</v>
      </c>
      <c r="E1083" s="515">
        <v>2</v>
      </c>
      <c r="F1083" s="543" t="s">
        <v>3411</v>
      </c>
    </row>
    <row r="1084" spans="1:6">
      <c r="A1084" s="573"/>
      <c r="B1084" s="585"/>
      <c r="C1084" s="25" t="s">
        <v>1712</v>
      </c>
      <c r="D1084" s="360" t="s">
        <v>2753</v>
      </c>
      <c r="E1084" s="16">
        <v>1</v>
      </c>
      <c r="F1084" s="543"/>
    </row>
    <row r="1085" spans="1:6">
      <c r="A1085" s="573"/>
      <c r="B1085" s="585"/>
      <c r="C1085" s="25" t="s">
        <v>1713</v>
      </c>
      <c r="D1085" s="360" t="s">
        <v>2754</v>
      </c>
      <c r="E1085" s="16">
        <v>2</v>
      </c>
      <c r="F1085" s="543"/>
    </row>
    <row r="1086" spans="1:6">
      <c r="A1086" s="573"/>
      <c r="B1086" s="585"/>
      <c r="C1086" s="25" t="s">
        <v>1714</v>
      </c>
      <c r="D1086" s="360" t="s">
        <v>2755</v>
      </c>
      <c r="E1086" s="16">
        <v>2</v>
      </c>
      <c r="F1086" s="543"/>
    </row>
    <row r="1087" spans="1:6">
      <c r="A1087" s="573"/>
      <c r="B1087" s="585"/>
      <c r="C1087" s="25" t="s">
        <v>1715</v>
      </c>
      <c r="D1087" s="360" t="s">
        <v>2756</v>
      </c>
      <c r="E1087" s="16">
        <v>2</v>
      </c>
      <c r="F1087" s="543"/>
    </row>
    <row r="1088" spans="1:6">
      <c r="A1088" s="573"/>
      <c r="B1088" s="585"/>
      <c r="C1088" s="25" t="s">
        <v>1716</v>
      </c>
      <c r="D1088" s="360" t="s">
        <v>2757</v>
      </c>
      <c r="E1088" s="16">
        <v>2</v>
      </c>
      <c r="F1088" s="543"/>
    </row>
    <row r="1089" spans="1:7">
      <c r="A1089" s="573"/>
      <c r="B1089" s="585"/>
      <c r="C1089" s="25" t="s">
        <v>1717</v>
      </c>
      <c r="D1089" s="360" t="s">
        <v>2758</v>
      </c>
      <c r="E1089" s="16">
        <v>3</v>
      </c>
      <c r="F1089" s="543"/>
    </row>
    <row r="1090" spans="1:7">
      <c r="A1090" s="573"/>
      <c r="B1090" s="585"/>
      <c r="C1090" s="25" t="s">
        <v>1718</v>
      </c>
      <c r="D1090" s="360" t="s">
        <v>2759</v>
      </c>
      <c r="E1090" s="16">
        <v>2</v>
      </c>
      <c r="F1090" s="543"/>
    </row>
    <row r="1091" spans="1:7">
      <c r="A1091" s="573"/>
      <c r="B1091" s="585"/>
      <c r="C1091" s="25" t="s">
        <v>1719</v>
      </c>
      <c r="D1091" s="360" t="s">
        <v>2760</v>
      </c>
      <c r="E1091" s="16">
        <v>3</v>
      </c>
      <c r="F1091" s="543"/>
    </row>
    <row r="1092" spans="1:7">
      <c r="A1092" s="573"/>
      <c r="B1092" s="591"/>
      <c r="C1092" s="51" t="s">
        <v>1720</v>
      </c>
      <c r="D1092" s="321" t="s">
        <v>2761</v>
      </c>
      <c r="E1092" s="52">
        <v>2</v>
      </c>
      <c r="F1092" s="547"/>
    </row>
    <row r="1093" spans="1:7" ht="33">
      <c r="A1093" s="573"/>
      <c r="B1093" s="577" t="s">
        <v>3317</v>
      </c>
      <c r="C1093" s="25" t="s">
        <v>3311</v>
      </c>
      <c r="D1093" s="352" t="s">
        <v>3312</v>
      </c>
      <c r="E1093" s="144">
        <v>1</v>
      </c>
      <c r="F1093" s="548"/>
      <c r="G1093" s="570" t="s">
        <v>3423</v>
      </c>
    </row>
    <row r="1094" spans="1:7">
      <c r="A1094" s="573"/>
      <c r="B1094" s="578"/>
      <c r="C1094" s="25" t="s">
        <v>3313</v>
      </c>
      <c r="D1094" s="361" t="s">
        <v>3314</v>
      </c>
      <c r="E1094" s="67">
        <v>1</v>
      </c>
      <c r="F1094" s="543"/>
    </row>
    <row r="1095" spans="1:7">
      <c r="A1095" s="573"/>
      <c r="B1095" s="578"/>
      <c r="C1095" s="25" t="s">
        <v>3315</v>
      </c>
      <c r="D1095" s="352" t="s">
        <v>2939</v>
      </c>
      <c r="E1095" s="16">
        <v>1</v>
      </c>
      <c r="F1095" s="543"/>
    </row>
    <row r="1096" spans="1:7" ht="19.5" thickBot="1">
      <c r="A1096" s="574"/>
      <c r="B1096" s="589"/>
      <c r="C1096" s="25" t="s">
        <v>3316</v>
      </c>
      <c r="D1096" s="423" t="s">
        <v>2955</v>
      </c>
      <c r="E1096" s="139">
        <v>2</v>
      </c>
      <c r="F1096" s="549"/>
    </row>
    <row r="1097" spans="1:7" ht="19.5" thickTop="1">
      <c r="A1097" s="572" t="s">
        <v>1728</v>
      </c>
      <c r="B1097" s="575" t="s">
        <v>1729</v>
      </c>
      <c r="C1097" s="7" t="s">
        <v>1730</v>
      </c>
      <c r="D1097" s="311" t="s">
        <v>2762</v>
      </c>
      <c r="E1097" s="48">
        <v>1</v>
      </c>
      <c r="F1097" s="548"/>
    </row>
    <row r="1098" spans="1:7">
      <c r="A1098" s="573"/>
      <c r="B1098" s="576"/>
      <c r="C1098" s="25" t="s">
        <v>1731</v>
      </c>
      <c r="D1098" s="310" t="s">
        <v>2763</v>
      </c>
      <c r="E1098" s="16">
        <v>2</v>
      </c>
      <c r="F1098" s="543"/>
    </row>
    <row r="1099" spans="1:7">
      <c r="A1099" s="573"/>
      <c r="B1099" s="576"/>
      <c r="C1099" s="25" t="s">
        <v>1732</v>
      </c>
      <c r="D1099" s="310" t="s">
        <v>2764</v>
      </c>
      <c r="E1099" s="16">
        <v>1</v>
      </c>
      <c r="F1099" s="543"/>
    </row>
    <row r="1100" spans="1:7">
      <c r="A1100" s="573"/>
      <c r="B1100" s="576"/>
      <c r="C1100" s="25" t="s">
        <v>1733</v>
      </c>
      <c r="D1100" s="310" t="s">
        <v>2765</v>
      </c>
      <c r="E1100" s="16">
        <v>1</v>
      </c>
      <c r="F1100" s="543"/>
    </row>
    <row r="1101" spans="1:7">
      <c r="A1101" s="573"/>
      <c r="B1101" s="576"/>
      <c r="C1101" s="34" t="s">
        <v>1734</v>
      </c>
      <c r="D1101" s="341" t="s">
        <v>2766</v>
      </c>
      <c r="E1101" s="16">
        <v>1</v>
      </c>
      <c r="F1101" s="543"/>
    </row>
    <row r="1102" spans="1:7" ht="19.5" thickBot="1">
      <c r="A1102" s="574"/>
      <c r="B1102" s="582"/>
      <c r="C1102" s="149" t="s">
        <v>3318</v>
      </c>
      <c r="D1102" s="424" t="s">
        <v>3319</v>
      </c>
      <c r="E1102" s="382">
        <v>1</v>
      </c>
      <c r="F1102" s="549"/>
    </row>
    <row r="1103" spans="1:7" ht="19.5" thickTop="1">
      <c r="A1103" s="572" t="s">
        <v>1738</v>
      </c>
      <c r="B1103" s="590" t="s">
        <v>1739</v>
      </c>
      <c r="C1103" s="7" t="s">
        <v>1740</v>
      </c>
      <c r="D1103" s="313" t="s">
        <v>2767</v>
      </c>
      <c r="E1103" s="275">
        <v>1</v>
      </c>
      <c r="F1103" s="548"/>
    </row>
    <row r="1104" spans="1:7">
      <c r="A1104" s="573"/>
      <c r="B1104" s="585"/>
      <c r="C1104" s="454" t="s">
        <v>1741</v>
      </c>
      <c r="D1104" s="455" t="s">
        <v>3320</v>
      </c>
      <c r="E1104" s="461">
        <v>3</v>
      </c>
      <c r="F1104" s="550" t="s">
        <v>1264</v>
      </c>
    </row>
    <row r="1105" spans="1:6">
      <c r="A1105" s="573"/>
      <c r="B1105" s="585"/>
      <c r="C1105" s="25" t="s">
        <v>1743</v>
      </c>
      <c r="D1105" s="310" t="s">
        <v>2768</v>
      </c>
      <c r="E1105" s="29">
        <v>3</v>
      </c>
      <c r="F1105" s="543"/>
    </row>
    <row r="1106" spans="1:6">
      <c r="A1106" s="573"/>
      <c r="B1106" s="585"/>
      <c r="C1106" s="454" t="s">
        <v>1744</v>
      </c>
      <c r="D1106" s="457" t="s">
        <v>2769</v>
      </c>
      <c r="E1106" s="499">
        <v>4</v>
      </c>
      <c r="F1106" s="550" t="s">
        <v>1264</v>
      </c>
    </row>
    <row r="1107" spans="1:6">
      <c r="A1107" s="573"/>
      <c r="B1107" s="585"/>
      <c r="C1107" s="454" t="s">
        <v>1745</v>
      </c>
      <c r="D1107" s="455" t="s">
        <v>2770</v>
      </c>
      <c r="E1107" s="461">
        <v>5</v>
      </c>
      <c r="F1107" s="550" t="s">
        <v>1264</v>
      </c>
    </row>
    <row r="1108" spans="1:6">
      <c r="A1108" s="573"/>
      <c r="B1108" s="585"/>
      <c r="C1108" s="454" t="s">
        <v>1746</v>
      </c>
      <c r="D1108" s="455" t="s">
        <v>2771</v>
      </c>
      <c r="E1108" s="461">
        <v>6</v>
      </c>
      <c r="F1108" s="550" t="s">
        <v>1264</v>
      </c>
    </row>
    <row r="1109" spans="1:6">
      <c r="A1109" s="573"/>
      <c r="B1109" s="585"/>
      <c r="C1109" s="454" t="s">
        <v>1747</v>
      </c>
      <c r="D1109" s="455" t="s">
        <v>2772</v>
      </c>
      <c r="E1109" s="476">
        <v>4</v>
      </c>
      <c r="F1109" s="550" t="s">
        <v>1264</v>
      </c>
    </row>
    <row r="1110" spans="1:6">
      <c r="A1110" s="573"/>
      <c r="B1110" s="585"/>
      <c r="C1110" s="454" t="s">
        <v>1749</v>
      </c>
      <c r="D1110" s="455" t="s">
        <v>2773</v>
      </c>
      <c r="E1110" s="476">
        <v>3</v>
      </c>
      <c r="F1110" s="550" t="s">
        <v>1264</v>
      </c>
    </row>
    <row r="1111" spans="1:6">
      <c r="A1111" s="573"/>
      <c r="B1111" s="585"/>
      <c r="C1111" s="454" t="s">
        <v>1750</v>
      </c>
      <c r="D1111" s="455" t="s">
        <v>2774</v>
      </c>
      <c r="E1111" s="456">
        <v>2</v>
      </c>
      <c r="F1111" s="550" t="s">
        <v>1264</v>
      </c>
    </row>
    <row r="1112" spans="1:6">
      <c r="A1112" s="573"/>
      <c r="B1112" s="585"/>
      <c r="C1112" s="454" t="s">
        <v>1751</v>
      </c>
      <c r="D1112" s="455" t="s">
        <v>2775</v>
      </c>
      <c r="E1112" s="456">
        <v>2</v>
      </c>
      <c r="F1112" s="550" t="s">
        <v>1264</v>
      </c>
    </row>
    <row r="1113" spans="1:6" ht="19.5">
      <c r="A1113" s="573"/>
      <c r="B1113" s="585"/>
      <c r="C1113" s="454" t="s">
        <v>1752</v>
      </c>
      <c r="D1113" s="455" t="s">
        <v>2776</v>
      </c>
      <c r="E1113" s="456" t="s">
        <v>1753</v>
      </c>
      <c r="F1113" s="550" t="s">
        <v>1264</v>
      </c>
    </row>
    <row r="1114" spans="1:6">
      <c r="A1114" s="573"/>
      <c r="B1114" s="585"/>
      <c r="C1114" s="454" t="s">
        <v>1754</v>
      </c>
      <c r="D1114" s="455" t="s">
        <v>2777</v>
      </c>
      <c r="E1114" s="456">
        <v>6</v>
      </c>
      <c r="F1114" s="550" t="s">
        <v>1264</v>
      </c>
    </row>
    <row r="1115" spans="1:6">
      <c r="A1115" s="573"/>
      <c r="B1115" s="585"/>
      <c r="C1115" s="454" t="s">
        <v>1755</v>
      </c>
      <c r="D1115" s="457" t="s">
        <v>2778</v>
      </c>
      <c r="E1115" s="456">
        <v>3</v>
      </c>
      <c r="F1115" s="550" t="s">
        <v>1264</v>
      </c>
    </row>
    <row r="1116" spans="1:6">
      <c r="A1116" s="573"/>
      <c r="B1116" s="585"/>
      <c r="C1116" s="454" t="s">
        <v>1756</v>
      </c>
      <c r="D1116" s="494" t="s">
        <v>2779</v>
      </c>
      <c r="E1116" s="456">
        <v>4</v>
      </c>
      <c r="F1116" s="550" t="s">
        <v>1264</v>
      </c>
    </row>
    <row r="1117" spans="1:6">
      <c r="A1117" s="573"/>
      <c r="B1117" s="585"/>
      <c r="C1117" s="25" t="s">
        <v>1757</v>
      </c>
      <c r="D1117" s="337" t="s">
        <v>2780</v>
      </c>
      <c r="E1117" s="16">
        <v>2</v>
      </c>
      <c r="F1117" s="543"/>
    </row>
    <row r="1118" spans="1:6">
      <c r="A1118" s="573"/>
      <c r="B1118" s="585"/>
      <c r="C1118" s="454" t="s">
        <v>1758</v>
      </c>
      <c r="D1118" s="500" t="s">
        <v>2781</v>
      </c>
      <c r="E1118" s="456">
        <v>6</v>
      </c>
      <c r="F1118" s="550" t="s">
        <v>1264</v>
      </c>
    </row>
    <row r="1119" spans="1:6">
      <c r="A1119" s="573"/>
      <c r="B1119" s="591"/>
      <c r="C1119" s="51" t="s">
        <v>1759</v>
      </c>
      <c r="D1119" s="362" t="s">
        <v>2782</v>
      </c>
      <c r="E1119" s="52">
        <v>3</v>
      </c>
      <c r="F1119" s="547"/>
    </row>
    <row r="1120" spans="1:6">
      <c r="A1120" s="573"/>
      <c r="B1120" s="584" t="s">
        <v>1760</v>
      </c>
      <c r="C1120" s="501" t="s">
        <v>1761</v>
      </c>
      <c r="D1120" s="502" t="s">
        <v>2783</v>
      </c>
      <c r="E1120" s="503">
        <v>6</v>
      </c>
      <c r="F1120" s="551" t="s">
        <v>1264</v>
      </c>
    </row>
    <row r="1121" spans="1:6">
      <c r="A1121" s="573"/>
      <c r="B1121" s="585"/>
      <c r="C1121" s="454" t="s">
        <v>1762</v>
      </c>
      <c r="D1121" s="504" t="s">
        <v>2784</v>
      </c>
      <c r="E1121" s="456">
        <v>3</v>
      </c>
      <c r="F1121" s="550" t="s">
        <v>1264</v>
      </c>
    </row>
    <row r="1122" spans="1:6">
      <c r="A1122" s="573"/>
      <c r="B1122" s="591"/>
      <c r="C1122" s="467" t="s">
        <v>1763</v>
      </c>
      <c r="D1122" s="497" t="s">
        <v>2785</v>
      </c>
      <c r="E1122" s="483">
        <v>6</v>
      </c>
      <c r="F1122" s="556" t="s">
        <v>1264</v>
      </c>
    </row>
    <row r="1123" spans="1:6">
      <c r="A1123" s="573"/>
      <c r="B1123" s="580" t="s">
        <v>1764</v>
      </c>
      <c r="C1123" s="77" t="s">
        <v>1765</v>
      </c>
      <c r="D1123" s="346" t="s">
        <v>3321</v>
      </c>
      <c r="E1123" s="144">
        <v>1</v>
      </c>
      <c r="F1123" s="548"/>
    </row>
    <row r="1124" spans="1:6">
      <c r="A1124" s="573"/>
      <c r="B1124" s="576"/>
      <c r="C1124" s="276" t="s">
        <v>3322</v>
      </c>
      <c r="D1124" s="365" t="s">
        <v>3323</v>
      </c>
      <c r="E1124" s="16">
        <v>1</v>
      </c>
      <c r="F1124" s="543"/>
    </row>
    <row r="1125" spans="1:6">
      <c r="A1125" s="573"/>
      <c r="B1125" s="576"/>
      <c r="C1125" s="35" t="s">
        <v>1770</v>
      </c>
      <c r="D1125" s="333" t="s">
        <v>2786</v>
      </c>
      <c r="E1125" s="16">
        <v>1</v>
      </c>
      <c r="F1125" s="543"/>
    </row>
    <row r="1126" spans="1:6">
      <c r="A1126" s="573"/>
      <c r="B1126" s="576"/>
      <c r="C1126" s="568" t="s">
        <v>3419</v>
      </c>
      <c r="D1126" s="455" t="s">
        <v>2787</v>
      </c>
      <c r="E1126" s="476">
        <v>3</v>
      </c>
      <c r="F1126" s="550" t="s">
        <v>3415</v>
      </c>
    </row>
    <row r="1127" spans="1:6" ht="19.5" thickBot="1">
      <c r="A1127" s="573"/>
      <c r="B1127" s="576"/>
      <c r="C1127" s="569" t="s">
        <v>3420</v>
      </c>
      <c r="D1127" s="340" t="s">
        <v>2788</v>
      </c>
      <c r="E1127" s="279">
        <v>1</v>
      </c>
      <c r="F1127" s="549"/>
    </row>
    <row r="1128" spans="1:6" ht="19.5" thickTop="1">
      <c r="A1128" s="572" t="s">
        <v>1771</v>
      </c>
      <c r="B1128" s="590" t="s">
        <v>1772</v>
      </c>
      <c r="C1128" s="560" t="s">
        <v>1773</v>
      </c>
      <c r="D1128" s="561" t="s">
        <v>2789</v>
      </c>
      <c r="E1128" s="505">
        <v>3</v>
      </c>
      <c r="F1128" s="562" t="s">
        <v>1264</v>
      </c>
    </row>
    <row r="1129" spans="1:6" ht="33">
      <c r="A1129" s="573"/>
      <c r="B1129" s="585"/>
      <c r="C1129" s="488" t="s">
        <v>1774</v>
      </c>
      <c r="D1129" s="489" t="s">
        <v>2790</v>
      </c>
      <c r="E1129" s="563" t="s">
        <v>746</v>
      </c>
      <c r="F1129" s="550" t="s">
        <v>1264</v>
      </c>
    </row>
    <row r="1130" spans="1:6">
      <c r="A1130" s="573"/>
      <c r="B1130" s="585"/>
      <c r="C1130" s="35" t="s">
        <v>1775</v>
      </c>
      <c r="D1130" s="355" t="s">
        <v>2791</v>
      </c>
      <c r="E1130" s="16">
        <v>1</v>
      </c>
      <c r="F1130" s="543"/>
    </row>
    <row r="1131" spans="1:6">
      <c r="A1131" s="573"/>
      <c r="B1131" s="585"/>
      <c r="C1131" s="477" t="s">
        <v>1776</v>
      </c>
      <c r="D1131" s="500" t="s">
        <v>2792</v>
      </c>
      <c r="E1131" s="456">
        <v>4</v>
      </c>
      <c r="F1131" s="550" t="s">
        <v>1264</v>
      </c>
    </row>
    <row r="1132" spans="1:6">
      <c r="A1132" s="573"/>
      <c r="B1132" s="585"/>
      <c r="C1132" s="35" t="s">
        <v>1777</v>
      </c>
      <c r="D1132" s="355" t="s">
        <v>2793</v>
      </c>
      <c r="E1132" s="16">
        <v>1</v>
      </c>
      <c r="F1132" s="543"/>
    </row>
    <row r="1133" spans="1:6">
      <c r="A1133" s="573"/>
      <c r="B1133" s="585"/>
      <c r="C1133" s="283" t="s">
        <v>1778</v>
      </c>
      <c r="D1133" s="368" t="s">
        <v>3324</v>
      </c>
      <c r="E1133" s="16">
        <v>2</v>
      </c>
      <c r="F1133" s="543"/>
    </row>
    <row r="1134" spans="1:6">
      <c r="A1134" s="573"/>
      <c r="B1134" s="585"/>
      <c r="C1134" s="477" t="s">
        <v>1780</v>
      </c>
      <c r="D1134" s="500" t="s">
        <v>2794</v>
      </c>
      <c r="E1134" s="456">
        <v>3</v>
      </c>
      <c r="F1134" s="550" t="s">
        <v>1264</v>
      </c>
    </row>
    <row r="1135" spans="1:6">
      <c r="A1135" s="573"/>
      <c r="B1135" s="585"/>
      <c r="C1135" s="477" t="s">
        <v>1781</v>
      </c>
      <c r="D1135" s="500" t="s">
        <v>2795</v>
      </c>
      <c r="E1135" s="456">
        <v>4</v>
      </c>
      <c r="F1135" s="550" t="s">
        <v>1264</v>
      </c>
    </row>
    <row r="1136" spans="1:6" ht="19.5">
      <c r="A1136" s="573"/>
      <c r="B1136" s="585"/>
      <c r="C1136" s="477" t="s">
        <v>1782</v>
      </c>
      <c r="D1136" s="500" t="s">
        <v>2796</v>
      </c>
      <c r="E1136" s="456" t="s">
        <v>2862</v>
      </c>
      <c r="F1136" s="550" t="s">
        <v>1264</v>
      </c>
    </row>
    <row r="1137" spans="1:6" ht="19.5">
      <c r="A1137" s="573"/>
      <c r="B1137" s="585"/>
      <c r="C1137" s="477" t="s">
        <v>1783</v>
      </c>
      <c r="D1137" s="500" t="s">
        <v>2797</v>
      </c>
      <c r="E1137" s="456" t="s">
        <v>746</v>
      </c>
      <c r="F1137" s="550" t="s">
        <v>1264</v>
      </c>
    </row>
    <row r="1138" spans="1:6" ht="19.5">
      <c r="A1138" s="573"/>
      <c r="B1138" s="585"/>
      <c r="C1138" s="477" t="s">
        <v>1784</v>
      </c>
      <c r="D1138" s="500" t="s">
        <v>2798</v>
      </c>
      <c r="E1138" s="456" t="s">
        <v>746</v>
      </c>
      <c r="F1138" s="550" t="s">
        <v>1264</v>
      </c>
    </row>
    <row r="1139" spans="1:6" ht="19.5" thickBot="1">
      <c r="A1139" s="574"/>
      <c r="B1139" s="586"/>
      <c r="C1139" s="477" t="s">
        <v>1785</v>
      </c>
      <c r="D1139" s="540" t="s">
        <v>3325</v>
      </c>
      <c r="E1139" s="541">
        <v>3</v>
      </c>
      <c r="F1139" s="552" t="s">
        <v>3415</v>
      </c>
    </row>
    <row r="1140" spans="1:6" ht="19.5" thickTop="1">
      <c r="A1140" s="572" t="s">
        <v>1788</v>
      </c>
      <c r="B1140" s="575" t="s">
        <v>1789</v>
      </c>
      <c r="C1140" s="7" t="s">
        <v>1790</v>
      </c>
      <c r="D1140" s="311" t="s">
        <v>3326</v>
      </c>
      <c r="E1140" s="48">
        <v>2</v>
      </c>
      <c r="F1140" s="548"/>
    </row>
    <row r="1141" spans="1:6">
      <c r="A1141" s="573"/>
      <c r="B1141" s="576"/>
      <c r="C1141" s="25" t="s">
        <v>1792</v>
      </c>
      <c r="D1141" s="310" t="s">
        <v>3327</v>
      </c>
      <c r="E1141" s="16">
        <v>1</v>
      </c>
      <c r="F1141" s="543"/>
    </row>
    <row r="1142" spans="1:6">
      <c r="A1142" s="573"/>
      <c r="B1142" s="576"/>
      <c r="C1142" s="25" t="s">
        <v>1794</v>
      </c>
      <c r="D1142" s="310" t="s">
        <v>3328</v>
      </c>
      <c r="E1142" s="16">
        <v>1</v>
      </c>
      <c r="F1142" s="543"/>
    </row>
    <row r="1143" spans="1:6">
      <c r="A1143" s="573"/>
      <c r="B1143" s="576"/>
      <c r="C1143" s="25" t="s">
        <v>1796</v>
      </c>
      <c r="D1143" s="310" t="s">
        <v>3329</v>
      </c>
      <c r="E1143" s="16">
        <v>2</v>
      </c>
      <c r="F1143" s="543"/>
    </row>
    <row r="1144" spans="1:6">
      <c r="A1144" s="573"/>
      <c r="B1144" s="576"/>
      <c r="C1144" s="25" t="s">
        <v>1798</v>
      </c>
      <c r="D1144" s="308" t="s">
        <v>2799</v>
      </c>
      <c r="E1144" s="16">
        <v>1</v>
      </c>
      <c r="F1144" s="543"/>
    </row>
    <row r="1145" spans="1:6">
      <c r="A1145" s="573"/>
      <c r="B1145" s="576"/>
      <c r="C1145" s="132" t="s">
        <v>1799</v>
      </c>
      <c r="D1145" s="332" t="s">
        <v>3330</v>
      </c>
      <c r="E1145" s="16">
        <v>1</v>
      </c>
      <c r="F1145" s="543"/>
    </row>
    <row r="1146" spans="1:6">
      <c r="A1146" s="573"/>
      <c r="B1146" s="576"/>
      <c r="C1146" s="425" t="s">
        <v>1802</v>
      </c>
      <c r="D1146" s="332" t="s">
        <v>3331</v>
      </c>
      <c r="E1146" s="16">
        <v>1</v>
      </c>
      <c r="F1146" s="543"/>
    </row>
    <row r="1147" spans="1:6">
      <c r="A1147" s="573"/>
      <c r="B1147" s="576"/>
      <c r="C1147" s="425" t="s">
        <v>1805</v>
      </c>
      <c r="D1147" s="332" t="s">
        <v>3332</v>
      </c>
      <c r="E1147" s="16">
        <v>1</v>
      </c>
      <c r="F1147" s="543"/>
    </row>
    <row r="1148" spans="1:6">
      <c r="A1148" s="573"/>
      <c r="B1148" s="576"/>
      <c r="C1148" s="25" t="s">
        <v>1808</v>
      </c>
      <c r="D1148" s="308" t="s">
        <v>2800</v>
      </c>
      <c r="E1148" s="16">
        <v>2</v>
      </c>
      <c r="F1148" s="543"/>
    </row>
    <row r="1149" spans="1:6">
      <c r="A1149" s="573"/>
      <c r="B1149" s="576"/>
      <c r="C1149" s="25" t="s">
        <v>1809</v>
      </c>
      <c r="D1149" s="308" t="s">
        <v>2801</v>
      </c>
      <c r="E1149" s="16">
        <v>2</v>
      </c>
      <c r="F1149" s="543"/>
    </row>
    <row r="1150" spans="1:6">
      <c r="A1150" s="573"/>
      <c r="B1150" s="576"/>
      <c r="C1150" s="63" t="s">
        <v>1810</v>
      </c>
      <c r="D1150" s="337" t="s">
        <v>2802</v>
      </c>
      <c r="E1150" s="67">
        <v>3</v>
      </c>
      <c r="F1150" s="543"/>
    </row>
    <row r="1151" spans="1:6">
      <c r="A1151" s="573"/>
      <c r="B1151" s="576"/>
      <c r="C1151" s="34" t="s">
        <v>3333</v>
      </c>
      <c r="D1151" s="337" t="s">
        <v>3334</v>
      </c>
      <c r="E1151" s="16">
        <v>1</v>
      </c>
      <c r="F1151" s="543"/>
    </row>
    <row r="1152" spans="1:6">
      <c r="A1152" s="573"/>
      <c r="B1152" s="576"/>
      <c r="C1152" s="77" t="s">
        <v>3335</v>
      </c>
      <c r="D1152" s="396" t="s">
        <v>3336</v>
      </c>
      <c r="E1152" s="144">
        <v>1</v>
      </c>
      <c r="F1152" s="543"/>
    </row>
    <row r="1153" spans="1:6" ht="19.5" thickBot="1">
      <c r="A1153" s="574"/>
      <c r="B1153" s="582"/>
      <c r="C1153" s="372" t="s">
        <v>3337</v>
      </c>
      <c r="D1153" s="426" t="s">
        <v>3338</v>
      </c>
      <c r="E1153" s="139">
        <v>1</v>
      </c>
      <c r="F1153" s="549"/>
    </row>
    <row r="1154" spans="1:6" ht="19.5" thickTop="1">
      <c r="A1154" s="572" t="s">
        <v>1819</v>
      </c>
      <c r="B1154" s="598" t="s">
        <v>1820</v>
      </c>
      <c r="C1154" s="7" t="s">
        <v>1821</v>
      </c>
      <c r="D1154" s="369" t="s">
        <v>2803</v>
      </c>
      <c r="E1154" s="8">
        <v>2</v>
      </c>
      <c r="F1154" s="548"/>
    </row>
    <row r="1155" spans="1:6">
      <c r="A1155" s="573"/>
      <c r="B1155" s="595"/>
      <c r="C1155" s="22" t="s">
        <v>3339</v>
      </c>
      <c r="D1155" s="348" t="s">
        <v>3340</v>
      </c>
      <c r="E1155" s="16">
        <v>2</v>
      </c>
      <c r="F1155" s="543"/>
    </row>
    <row r="1156" spans="1:6">
      <c r="A1156" s="573"/>
      <c r="B1156" s="595"/>
      <c r="C1156" s="25" t="s">
        <v>1825</v>
      </c>
      <c r="D1156" s="308" t="s">
        <v>2804</v>
      </c>
      <c r="E1156" s="16">
        <v>2</v>
      </c>
      <c r="F1156" s="543"/>
    </row>
    <row r="1157" spans="1:6">
      <c r="A1157" s="573"/>
      <c r="B1157" s="599"/>
      <c r="C1157" s="63" t="s">
        <v>1826</v>
      </c>
      <c r="D1157" s="337" t="s">
        <v>2577</v>
      </c>
      <c r="E1157" s="52">
        <v>2</v>
      </c>
      <c r="F1157" s="547"/>
    </row>
    <row r="1158" spans="1:6">
      <c r="A1158" s="573"/>
      <c r="B1158" s="600" t="s">
        <v>1827</v>
      </c>
      <c r="C1158" s="71" t="s">
        <v>1828</v>
      </c>
      <c r="D1158" s="339" t="s">
        <v>2803</v>
      </c>
      <c r="E1158" s="48">
        <v>2</v>
      </c>
      <c r="F1158" s="548"/>
    </row>
    <row r="1159" spans="1:6">
      <c r="A1159" s="573"/>
      <c r="B1159" s="595"/>
      <c r="C1159" s="77" t="s">
        <v>3341</v>
      </c>
      <c r="D1159" s="348" t="s">
        <v>3340</v>
      </c>
      <c r="E1159" s="48">
        <v>2</v>
      </c>
      <c r="F1159" s="543"/>
    </row>
    <row r="1160" spans="1:6">
      <c r="A1160" s="573"/>
      <c r="B1160" s="599"/>
      <c r="C1160" s="51" t="s">
        <v>1830</v>
      </c>
      <c r="D1160" s="319" t="s">
        <v>2805</v>
      </c>
      <c r="E1160" s="52">
        <v>2</v>
      </c>
      <c r="F1160" s="547"/>
    </row>
    <row r="1161" spans="1:6">
      <c r="A1161" s="573"/>
      <c r="B1161" s="600" t="s">
        <v>1831</v>
      </c>
      <c r="C1161" s="22" t="s">
        <v>1832</v>
      </c>
      <c r="D1161" s="348" t="s">
        <v>2803</v>
      </c>
      <c r="E1161" s="48">
        <v>2</v>
      </c>
      <c r="F1161" s="548"/>
    </row>
    <row r="1162" spans="1:6">
      <c r="A1162" s="573"/>
      <c r="B1162" s="595"/>
      <c r="C1162" s="77" t="s">
        <v>3342</v>
      </c>
      <c r="D1162" s="348" t="s">
        <v>3340</v>
      </c>
      <c r="E1162" s="48">
        <v>2</v>
      </c>
      <c r="F1162" s="543"/>
    </row>
    <row r="1163" spans="1:6">
      <c r="A1163" s="573"/>
      <c r="B1163" s="599"/>
      <c r="C1163" s="63" t="s">
        <v>1834</v>
      </c>
      <c r="D1163" s="337" t="s">
        <v>2806</v>
      </c>
      <c r="E1163" s="52">
        <v>2</v>
      </c>
      <c r="F1163" s="547"/>
    </row>
    <row r="1164" spans="1:6">
      <c r="A1164" s="573"/>
      <c r="B1164" s="600" t="s">
        <v>1835</v>
      </c>
      <c r="C1164" s="71" t="s">
        <v>1836</v>
      </c>
      <c r="D1164" s="339" t="s">
        <v>2803</v>
      </c>
      <c r="E1164" s="48">
        <v>2</v>
      </c>
      <c r="F1164" s="548"/>
    </row>
    <row r="1165" spans="1:6">
      <c r="A1165" s="573"/>
      <c r="B1165" s="595"/>
      <c r="C1165" s="77" t="s">
        <v>3343</v>
      </c>
      <c r="D1165" s="348" t="s">
        <v>3340</v>
      </c>
      <c r="E1165" s="48">
        <v>2</v>
      </c>
      <c r="F1165" s="543"/>
    </row>
    <row r="1166" spans="1:6">
      <c r="A1166" s="573"/>
      <c r="B1166" s="599"/>
      <c r="C1166" s="51" t="s">
        <v>1838</v>
      </c>
      <c r="D1166" s="319" t="s">
        <v>2807</v>
      </c>
      <c r="E1166" s="52">
        <v>2</v>
      </c>
      <c r="F1166" s="547"/>
    </row>
    <row r="1167" spans="1:6">
      <c r="A1167" s="573"/>
      <c r="B1167" s="594" t="s">
        <v>1839</v>
      </c>
      <c r="C1167" s="22" t="s">
        <v>1840</v>
      </c>
      <c r="D1167" s="348" t="s">
        <v>2803</v>
      </c>
      <c r="E1167" s="48">
        <v>2</v>
      </c>
      <c r="F1167" s="548"/>
    </row>
    <row r="1168" spans="1:6">
      <c r="A1168" s="573"/>
      <c r="B1168" s="595"/>
      <c r="C1168" s="22" t="s">
        <v>3364</v>
      </c>
      <c r="D1168" s="451" t="s">
        <v>3345</v>
      </c>
      <c r="E1168" s="430">
        <v>2</v>
      </c>
      <c r="F1168" s="543"/>
    </row>
    <row r="1169" spans="1:6">
      <c r="A1169" s="573"/>
      <c r="B1169" s="596"/>
      <c r="C1169" s="63" t="s">
        <v>1842</v>
      </c>
      <c r="D1169" s="337" t="s">
        <v>2808</v>
      </c>
      <c r="E1169" s="52">
        <v>2</v>
      </c>
      <c r="F1169" s="547"/>
    </row>
    <row r="1170" spans="1:6">
      <c r="A1170" s="573"/>
      <c r="B1170" s="594" t="s">
        <v>1843</v>
      </c>
      <c r="C1170" s="71" t="s">
        <v>1844</v>
      </c>
      <c r="D1170" s="339" t="s">
        <v>2803</v>
      </c>
      <c r="E1170" s="48">
        <v>2</v>
      </c>
      <c r="F1170" s="548"/>
    </row>
    <row r="1171" spans="1:6">
      <c r="A1171" s="573"/>
      <c r="B1171" s="595"/>
      <c r="C1171" s="22" t="s">
        <v>3365</v>
      </c>
      <c r="D1171" s="451" t="s">
        <v>3345</v>
      </c>
      <c r="E1171" s="430">
        <v>2</v>
      </c>
      <c r="F1171" s="543"/>
    </row>
    <row r="1172" spans="1:6">
      <c r="A1172" s="573"/>
      <c r="B1172" s="596"/>
      <c r="C1172" s="51" t="s">
        <v>1846</v>
      </c>
      <c r="D1172" s="319" t="s">
        <v>2809</v>
      </c>
      <c r="E1172" s="52">
        <v>2</v>
      </c>
      <c r="F1172" s="547"/>
    </row>
    <row r="1173" spans="1:6">
      <c r="A1173" s="573"/>
      <c r="B1173" s="594" t="s">
        <v>1847</v>
      </c>
      <c r="C1173" s="22" t="s">
        <v>1848</v>
      </c>
      <c r="D1173" s="348" t="s">
        <v>2803</v>
      </c>
      <c r="E1173" s="48">
        <v>2</v>
      </c>
      <c r="F1173" s="548"/>
    </row>
    <row r="1174" spans="1:6">
      <c r="A1174" s="573"/>
      <c r="B1174" s="595"/>
      <c r="C1174" s="22" t="s">
        <v>3366</v>
      </c>
      <c r="D1174" s="451" t="s">
        <v>3345</v>
      </c>
      <c r="E1174" s="430">
        <v>2</v>
      </c>
      <c r="F1174" s="543"/>
    </row>
    <row r="1175" spans="1:6">
      <c r="A1175" s="573"/>
      <c r="B1175" s="596"/>
      <c r="C1175" s="63" t="s">
        <v>1850</v>
      </c>
      <c r="D1175" s="337" t="s">
        <v>2810</v>
      </c>
      <c r="E1175" s="52">
        <v>2</v>
      </c>
      <c r="F1175" s="547"/>
    </row>
    <row r="1176" spans="1:6">
      <c r="A1176" s="573"/>
      <c r="B1176" s="594" t="s">
        <v>1851</v>
      </c>
      <c r="C1176" s="71" t="s">
        <v>1852</v>
      </c>
      <c r="D1176" s="339" t="s">
        <v>2803</v>
      </c>
      <c r="E1176" s="48">
        <v>2</v>
      </c>
      <c r="F1176" s="548"/>
    </row>
    <row r="1177" spans="1:6">
      <c r="A1177" s="573"/>
      <c r="B1177" s="595"/>
      <c r="C1177" s="22" t="s">
        <v>3367</v>
      </c>
      <c r="D1177" s="451" t="s">
        <v>3345</v>
      </c>
      <c r="E1177" s="430">
        <v>2</v>
      </c>
      <c r="F1177" s="543"/>
    </row>
    <row r="1178" spans="1:6">
      <c r="A1178" s="573"/>
      <c r="B1178" s="596"/>
      <c r="C1178" s="51" t="s">
        <v>1854</v>
      </c>
      <c r="D1178" s="319" t="s">
        <v>2811</v>
      </c>
      <c r="E1178" s="52">
        <v>2</v>
      </c>
      <c r="F1178" s="547"/>
    </row>
    <row r="1179" spans="1:6">
      <c r="A1179" s="573"/>
      <c r="B1179" s="594" t="s">
        <v>1855</v>
      </c>
      <c r="C1179" s="22" t="s">
        <v>1856</v>
      </c>
      <c r="D1179" s="348" t="s">
        <v>2803</v>
      </c>
      <c r="E1179" s="48">
        <v>2</v>
      </c>
      <c r="F1179" s="548"/>
    </row>
    <row r="1180" spans="1:6">
      <c r="A1180" s="573"/>
      <c r="B1180" s="595"/>
      <c r="C1180" s="22" t="s">
        <v>3368</v>
      </c>
      <c r="D1180" s="451" t="s">
        <v>3345</v>
      </c>
      <c r="E1180" s="430">
        <v>2</v>
      </c>
      <c r="F1180" s="543"/>
    </row>
    <row r="1181" spans="1:6">
      <c r="A1181" s="573"/>
      <c r="B1181" s="596"/>
      <c r="C1181" s="63" t="s">
        <v>1858</v>
      </c>
      <c r="D1181" s="337" t="s">
        <v>2812</v>
      </c>
      <c r="E1181" s="52">
        <v>2</v>
      </c>
      <c r="F1181" s="547"/>
    </row>
    <row r="1182" spans="1:6">
      <c r="A1182" s="573"/>
      <c r="B1182" s="594" t="s">
        <v>1859</v>
      </c>
      <c r="C1182" s="71" t="s">
        <v>1860</v>
      </c>
      <c r="D1182" s="339" t="s">
        <v>2803</v>
      </c>
      <c r="E1182" s="48">
        <v>2</v>
      </c>
      <c r="F1182" s="548"/>
    </row>
    <row r="1183" spans="1:6">
      <c r="A1183" s="573"/>
      <c r="B1183" s="595"/>
      <c r="C1183" s="22" t="s">
        <v>3369</v>
      </c>
      <c r="D1183" s="451" t="s">
        <v>3345</v>
      </c>
      <c r="E1183" s="430">
        <v>2</v>
      </c>
      <c r="F1183" s="543"/>
    </row>
    <row r="1184" spans="1:6">
      <c r="A1184" s="573"/>
      <c r="B1184" s="596"/>
      <c r="C1184" s="51" t="s">
        <v>1862</v>
      </c>
      <c r="D1184" s="319" t="s">
        <v>2813</v>
      </c>
      <c r="E1184" s="52">
        <v>2</v>
      </c>
      <c r="F1184" s="547"/>
    </row>
    <row r="1185" spans="1:6">
      <c r="A1185" s="573"/>
      <c r="B1185" s="594" t="s">
        <v>3406</v>
      </c>
      <c r="C1185" s="22" t="s">
        <v>1863</v>
      </c>
      <c r="D1185" s="348" t="s">
        <v>2803</v>
      </c>
      <c r="E1185" s="48">
        <v>2</v>
      </c>
      <c r="F1185" s="548"/>
    </row>
    <row r="1186" spans="1:6">
      <c r="A1186" s="573"/>
      <c r="B1186" s="595"/>
      <c r="C1186" s="22" t="s">
        <v>3370</v>
      </c>
      <c r="D1186" s="451" t="s">
        <v>3345</v>
      </c>
      <c r="E1186" s="430">
        <v>2</v>
      </c>
      <c r="F1186" s="543"/>
    </row>
    <row r="1187" spans="1:6">
      <c r="A1187" s="573"/>
      <c r="B1187" s="596"/>
      <c r="C1187" s="63" t="s">
        <v>1865</v>
      </c>
      <c r="D1187" s="337" t="s">
        <v>2814</v>
      </c>
      <c r="E1187" s="52">
        <v>2</v>
      </c>
      <c r="F1187" s="547"/>
    </row>
    <row r="1188" spans="1:6">
      <c r="A1188" s="573"/>
      <c r="B1188" s="594" t="s">
        <v>1866</v>
      </c>
      <c r="C1188" s="71" t="s">
        <v>1867</v>
      </c>
      <c r="D1188" s="339" t="s">
        <v>2815</v>
      </c>
      <c r="E1188" s="48">
        <v>2</v>
      </c>
      <c r="F1188" s="548"/>
    </row>
    <row r="1189" spans="1:6">
      <c r="A1189" s="573"/>
      <c r="B1189" s="595"/>
      <c r="C1189" s="22" t="s">
        <v>3371</v>
      </c>
      <c r="D1189" s="451" t="s">
        <v>3345</v>
      </c>
      <c r="E1189" s="430">
        <v>2</v>
      </c>
      <c r="F1189" s="543"/>
    </row>
    <row r="1190" spans="1:6">
      <c r="A1190" s="573"/>
      <c r="B1190" s="596"/>
      <c r="C1190" s="467" t="s">
        <v>1869</v>
      </c>
      <c r="D1190" s="508" t="s">
        <v>2816</v>
      </c>
      <c r="E1190" s="483">
        <v>3</v>
      </c>
      <c r="F1190" s="556" t="s">
        <v>1264</v>
      </c>
    </row>
    <row r="1191" spans="1:6">
      <c r="A1191" s="573"/>
      <c r="B1191" s="594" t="s">
        <v>1870</v>
      </c>
      <c r="C1191" s="22" t="s">
        <v>1871</v>
      </c>
      <c r="D1191" s="348" t="s">
        <v>2803</v>
      </c>
      <c r="E1191" s="48">
        <v>2</v>
      </c>
      <c r="F1191" s="548"/>
    </row>
    <row r="1192" spans="1:6">
      <c r="A1192" s="573"/>
      <c r="B1192" s="595"/>
      <c r="C1192" s="22" t="s">
        <v>3372</v>
      </c>
      <c r="D1192" s="451" t="s">
        <v>3345</v>
      </c>
      <c r="E1192" s="430">
        <v>2</v>
      </c>
      <c r="F1192" s="543"/>
    </row>
    <row r="1193" spans="1:6">
      <c r="A1193" s="573"/>
      <c r="B1193" s="596"/>
      <c r="C1193" s="462" t="s">
        <v>1873</v>
      </c>
      <c r="D1193" s="494" t="s">
        <v>2817</v>
      </c>
      <c r="E1193" s="483">
        <v>3</v>
      </c>
      <c r="F1193" s="556" t="s">
        <v>1264</v>
      </c>
    </row>
    <row r="1194" spans="1:6">
      <c r="A1194" s="573"/>
      <c r="B1194" s="594" t="s">
        <v>1874</v>
      </c>
      <c r="C1194" s="71" t="s">
        <v>1875</v>
      </c>
      <c r="D1194" s="339" t="s">
        <v>2803</v>
      </c>
      <c r="E1194" s="48">
        <v>2</v>
      </c>
      <c r="F1194" s="548"/>
    </row>
    <row r="1195" spans="1:6">
      <c r="A1195" s="573"/>
      <c r="B1195" s="595"/>
      <c r="C1195" s="22" t="s">
        <v>3373</v>
      </c>
      <c r="D1195" s="451" t="s">
        <v>3345</v>
      </c>
      <c r="E1195" s="430">
        <v>2</v>
      </c>
      <c r="F1195" s="543"/>
    </row>
    <row r="1196" spans="1:6">
      <c r="A1196" s="573"/>
      <c r="B1196" s="596"/>
      <c r="C1196" s="467" t="s">
        <v>1877</v>
      </c>
      <c r="D1196" s="508" t="s">
        <v>2818</v>
      </c>
      <c r="E1196" s="483">
        <v>3</v>
      </c>
      <c r="F1196" s="556" t="s">
        <v>1264</v>
      </c>
    </row>
    <row r="1197" spans="1:6">
      <c r="A1197" s="573"/>
      <c r="B1197" s="594" t="s">
        <v>1878</v>
      </c>
      <c r="C1197" s="22" t="s">
        <v>1879</v>
      </c>
      <c r="D1197" s="348" t="s">
        <v>2803</v>
      </c>
      <c r="E1197" s="48">
        <v>2</v>
      </c>
      <c r="F1197" s="548"/>
    </row>
    <row r="1198" spans="1:6">
      <c r="A1198" s="573"/>
      <c r="B1198" s="595"/>
      <c r="C1198" s="22" t="s">
        <v>3374</v>
      </c>
      <c r="D1198" s="451" t="s">
        <v>3345</v>
      </c>
      <c r="E1198" s="430">
        <v>2</v>
      </c>
      <c r="F1198" s="543"/>
    </row>
    <row r="1199" spans="1:6">
      <c r="A1199" s="573"/>
      <c r="B1199" s="596"/>
      <c r="C1199" s="462" t="s">
        <v>1881</v>
      </c>
      <c r="D1199" s="494" t="s">
        <v>2819</v>
      </c>
      <c r="E1199" s="483">
        <v>3</v>
      </c>
      <c r="F1199" s="556" t="s">
        <v>1264</v>
      </c>
    </row>
    <row r="1200" spans="1:6">
      <c r="A1200" s="573"/>
      <c r="B1200" s="594" t="s">
        <v>1882</v>
      </c>
      <c r="C1200" s="71" t="s">
        <v>1883</v>
      </c>
      <c r="D1200" s="339" t="s">
        <v>2803</v>
      </c>
      <c r="E1200" s="48">
        <v>2</v>
      </c>
      <c r="F1200" s="548"/>
    </row>
    <row r="1201" spans="1:6">
      <c r="A1201" s="573"/>
      <c r="B1201" s="595"/>
      <c r="C1201" s="22" t="s">
        <v>3375</v>
      </c>
      <c r="D1201" s="451" t="s">
        <v>3345</v>
      </c>
      <c r="E1201" s="430">
        <v>2</v>
      </c>
      <c r="F1201" s="543"/>
    </row>
    <row r="1202" spans="1:6">
      <c r="A1202" s="573"/>
      <c r="B1202" s="596"/>
      <c r="C1202" s="467" t="s">
        <v>1885</v>
      </c>
      <c r="D1202" s="508" t="s">
        <v>2820</v>
      </c>
      <c r="E1202" s="483">
        <v>3</v>
      </c>
      <c r="F1202" s="556" t="s">
        <v>1264</v>
      </c>
    </row>
    <row r="1203" spans="1:6">
      <c r="A1203" s="573"/>
      <c r="B1203" s="594" t="s">
        <v>1886</v>
      </c>
      <c r="C1203" s="22" t="s">
        <v>1887</v>
      </c>
      <c r="D1203" s="348" t="s">
        <v>2803</v>
      </c>
      <c r="E1203" s="48">
        <v>2</v>
      </c>
      <c r="F1203" s="548"/>
    </row>
    <row r="1204" spans="1:6">
      <c r="A1204" s="573"/>
      <c r="B1204" s="595"/>
      <c r="C1204" s="22" t="s">
        <v>3376</v>
      </c>
      <c r="D1204" s="451" t="s">
        <v>3345</v>
      </c>
      <c r="E1204" s="430">
        <v>2</v>
      </c>
      <c r="F1204" s="543"/>
    </row>
    <row r="1205" spans="1:6">
      <c r="A1205" s="573"/>
      <c r="B1205" s="596"/>
      <c r="C1205" s="462" t="s">
        <v>1889</v>
      </c>
      <c r="D1205" s="494" t="s">
        <v>2821</v>
      </c>
      <c r="E1205" s="483">
        <v>3</v>
      </c>
      <c r="F1205" s="556" t="s">
        <v>1264</v>
      </c>
    </row>
    <row r="1206" spans="1:6">
      <c r="A1206" s="573"/>
      <c r="B1206" s="594" t="s">
        <v>1890</v>
      </c>
      <c r="C1206" s="501" t="s">
        <v>1891</v>
      </c>
      <c r="D1206" s="509" t="s">
        <v>2803</v>
      </c>
      <c r="E1206" s="484">
        <v>3</v>
      </c>
      <c r="F1206" s="551" t="s">
        <v>1264</v>
      </c>
    </row>
    <row r="1207" spans="1:6">
      <c r="A1207" s="573"/>
      <c r="B1207" s="595"/>
      <c r="C1207" s="22" t="s">
        <v>3377</v>
      </c>
      <c r="D1207" s="451" t="s">
        <v>3345</v>
      </c>
      <c r="E1207" s="430">
        <v>3</v>
      </c>
      <c r="F1207" s="543"/>
    </row>
    <row r="1208" spans="1:6">
      <c r="A1208" s="573"/>
      <c r="B1208" s="596"/>
      <c r="C1208" s="467" t="s">
        <v>1894</v>
      </c>
      <c r="D1208" s="508" t="s">
        <v>2822</v>
      </c>
      <c r="E1208" s="483">
        <v>3</v>
      </c>
      <c r="F1208" s="556" t="s">
        <v>1264</v>
      </c>
    </row>
    <row r="1209" spans="1:6">
      <c r="A1209" s="573"/>
      <c r="B1209" s="594" t="s">
        <v>1895</v>
      </c>
      <c r="C1209" s="458" t="s">
        <v>1896</v>
      </c>
      <c r="D1209" s="510" t="s">
        <v>2803</v>
      </c>
      <c r="E1209" s="484">
        <v>3</v>
      </c>
      <c r="F1209" s="551" t="s">
        <v>1264</v>
      </c>
    </row>
    <row r="1210" spans="1:6">
      <c r="A1210" s="573"/>
      <c r="B1210" s="595"/>
      <c r="C1210" s="77" t="s">
        <v>3344</v>
      </c>
      <c r="D1210" s="451" t="s">
        <v>3345</v>
      </c>
      <c r="E1210" s="430">
        <v>3</v>
      </c>
      <c r="F1210" s="543"/>
    </row>
    <row r="1211" spans="1:6">
      <c r="A1211" s="573"/>
      <c r="B1211" s="596"/>
      <c r="C1211" s="462" t="s">
        <v>1898</v>
      </c>
      <c r="D1211" s="494" t="s">
        <v>2823</v>
      </c>
      <c r="E1211" s="483">
        <v>3</v>
      </c>
      <c r="F1211" s="556" t="s">
        <v>1264</v>
      </c>
    </row>
    <row r="1212" spans="1:6">
      <c r="A1212" s="573"/>
      <c r="B1212" s="594" t="s">
        <v>1899</v>
      </c>
      <c r="C1212" s="501" t="s">
        <v>1900</v>
      </c>
      <c r="D1212" s="509" t="s">
        <v>2803</v>
      </c>
      <c r="E1212" s="484">
        <v>3</v>
      </c>
      <c r="F1212" s="551" t="s">
        <v>1264</v>
      </c>
    </row>
    <row r="1213" spans="1:6">
      <c r="A1213" s="573"/>
      <c r="B1213" s="595"/>
      <c r="C1213" s="22" t="s">
        <v>3378</v>
      </c>
      <c r="D1213" s="451" t="s">
        <v>3345</v>
      </c>
      <c r="E1213" s="430">
        <v>3</v>
      </c>
      <c r="F1213" s="543"/>
    </row>
    <row r="1214" spans="1:6">
      <c r="A1214" s="573"/>
      <c r="B1214" s="596"/>
      <c r="C1214" s="467" t="s">
        <v>1902</v>
      </c>
      <c r="D1214" s="508" t="s">
        <v>2824</v>
      </c>
      <c r="E1214" s="483">
        <v>3</v>
      </c>
      <c r="F1214" s="556" t="s">
        <v>1264</v>
      </c>
    </row>
    <row r="1215" spans="1:6">
      <c r="A1215" s="573"/>
      <c r="B1215" s="594" t="s">
        <v>1903</v>
      </c>
      <c r="C1215" s="458" t="s">
        <v>1904</v>
      </c>
      <c r="D1215" s="510" t="s">
        <v>2803</v>
      </c>
      <c r="E1215" s="484">
        <v>3</v>
      </c>
      <c r="F1215" s="551" t="s">
        <v>1264</v>
      </c>
    </row>
    <row r="1216" spans="1:6">
      <c r="A1216" s="573"/>
      <c r="B1216" s="595"/>
      <c r="C1216" s="22" t="s">
        <v>3379</v>
      </c>
      <c r="D1216" s="451" t="s">
        <v>3345</v>
      </c>
      <c r="E1216" s="430">
        <v>3</v>
      </c>
      <c r="F1216" s="543"/>
    </row>
    <row r="1217" spans="1:6">
      <c r="A1217" s="573"/>
      <c r="B1217" s="596"/>
      <c r="C1217" s="462" t="s">
        <v>1906</v>
      </c>
      <c r="D1217" s="494" t="s">
        <v>2824</v>
      </c>
      <c r="E1217" s="483">
        <v>3</v>
      </c>
      <c r="F1217" s="556" t="s">
        <v>1264</v>
      </c>
    </row>
    <row r="1218" spans="1:6">
      <c r="A1218" s="573"/>
      <c r="B1218" s="594" t="s">
        <v>1907</v>
      </c>
      <c r="C1218" s="71" t="s">
        <v>1908</v>
      </c>
      <c r="D1218" s="339" t="s">
        <v>2803</v>
      </c>
      <c r="E1218" s="48">
        <v>2</v>
      </c>
      <c r="F1218" s="548"/>
    </row>
    <row r="1219" spans="1:6">
      <c r="A1219" s="573"/>
      <c r="B1219" s="595"/>
      <c r="C1219" s="22" t="s">
        <v>3380</v>
      </c>
      <c r="D1219" s="451" t="s">
        <v>3345</v>
      </c>
      <c r="E1219" s="430">
        <v>2</v>
      </c>
      <c r="F1219" s="543"/>
    </row>
    <row r="1220" spans="1:6">
      <c r="A1220" s="573"/>
      <c r="B1220" s="596"/>
      <c r="C1220" s="467" t="s">
        <v>1910</v>
      </c>
      <c r="D1220" s="508" t="s">
        <v>2825</v>
      </c>
      <c r="E1220" s="483">
        <v>3</v>
      </c>
      <c r="F1220" s="556" t="s">
        <v>1264</v>
      </c>
    </row>
    <row r="1221" spans="1:6">
      <c r="A1221" s="573"/>
      <c r="B1221" s="594" t="s">
        <v>1911</v>
      </c>
      <c r="C1221" s="22" t="s">
        <v>1912</v>
      </c>
      <c r="D1221" s="348" t="s">
        <v>2803</v>
      </c>
      <c r="E1221" s="48">
        <v>2</v>
      </c>
      <c r="F1221" s="548"/>
    </row>
    <row r="1222" spans="1:6">
      <c r="A1222" s="573"/>
      <c r="B1222" s="595"/>
      <c r="C1222" s="22" t="s">
        <v>3381</v>
      </c>
      <c r="D1222" s="451" t="s">
        <v>3345</v>
      </c>
      <c r="E1222" s="430">
        <v>2</v>
      </c>
      <c r="F1222" s="543"/>
    </row>
    <row r="1223" spans="1:6">
      <c r="A1223" s="573"/>
      <c r="B1223" s="596"/>
      <c r="C1223" s="462" t="s">
        <v>1914</v>
      </c>
      <c r="D1223" s="494" t="s">
        <v>2826</v>
      </c>
      <c r="E1223" s="483">
        <v>3</v>
      </c>
      <c r="F1223" s="556" t="s">
        <v>1264</v>
      </c>
    </row>
    <row r="1224" spans="1:6">
      <c r="A1224" s="573"/>
      <c r="B1224" s="594" t="s">
        <v>1915</v>
      </c>
      <c r="C1224" s="501" t="s">
        <v>1916</v>
      </c>
      <c r="D1224" s="509" t="s">
        <v>2803</v>
      </c>
      <c r="E1224" s="484">
        <v>4</v>
      </c>
      <c r="F1224" s="551" t="s">
        <v>1264</v>
      </c>
    </row>
    <row r="1225" spans="1:6">
      <c r="A1225" s="573"/>
      <c r="B1225" s="595"/>
      <c r="C1225" s="22" t="s">
        <v>3382</v>
      </c>
      <c r="D1225" s="451" t="s">
        <v>3345</v>
      </c>
      <c r="E1225" s="430">
        <v>4</v>
      </c>
      <c r="F1225" s="543"/>
    </row>
    <row r="1226" spans="1:6">
      <c r="A1226" s="573"/>
      <c r="B1226" s="596"/>
      <c r="C1226" s="467" t="s">
        <v>1919</v>
      </c>
      <c r="D1226" s="508" t="s">
        <v>2824</v>
      </c>
      <c r="E1226" s="483">
        <v>4</v>
      </c>
      <c r="F1226" s="556" t="s">
        <v>1264</v>
      </c>
    </row>
    <row r="1227" spans="1:6">
      <c r="A1227" s="573"/>
      <c r="B1227" s="594" t="s">
        <v>1920</v>
      </c>
      <c r="C1227" s="458" t="s">
        <v>1921</v>
      </c>
      <c r="D1227" s="510" t="s">
        <v>2803</v>
      </c>
      <c r="E1227" s="484">
        <v>4</v>
      </c>
      <c r="F1227" s="551" t="s">
        <v>1264</v>
      </c>
    </row>
    <row r="1228" spans="1:6">
      <c r="A1228" s="573"/>
      <c r="B1228" s="595"/>
      <c r="C1228" s="22" t="s">
        <v>3383</v>
      </c>
      <c r="D1228" s="451" t="s">
        <v>3345</v>
      </c>
      <c r="E1228" s="430">
        <v>4</v>
      </c>
      <c r="F1228" s="543"/>
    </row>
    <row r="1229" spans="1:6">
      <c r="A1229" s="573"/>
      <c r="B1229" s="596"/>
      <c r="C1229" s="462" t="s">
        <v>1923</v>
      </c>
      <c r="D1229" s="494" t="s">
        <v>2827</v>
      </c>
      <c r="E1229" s="483">
        <v>4</v>
      </c>
      <c r="F1229" s="556" t="s">
        <v>1264</v>
      </c>
    </row>
    <row r="1230" spans="1:6">
      <c r="A1230" s="573"/>
      <c r="B1230" s="594" t="s">
        <v>1924</v>
      </c>
      <c r="C1230" s="71" t="s">
        <v>1925</v>
      </c>
      <c r="D1230" s="339" t="s">
        <v>2803</v>
      </c>
      <c r="E1230" s="48">
        <v>2</v>
      </c>
      <c r="F1230" s="548"/>
    </row>
    <row r="1231" spans="1:6">
      <c r="A1231" s="573"/>
      <c r="B1231" s="595"/>
      <c r="C1231" s="22" t="s">
        <v>3384</v>
      </c>
      <c r="D1231" s="451" t="s">
        <v>3345</v>
      </c>
      <c r="E1231" s="430">
        <v>2</v>
      </c>
      <c r="F1231" s="543"/>
    </row>
    <row r="1232" spans="1:6">
      <c r="A1232" s="573"/>
      <c r="B1232" s="596"/>
      <c r="C1232" s="467" t="s">
        <v>1927</v>
      </c>
      <c r="D1232" s="508" t="s">
        <v>2828</v>
      </c>
      <c r="E1232" s="483">
        <v>4</v>
      </c>
      <c r="F1232" s="556" t="s">
        <v>1264</v>
      </c>
    </row>
    <row r="1233" spans="1:6">
      <c r="A1233" s="573"/>
      <c r="B1233" s="594" t="s">
        <v>1928</v>
      </c>
      <c r="C1233" s="22" t="s">
        <v>1929</v>
      </c>
      <c r="D1233" s="348" t="s">
        <v>2803</v>
      </c>
      <c r="E1233" s="48">
        <v>2</v>
      </c>
      <c r="F1233" s="548"/>
    </row>
    <row r="1234" spans="1:6">
      <c r="A1234" s="573"/>
      <c r="B1234" s="595"/>
      <c r="C1234" s="77" t="s">
        <v>3346</v>
      </c>
      <c r="D1234" s="348" t="s">
        <v>3340</v>
      </c>
      <c r="E1234" s="48">
        <v>2</v>
      </c>
      <c r="F1234" s="543"/>
    </row>
    <row r="1235" spans="1:6">
      <c r="A1235" s="573"/>
      <c r="B1235" s="596"/>
      <c r="C1235" s="462" t="s">
        <v>1931</v>
      </c>
      <c r="D1235" s="494" t="s">
        <v>2829</v>
      </c>
      <c r="E1235" s="483">
        <v>5</v>
      </c>
      <c r="F1235" s="556" t="s">
        <v>1264</v>
      </c>
    </row>
    <row r="1236" spans="1:6">
      <c r="A1236" s="573"/>
      <c r="B1236" s="594" t="s">
        <v>1932</v>
      </c>
      <c r="C1236" s="71" t="s">
        <v>1933</v>
      </c>
      <c r="D1236" s="339" t="s">
        <v>2803</v>
      </c>
      <c r="E1236" s="48">
        <v>3</v>
      </c>
      <c r="F1236" s="548"/>
    </row>
    <row r="1237" spans="1:6">
      <c r="A1237" s="573"/>
      <c r="B1237" s="595"/>
      <c r="C1237" s="77" t="s">
        <v>3347</v>
      </c>
      <c r="D1237" s="348" t="s">
        <v>3340</v>
      </c>
      <c r="E1237" s="48">
        <v>3</v>
      </c>
      <c r="F1237" s="543"/>
    </row>
    <row r="1238" spans="1:6">
      <c r="A1238" s="573"/>
      <c r="B1238" s="596"/>
      <c r="C1238" s="467" t="s">
        <v>1935</v>
      </c>
      <c r="D1238" s="508" t="s">
        <v>2830</v>
      </c>
      <c r="E1238" s="483">
        <v>6</v>
      </c>
      <c r="F1238" s="556" t="s">
        <v>1264</v>
      </c>
    </row>
    <row r="1239" spans="1:6">
      <c r="A1239" s="573"/>
      <c r="B1239" s="600" t="s">
        <v>1936</v>
      </c>
      <c r="C1239" s="22" t="s">
        <v>1937</v>
      </c>
      <c r="D1239" s="348" t="s">
        <v>2803</v>
      </c>
      <c r="E1239" s="48">
        <v>2</v>
      </c>
      <c r="F1239" s="548"/>
    </row>
    <row r="1240" spans="1:6">
      <c r="A1240" s="573"/>
      <c r="B1240" s="595"/>
      <c r="C1240" s="77" t="s">
        <v>3348</v>
      </c>
      <c r="D1240" s="348" t="s">
        <v>3340</v>
      </c>
      <c r="E1240" s="48">
        <v>2</v>
      </c>
      <c r="F1240" s="543"/>
    </row>
    <row r="1241" spans="1:6">
      <c r="A1241" s="573"/>
      <c r="B1241" s="599"/>
      <c r="C1241" s="462" t="s">
        <v>1939</v>
      </c>
      <c r="D1241" s="494" t="s">
        <v>2831</v>
      </c>
      <c r="E1241" s="483">
        <v>6</v>
      </c>
      <c r="F1241" s="556" t="s">
        <v>1264</v>
      </c>
    </row>
    <row r="1242" spans="1:6">
      <c r="A1242" s="573"/>
      <c r="B1242" s="594" t="s">
        <v>1940</v>
      </c>
      <c r="C1242" s="71" t="s">
        <v>1941</v>
      </c>
      <c r="D1242" s="339" t="s">
        <v>2803</v>
      </c>
      <c r="E1242" s="48">
        <v>2</v>
      </c>
      <c r="F1242" s="548"/>
    </row>
    <row r="1243" spans="1:6">
      <c r="A1243" s="573"/>
      <c r="B1243" s="595"/>
      <c r="C1243" s="71" t="s">
        <v>3385</v>
      </c>
      <c r="D1243" s="451" t="s">
        <v>3345</v>
      </c>
      <c r="E1243" s="430">
        <v>2</v>
      </c>
      <c r="F1243" s="543"/>
    </row>
    <row r="1244" spans="1:6" ht="19.5">
      <c r="A1244" s="573"/>
      <c r="B1244" s="596"/>
      <c r="C1244" s="467" t="s">
        <v>1943</v>
      </c>
      <c r="D1244" s="508" t="s">
        <v>2832</v>
      </c>
      <c r="E1244" s="483" t="s">
        <v>1944</v>
      </c>
      <c r="F1244" s="556" t="s">
        <v>1264</v>
      </c>
    </row>
    <row r="1245" spans="1:6">
      <c r="A1245" s="573"/>
      <c r="B1245" s="594" t="s">
        <v>1945</v>
      </c>
      <c r="C1245" s="22" t="s">
        <v>1946</v>
      </c>
      <c r="D1245" s="348" t="s">
        <v>2803</v>
      </c>
      <c r="E1245" s="48">
        <v>3</v>
      </c>
      <c r="F1245" s="548"/>
    </row>
    <row r="1246" spans="1:6">
      <c r="A1246" s="573"/>
      <c r="B1246" s="595"/>
      <c r="C1246" s="22" t="s">
        <v>3386</v>
      </c>
      <c r="D1246" s="451" t="s">
        <v>3345</v>
      </c>
      <c r="E1246" s="430">
        <v>3</v>
      </c>
      <c r="F1246" s="543"/>
    </row>
    <row r="1247" spans="1:6" ht="19.5">
      <c r="A1247" s="573"/>
      <c r="B1247" s="596"/>
      <c r="C1247" s="462" t="s">
        <v>1948</v>
      </c>
      <c r="D1247" s="494" t="s">
        <v>2833</v>
      </c>
      <c r="E1247" s="483" t="s">
        <v>1944</v>
      </c>
      <c r="F1247" s="556" t="s">
        <v>1264</v>
      </c>
    </row>
    <row r="1248" spans="1:6">
      <c r="A1248" s="573"/>
      <c r="B1248" s="594" t="s">
        <v>1949</v>
      </c>
      <c r="C1248" s="501" t="s">
        <v>1950</v>
      </c>
      <c r="D1248" s="509" t="s">
        <v>2803</v>
      </c>
      <c r="E1248" s="484">
        <v>3</v>
      </c>
      <c r="F1248" s="551" t="s">
        <v>1264</v>
      </c>
    </row>
    <row r="1249" spans="1:6">
      <c r="A1249" s="573"/>
      <c r="B1249" s="595"/>
      <c r="C1249" s="71" t="s">
        <v>3387</v>
      </c>
      <c r="D1249" s="451" t="s">
        <v>3345</v>
      </c>
      <c r="E1249" s="430">
        <v>3</v>
      </c>
      <c r="F1249" s="543"/>
    </row>
    <row r="1250" spans="1:6" ht="19.5">
      <c r="A1250" s="573"/>
      <c r="B1250" s="596"/>
      <c r="C1250" s="467" t="s">
        <v>1952</v>
      </c>
      <c r="D1250" s="508" t="s">
        <v>2834</v>
      </c>
      <c r="E1250" s="483" t="s">
        <v>1944</v>
      </c>
      <c r="F1250" s="556" t="s">
        <v>1264</v>
      </c>
    </row>
    <row r="1251" spans="1:6">
      <c r="A1251" s="573"/>
      <c r="B1251" s="594" t="s">
        <v>1953</v>
      </c>
      <c r="C1251" s="458" t="s">
        <v>1954</v>
      </c>
      <c r="D1251" s="510" t="s">
        <v>2803</v>
      </c>
      <c r="E1251" s="484">
        <v>3</v>
      </c>
      <c r="F1251" s="551" t="s">
        <v>1264</v>
      </c>
    </row>
    <row r="1252" spans="1:6">
      <c r="A1252" s="573"/>
      <c r="B1252" s="595"/>
      <c r="C1252" s="22" t="s">
        <v>3388</v>
      </c>
      <c r="D1252" s="451" t="s">
        <v>3345</v>
      </c>
      <c r="E1252" s="430">
        <v>3</v>
      </c>
      <c r="F1252" s="543"/>
    </row>
    <row r="1253" spans="1:6" ht="19.5">
      <c r="A1253" s="573"/>
      <c r="B1253" s="596"/>
      <c r="C1253" s="462" t="s">
        <v>1956</v>
      </c>
      <c r="D1253" s="494" t="s">
        <v>2835</v>
      </c>
      <c r="E1253" s="483" t="s">
        <v>1944</v>
      </c>
      <c r="F1253" s="556" t="s">
        <v>1264</v>
      </c>
    </row>
    <row r="1254" spans="1:6">
      <c r="A1254" s="573"/>
      <c r="B1254" s="594" t="s">
        <v>1957</v>
      </c>
      <c r="C1254" s="501" t="s">
        <v>1958</v>
      </c>
      <c r="D1254" s="509" t="s">
        <v>2803</v>
      </c>
      <c r="E1254" s="484">
        <v>3</v>
      </c>
      <c r="F1254" s="551" t="s">
        <v>1264</v>
      </c>
    </row>
    <row r="1255" spans="1:6">
      <c r="A1255" s="573"/>
      <c r="B1255" s="595"/>
      <c r="C1255" s="71" t="s">
        <v>3389</v>
      </c>
      <c r="D1255" s="451" t="s">
        <v>3345</v>
      </c>
      <c r="E1255" s="430">
        <v>3</v>
      </c>
      <c r="F1255" s="543"/>
    </row>
    <row r="1256" spans="1:6" ht="19.5">
      <c r="A1256" s="573"/>
      <c r="B1256" s="596"/>
      <c r="C1256" s="467" t="s">
        <v>1960</v>
      </c>
      <c r="D1256" s="508" t="s">
        <v>2836</v>
      </c>
      <c r="E1256" s="483" t="s">
        <v>1944</v>
      </c>
      <c r="F1256" s="556" t="s">
        <v>1264</v>
      </c>
    </row>
    <row r="1257" spans="1:6">
      <c r="A1257" s="573"/>
      <c r="B1257" s="594" t="s">
        <v>1961</v>
      </c>
      <c r="C1257" s="458" t="s">
        <v>1962</v>
      </c>
      <c r="D1257" s="510" t="s">
        <v>2803</v>
      </c>
      <c r="E1257" s="484">
        <v>3</v>
      </c>
      <c r="F1257" s="551" t="s">
        <v>1264</v>
      </c>
    </row>
    <row r="1258" spans="1:6">
      <c r="A1258" s="573"/>
      <c r="B1258" s="595"/>
      <c r="C1258" s="22" t="s">
        <v>3390</v>
      </c>
      <c r="D1258" s="451" t="s">
        <v>3345</v>
      </c>
      <c r="E1258" s="430">
        <v>3</v>
      </c>
      <c r="F1258" s="543"/>
    </row>
    <row r="1259" spans="1:6" ht="19.5">
      <c r="A1259" s="573"/>
      <c r="B1259" s="596"/>
      <c r="C1259" s="462" t="s">
        <v>1964</v>
      </c>
      <c r="D1259" s="494" t="s">
        <v>2837</v>
      </c>
      <c r="E1259" s="483" t="s">
        <v>1944</v>
      </c>
      <c r="F1259" s="556" t="s">
        <v>1264</v>
      </c>
    </row>
    <row r="1260" spans="1:6">
      <c r="A1260" s="573"/>
      <c r="B1260" s="594" t="s">
        <v>1965</v>
      </c>
      <c r="C1260" s="501" t="s">
        <v>1966</v>
      </c>
      <c r="D1260" s="509" t="s">
        <v>2803</v>
      </c>
      <c r="E1260" s="484">
        <v>3</v>
      </c>
      <c r="F1260" s="551" t="s">
        <v>1264</v>
      </c>
    </row>
    <row r="1261" spans="1:6">
      <c r="A1261" s="573"/>
      <c r="B1261" s="595"/>
      <c r="C1261" s="71" t="s">
        <v>3391</v>
      </c>
      <c r="D1261" s="451" t="s">
        <v>3345</v>
      </c>
      <c r="E1261" s="430">
        <v>3</v>
      </c>
      <c r="F1261" s="543"/>
    </row>
    <row r="1262" spans="1:6" ht="19.5">
      <c r="A1262" s="573"/>
      <c r="B1262" s="596"/>
      <c r="C1262" s="467" t="s">
        <v>1968</v>
      </c>
      <c r="D1262" s="508" t="s">
        <v>2838</v>
      </c>
      <c r="E1262" s="483" t="s">
        <v>1944</v>
      </c>
      <c r="F1262" s="556" t="s">
        <v>1264</v>
      </c>
    </row>
    <row r="1263" spans="1:6">
      <c r="A1263" s="573"/>
      <c r="B1263" s="594" t="s">
        <v>1969</v>
      </c>
      <c r="C1263" s="458" t="s">
        <v>1970</v>
      </c>
      <c r="D1263" s="510" t="s">
        <v>2803</v>
      </c>
      <c r="E1263" s="484">
        <v>3</v>
      </c>
      <c r="F1263" s="551" t="s">
        <v>1264</v>
      </c>
    </row>
    <row r="1264" spans="1:6">
      <c r="A1264" s="573"/>
      <c r="B1264" s="595"/>
      <c r="C1264" s="22" t="s">
        <v>3392</v>
      </c>
      <c r="D1264" s="451" t="s">
        <v>3345</v>
      </c>
      <c r="E1264" s="430">
        <v>3</v>
      </c>
      <c r="F1264" s="543"/>
    </row>
    <row r="1265" spans="1:6" ht="19.5">
      <c r="A1265" s="573"/>
      <c r="B1265" s="596"/>
      <c r="C1265" s="462" t="s">
        <v>1972</v>
      </c>
      <c r="D1265" s="494" t="s">
        <v>2839</v>
      </c>
      <c r="E1265" s="483" t="s">
        <v>1944</v>
      </c>
      <c r="F1265" s="556" t="s">
        <v>1264</v>
      </c>
    </row>
    <row r="1266" spans="1:6" ht="19.5">
      <c r="A1266" s="573"/>
      <c r="B1266" s="594" t="s">
        <v>1973</v>
      </c>
      <c r="C1266" s="501" t="s">
        <v>1974</v>
      </c>
      <c r="D1266" s="509" t="s">
        <v>2803</v>
      </c>
      <c r="E1266" s="484" t="s">
        <v>1944</v>
      </c>
      <c r="F1266" s="551" t="s">
        <v>1264</v>
      </c>
    </row>
    <row r="1267" spans="1:6" ht="19.5">
      <c r="A1267" s="573"/>
      <c r="B1267" s="595"/>
      <c r="C1267" s="501" t="s">
        <v>3393</v>
      </c>
      <c r="D1267" s="531" t="s">
        <v>3345</v>
      </c>
      <c r="E1267" s="533" t="s">
        <v>2862</v>
      </c>
      <c r="F1267" s="550" t="s">
        <v>1264</v>
      </c>
    </row>
    <row r="1268" spans="1:6" ht="19.5">
      <c r="A1268" s="573"/>
      <c r="B1268" s="596"/>
      <c r="C1268" s="467" t="s">
        <v>1978</v>
      </c>
      <c r="D1268" s="508" t="s">
        <v>2840</v>
      </c>
      <c r="E1268" s="483" t="s">
        <v>1944</v>
      </c>
      <c r="F1268" s="556" t="s">
        <v>1264</v>
      </c>
    </row>
    <row r="1269" spans="1:6" ht="19.5">
      <c r="A1269" s="573"/>
      <c r="B1269" s="594" t="s">
        <v>1979</v>
      </c>
      <c r="C1269" s="458" t="s">
        <v>1980</v>
      </c>
      <c r="D1269" s="510" t="s">
        <v>2803</v>
      </c>
      <c r="E1269" s="484" t="s">
        <v>1944</v>
      </c>
      <c r="F1269" s="551" t="s">
        <v>1264</v>
      </c>
    </row>
    <row r="1270" spans="1:6" ht="19.5">
      <c r="A1270" s="573"/>
      <c r="B1270" s="595"/>
      <c r="C1270" s="458" t="s">
        <v>3394</v>
      </c>
      <c r="D1270" s="531" t="s">
        <v>3345</v>
      </c>
      <c r="E1270" s="533" t="s">
        <v>2862</v>
      </c>
      <c r="F1270" s="550" t="s">
        <v>1264</v>
      </c>
    </row>
    <row r="1271" spans="1:6" ht="19.5">
      <c r="A1271" s="573"/>
      <c r="B1271" s="596"/>
      <c r="C1271" s="462" t="s">
        <v>1983</v>
      </c>
      <c r="D1271" s="494" t="s">
        <v>2841</v>
      </c>
      <c r="E1271" s="483" t="s">
        <v>1944</v>
      </c>
      <c r="F1271" s="556" t="s">
        <v>1264</v>
      </c>
    </row>
    <row r="1272" spans="1:6" ht="19.5">
      <c r="A1272" s="573"/>
      <c r="B1272" s="594" t="s">
        <v>1984</v>
      </c>
      <c r="C1272" s="501" t="s">
        <v>1985</v>
      </c>
      <c r="D1272" s="509" t="s">
        <v>2803</v>
      </c>
      <c r="E1272" s="484" t="s">
        <v>1944</v>
      </c>
      <c r="F1272" s="551" t="s">
        <v>1264</v>
      </c>
    </row>
    <row r="1273" spans="1:6" ht="19.5">
      <c r="A1273" s="573"/>
      <c r="B1273" s="595"/>
      <c r="C1273" s="501" t="s">
        <v>3395</v>
      </c>
      <c r="D1273" s="531" t="s">
        <v>3345</v>
      </c>
      <c r="E1273" s="533" t="s">
        <v>2862</v>
      </c>
      <c r="F1273" s="550" t="s">
        <v>1264</v>
      </c>
    </row>
    <row r="1274" spans="1:6" ht="19.5">
      <c r="A1274" s="573"/>
      <c r="B1274" s="596"/>
      <c r="C1274" s="467" t="s">
        <v>1987</v>
      </c>
      <c r="D1274" s="508" t="s">
        <v>2842</v>
      </c>
      <c r="E1274" s="483" t="s">
        <v>1944</v>
      </c>
      <c r="F1274" s="556" t="s">
        <v>1264</v>
      </c>
    </row>
    <row r="1275" spans="1:6" ht="19.5">
      <c r="A1275" s="573"/>
      <c r="B1275" s="594" t="s">
        <v>1988</v>
      </c>
      <c r="C1275" s="458" t="s">
        <v>1989</v>
      </c>
      <c r="D1275" s="510" t="s">
        <v>2803</v>
      </c>
      <c r="E1275" s="484" t="s">
        <v>1944</v>
      </c>
      <c r="F1275" s="551" t="s">
        <v>1264</v>
      </c>
    </row>
    <row r="1276" spans="1:6" ht="19.5">
      <c r="A1276" s="573"/>
      <c r="B1276" s="595"/>
      <c r="C1276" s="458" t="s">
        <v>3396</v>
      </c>
      <c r="D1276" s="531" t="s">
        <v>3345</v>
      </c>
      <c r="E1276" s="533" t="s">
        <v>2862</v>
      </c>
      <c r="F1276" s="550" t="s">
        <v>1264</v>
      </c>
    </row>
    <row r="1277" spans="1:6" ht="19.5">
      <c r="A1277" s="573"/>
      <c r="B1277" s="596"/>
      <c r="C1277" s="462" t="s">
        <v>1991</v>
      </c>
      <c r="D1277" s="494" t="s">
        <v>2843</v>
      </c>
      <c r="E1277" s="483" t="s">
        <v>1944</v>
      </c>
      <c r="F1277" s="556" t="s">
        <v>1264</v>
      </c>
    </row>
    <row r="1278" spans="1:6" ht="19.5">
      <c r="A1278" s="573"/>
      <c r="B1278" s="594" t="s">
        <v>1992</v>
      </c>
      <c r="C1278" s="564" t="s">
        <v>1993</v>
      </c>
      <c r="D1278" s="509" t="s">
        <v>2803</v>
      </c>
      <c r="E1278" s="484" t="s">
        <v>1944</v>
      </c>
      <c r="F1278" s="551" t="s">
        <v>1264</v>
      </c>
    </row>
    <row r="1279" spans="1:6" ht="19.5">
      <c r="A1279" s="573"/>
      <c r="B1279" s="595"/>
      <c r="C1279" s="488" t="s">
        <v>3397</v>
      </c>
      <c r="D1279" s="531" t="s">
        <v>3345</v>
      </c>
      <c r="E1279" s="533" t="s">
        <v>2862</v>
      </c>
      <c r="F1279" s="550" t="s">
        <v>1264</v>
      </c>
    </row>
    <row r="1280" spans="1:6" ht="19.5">
      <c r="A1280" s="573"/>
      <c r="B1280" s="596"/>
      <c r="C1280" s="511" t="s">
        <v>1995</v>
      </c>
      <c r="D1280" s="508" t="s">
        <v>2844</v>
      </c>
      <c r="E1280" s="483" t="s">
        <v>1944</v>
      </c>
      <c r="F1280" s="556" t="s">
        <v>1264</v>
      </c>
    </row>
    <row r="1281" spans="1:6" ht="19.5">
      <c r="A1281" s="573"/>
      <c r="B1281" s="594" t="s">
        <v>1996</v>
      </c>
      <c r="C1281" s="458" t="s">
        <v>1997</v>
      </c>
      <c r="D1281" s="510" t="s">
        <v>2803</v>
      </c>
      <c r="E1281" s="484" t="s">
        <v>1944</v>
      </c>
      <c r="F1281" s="551" t="s">
        <v>1264</v>
      </c>
    </row>
    <row r="1282" spans="1:6" ht="19.5">
      <c r="A1282" s="573"/>
      <c r="B1282" s="595"/>
      <c r="C1282" s="458" t="s">
        <v>3398</v>
      </c>
      <c r="D1282" s="531" t="s">
        <v>3345</v>
      </c>
      <c r="E1282" s="533" t="s">
        <v>2862</v>
      </c>
      <c r="F1282" s="550" t="s">
        <v>1264</v>
      </c>
    </row>
    <row r="1283" spans="1:6" ht="19.5">
      <c r="A1283" s="573"/>
      <c r="B1283" s="596"/>
      <c r="C1283" s="462" t="s">
        <v>1999</v>
      </c>
      <c r="D1283" s="494" t="s">
        <v>2845</v>
      </c>
      <c r="E1283" s="483" t="s">
        <v>1944</v>
      </c>
      <c r="F1283" s="556" t="s">
        <v>1264</v>
      </c>
    </row>
    <row r="1284" spans="1:6" ht="19.5">
      <c r="A1284" s="573"/>
      <c r="B1284" s="594" t="s">
        <v>2000</v>
      </c>
      <c r="C1284" s="564" t="s">
        <v>2001</v>
      </c>
      <c r="D1284" s="509" t="s">
        <v>2803</v>
      </c>
      <c r="E1284" s="484" t="s">
        <v>1944</v>
      </c>
      <c r="F1284" s="551" t="s">
        <v>1264</v>
      </c>
    </row>
    <row r="1285" spans="1:6" ht="19.5">
      <c r="A1285" s="573"/>
      <c r="B1285" s="595"/>
      <c r="C1285" s="488" t="s">
        <v>3399</v>
      </c>
      <c r="D1285" s="531" t="s">
        <v>3345</v>
      </c>
      <c r="E1285" s="533" t="s">
        <v>2862</v>
      </c>
      <c r="F1285" s="550" t="s">
        <v>1264</v>
      </c>
    </row>
    <row r="1286" spans="1:6" ht="19.5">
      <c r="A1286" s="573"/>
      <c r="B1286" s="596"/>
      <c r="C1286" s="511" t="s">
        <v>2003</v>
      </c>
      <c r="D1286" s="508" t="s">
        <v>2846</v>
      </c>
      <c r="E1286" s="483" t="s">
        <v>1944</v>
      </c>
      <c r="F1286" s="556" t="s">
        <v>1264</v>
      </c>
    </row>
    <row r="1287" spans="1:6" ht="19.5">
      <c r="A1287" s="573"/>
      <c r="B1287" s="594" t="s">
        <v>3407</v>
      </c>
      <c r="C1287" s="458" t="s">
        <v>2004</v>
      </c>
      <c r="D1287" s="510" t="s">
        <v>2803</v>
      </c>
      <c r="E1287" s="484" t="s">
        <v>1944</v>
      </c>
      <c r="F1287" s="551" t="s">
        <v>1264</v>
      </c>
    </row>
    <row r="1288" spans="1:6" ht="19.5">
      <c r="A1288" s="573"/>
      <c r="B1288" s="595"/>
      <c r="C1288" s="458" t="s">
        <v>3400</v>
      </c>
      <c r="D1288" s="531" t="s">
        <v>3345</v>
      </c>
      <c r="E1288" s="533" t="s">
        <v>2862</v>
      </c>
      <c r="F1288" s="550" t="s">
        <v>1264</v>
      </c>
    </row>
    <row r="1289" spans="1:6" ht="19.5">
      <c r="A1289" s="573"/>
      <c r="B1289" s="596"/>
      <c r="C1289" s="462" t="s">
        <v>2006</v>
      </c>
      <c r="D1289" s="494" t="s">
        <v>2847</v>
      </c>
      <c r="E1289" s="483" t="s">
        <v>120</v>
      </c>
      <c r="F1289" s="556" t="s">
        <v>1264</v>
      </c>
    </row>
    <row r="1290" spans="1:6" ht="19.5">
      <c r="A1290" s="573"/>
      <c r="B1290" s="594" t="s">
        <v>2007</v>
      </c>
      <c r="C1290" s="564" t="s">
        <v>2008</v>
      </c>
      <c r="D1290" s="509" t="s">
        <v>2803</v>
      </c>
      <c r="E1290" s="484" t="s">
        <v>120</v>
      </c>
      <c r="F1290" s="551" t="s">
        <v>1264</v>
      </c>
    </row>
    <row r="1291" spans="1:6" ht="19.5">
      <c r="A1291" s="573"/>
      <c r="B1291" s="595"/>
      <c r="C1291" s="488" t="s">
        <v>3401</v>
      </c>
      <c r="D1291" s="531" t="s">
        <v>3345</v>
      </c>
      <c r="E1291" s="532" t="s">
        <v>1264</v>
      </c>
      <c r="F1291" s="550" t="s">
        <v>1264</v>
      </c>
    </row>
    <row r="1292" spans="1:6" ht="19.5">
      <c r="A1292" s="573"/>
      <c r="B1292" s="596"/>
      <c r="C1292" s="511" t="s">
        <v>2012</v>
      </c>
      <c r="D1292" s="508" t="s">
        <v>2848</v>
      </c>
      <c r="E1292" s="483" t="s">
        <v>120</v>
      </c>
      <c r="F1292" s="556" t="s">
        <v>1264</v>
      </c>
    </row>
    <row r="1293" spans="1:6" ht="39.6" customHeight="1">
      <c r="A1293" s="573"/>
      <c r="B1293" s="601" t="s">
        <v>2013</v>
      </c>
      <c r="C1293" s="564" t="s">
        <v>2014</v>
      </c>
      <c r="D1293" s="507" t="s">
        <v>2849</v>
      </c>
      <c r="E1293" s="484" t="s">
        <v>1944</v>
      </c>
      <c r="F1293" s="551" t="s">
        <v>1264</v>
      </c>
    </row>
    <row r="1294" spans="1:6" ht="19.5">
      <c r="A1294" s="573"/>
      <c r="B1294" s="602"/>
      <c r="C1294" s="488" t="s">
        <v>3402</v>
      </c>
      <c r="D1294" s="510" t="s">
        <v>3340</v>
      </c>
      <c r="E1294" s="534" t="s">
        <v>3349</v>
      </c>
      <c r="F1294" s="550" t="s">
        <v>1264</v>
      </c>
    </row>
    <row r="1295" spans="1:6" ht="19.5">
      <c r="A1295" s="573"/>
      <c r="B1295" s="603"/>
      <c r="C1295" s="511" t="s">
        <v>2016</v>
      </c>
      <c r="D1295" s="512" t="s">
        <v>2846</v>
      </c>
      <c r="E1295" s="483" t="s">
        <v>1944</v>
      </c>
      <c r="F1295" s="556" t="s">
        <v>1264</v>
      </c>
    </row>
    <row r="1296" spans="1:6">
      <c r="A1296" s="573"/>
      <c r="B1296" s="605" t="s">
        <v>2017</v>
      </c>
      <c r="C1296" s="22" t="s">
        <v>2018</v>
      </c>
      <c r="D1296" s="348" t="s">
        <v>2803</v>
      </c>
      <c r="E1296" s="48">
        <v>1</v>
      </c>
      <c r="F1296" s="548"/>
    </row>
    <row r="1297" spans="1:6">
      <c r="A1297" s="573"/>
      <c r="B1297" s="606"/>
      <c r="C1297" s="77" t="s">
        <v>3350</v>
      </c>
      <c r="D1297" s="348" t="s">
        <v>3340</v>
      </c>
      <c r="E1297" s="48">
        <v>1</v>
      </c>
      <c r="F1297" s="543"/>
    </row>
    <row r="1298" spans="1:6">
      <c r="A1298" s="573"/>
      <c r="B1298" s="607"/>
      <c r="C1298" s="63" t="s">
        <v>2021</v>
      </c>
      <c r="D1298" s="337" t="s">
        <v>2850</v>
      </c>
      <c r="E1298" s="52">
        <v>2</v>
      </c>
      <c r="F1298" s="547"/>
    </row>
    <row r="1299" spans="1:6">
      <c r="A1299" s="573"/>
      <c r="B1299" s="594" t="s">
        <v>2022</v>
      </c>
      <c r="C1299" s="71" t="s">
        <v>2023</v>
      </c>
      <c r="D1299" s="339" t="s">
        <v>2803</v>
      </c>
      <c r="E1299" s="48">
        <v>2</v>
      </c>
      <c r="F1299" s="548"/>
    </row>
    <row r="1300" spans="1:6">
      <c r="A1300" s="573"/>
      <c r="B1300" s="595"/>
      <c r="C1300" s="77" t="s">
        <v>3351</v>
      </c>
      <c r="D1300" s="348" t="s">
        <v>3340</v>
      </c>
      <c r="E1300" s="48">
        <v>2</v>
      </c>
      <c r="F1300" s="543"/>
    </row>
    <row r="1301" spans="1:6">
      <c r="A1301" s="573"/>
      <c r="B1301" s="596"/>
      <c r="C1301" s="467" t="s">
        <v>2025</v>
      </c>
      <c r="D1301" s="508" t="s">
        <v>2851</v>
      </c>
      <c r="E1301" s="483">
        <v>3</v>
      </c>
      <c r="F1301" s="556" t="s">
        <v>1264</v>
      </c>
    </row>
    <row r="1302" spans="1:6">
      <c r="A1302" s="573"/>
      <c r="B1302" s="594" t="s">
        <v>2026</v>
      </c>
      <c r="C1302" s="22" t="s">
        <v>2027</v>
      </c>
      <c r="D1302" s="348" t="s">
        <v>2803</v>
      </c>
      <c r="E1302" s="48">
        <v>2</v>
      </c>
      <c r="F1302" s="548"/>
    </row>
    <row r="1303" spans="1:6">
      <c r="A1303" s="573"/>
      <c r="B1303" s="595"/>
      <c r="C1303" s="77" t="s">
        <v>3352</v>
      </c>
      <c r="D1303" s="348" t="s">
        <v>3340</v>
      </c>
      <c r="E1303" s="48">
        <v>2</v>
      </c>
      <c r="F1303" s="543"/>
    </row>
    <row r="1304" spans="1:6">
      <c r="A1304" s="573"/>
      <c r="B1304" s="596"/>
      <c r="C1304" s="462" t="s">
        <v>2029</v>
      </c>
      <c r="D1304" s="494" t="s">
        <v>2852</v>
      </c>
      <c r="E1304" s="483">
        <v>3</v>
      </c>
      <c r="F1304" s="556" t="s">
        <v>1264</v>
      </c>
    </row>
    <row r="1305" spans="1:6" ht="19.5">
      <c r="A1305" s="573"/>
      <c r="B1305" s="594" t="s">
        <v>2030</v>
      </c>
      <c r="C1305" s="501" t="s">
        <v>2031</v>
      </c>
      <c r="D1305" s="509" t="s">
        <v>2803</v>
      </c>
      <c r="E1305" s="484" t="s">
        <v>1944</v>
      </c>
      <c r="F1305" s="551" t="s">
        <v>1264</v>
      </c>
    </row>
    <row r="1306" spans="1:6" ht="19.5">
      <c r="A1306" s="573"/>
      <c r="B1306" s="595"/>
      <c r="C1306" s="470" t="s">
        <v>3353</v>
      </c>
      <c r="D1306" s="510" t="s">
        <v>3340</v>
      </c>
      <c r="E1306" s="534" t="s">
        <v>3349</v>
      </c>
      <c r="F1306" s="550" t="s">
        <v>1264</v>
      </c>
    </row>
    <row r="1307" spans="1:6" ht="19.5">
      <c r="A1307" s="573"/>
      <c r="B1307" s="596"/>
      <c r="C1307" s="467" t="s">
        <v>2033</v>
      </c>
      <c r="D1307" s="508" t="s">
        <v>2852</v>
      </c>
      <c r="E1307" s="483" t="s">
        <v>1944</v>
      </c>
      <c r="F1307" s="556" t="s">
        <v>1264</v>
      </c>
    </row>
    <row r="1308" spans="1:6" ht="19.5">
      <c r="A1308" s="573"/>
      <c r="B1308" s="594" t="s">
        <v>2034</v>
      </c>
      <c r="C1308" s="458" t="s">
        <v>2035</v>
      </c>
      <c r="D1308" s="510" t="s">
        <v>2803</v>
      </c>
      <c r="E1308" s="484" t="s">
        <v>1944</v>
      </c>
      <c r="F1308" s="551" t="s">
        <v>1264</v>
      </c>
    </row>
    <row r="1309" spans="1:6" ht="19.5">
      <c r="A1309" s="573"/>
      <c r="B1309" s="595"/>
      <c r="C1309" s="470" t="s">
        <v>3354</v>
      </c>
      <c r="D1309" s="510" t="s">
        <v>3340</v>
      </c>
      <c r="E1309" s="484" t="s">
        <v>1944</v>
      </c>
      <c r="F1309" s="550" t="s">
        <v>1264</v>
      </c>
    </row>
    <row r="1310" spans="1:6" ht="19.5">
      <c r="A1310" s="573"/>
      <c r="B1310" s="596"/>
      <c r="C1310" s="462" t="s">
        <v>2037</v>
      </c>
      <c r="D1310" s="494" t="s">
        <v>2853</v>
      </c>
      <c r="E1310" s="483" t="s">
        <v>1944</v>
      </c>
      <c r="F1310" s="556" t="s">
        <v>1264</v>
      </c>
    </row>
    <row r="1311" spans="1:6" ht="19.5">
      <c r="A1311" s="573"/>
      <c r="B1311" s="594" t="s">
        <v>2038</v>
      </c>
      <c r="C1311" s="501" t="s">
        <v>2039</v>
      </c>
      <c r="D1311" s="509" t="s">
        <v>2803</v>
      </c>
      <c r="E1311" s="484" t="s">
        <v>1944</v>
      </c>
      <c r="F1311" s="551" t="s">
        <v>1264</v>
      </c>
    </row>
    <row r="1312" spans="1:6" ht="19.5">
      <c r="A1312" s="573"/>
      <c r="B1312" s="595"/>
      <c r="C1312" s="470" t="s">
        <v>3355</v>
      </c>
      <c r="D1312" s="510" t="s">
        <v>3340</v>
      </c>
      <c r="E1312" s="484" t="s">
        <v>1944</v>
      </c>
      <c r="F1312" s="550" t="s">
        <v>1264</v>
      </c>
    </row>
    <row r="1313" spans="1:6" ht="19.5">
      <c r="A1313" s="573"/>
      <c r="B1313" s="596"/>
      <c r="C1313" s="467" t="s">
        <v>2041</v>
      </c>
      <c r="D1313" s="508" t="s">
        <v>2854</v>
      </c>
      <c r="E1313" s="483" t="s">
        <v>1944</v>
      </c>
      <c r="F1313" s="556" t="s">
        <v>1264</v>
      </c>
    </row>
    <row r="1314" spans="1:6" ht="19.5">
      <c r="A1314" s="573"/>
      <c r="B1314" s="594" t="s">
        <v>2042</v>
      </c>
      <c r="C1314" s="458" t="s">
        <v>2043</v>
      </c>
      <c r="D1314" s="510" t="s">
        <v>2803</v>
      </c>
      <c r="E1314" s="484" t="s">
        <v>1944</v>
      </c>
      <c r="F1314" s="551" t="s">
        <v>1264</v>
      </c>
    </row>
    <row r="1315" spans="1:6" ht="19.5">
      <c r="A1315" s="573"/>
      <c r="B1315" s="595"/>
      <c r="C1315" s="470" t="s">
        <v>3356</v>
      </c>
      <c r="D1315" s="510" t="s">
        <v>3340</v>
      </c>
      <c r="E1315" s="484" t="s">
        <v>1944</v>
      </c>
      <c r="F1315" s="550" t="s">
        <v>1264</v>
      </c>
    </row>
    <row r="1316" spans="1:6" ht="19.5">
      <c r="A1316" s="573"/>
      <c r="B1316" s="596"/>
      <c r="C1316" s="462" t="s">
        <v>2045</v>
      </c>
      <c r="D1316" s="494" t="s">
        <v>2855</v>
      </c>
      <c r="E1316" s="483" t="s">
        <v>1944</v>
      </c>
      <c r="F1316" s="556" t="s">
        <v>1264</v>
      </c>
    </row>
    <row r="1317" spans="1:6" ht="19.5">
      <c r="A1317" s="573"/>
      <c r="B1317" s="594" t="s">
        <v>2046</v>
      </c>
      <c r="C1317" s="501" t="s">
        <v>2047</v>
      </c>
      <c r="D1317" s="509" t="s">
        <v>2803</v>
      </c>
      <c r="E1317" s="484" t="s">
        <v>1944</v>
      </c>
      <c r="F1317" s="551" t="s">
        <v>1264</v>
      </c>
    </row>
    <row r="1318" spans="1:6" ht="19.5">
      <c r="A1318" s="573"/>
      <c r="B1318" s="595"/>
      <c r="C1318" s="470" t="s">
        <v>3357</v>
      </c>
      <c r="D1318" s="510" t="s">
        <v>3340</v>
      </c>
      <c r="E1318" s="484" t="s">
        <v>1944</v>
      </c>
      <c r="F1318" s="550" t="s">
        <v>1264</v>
      </c>
    </row>
    <row r="1319" spans="1:6" ht="19.5">
      <c r="A1319" s="573"/>
      <c r="B1319" s="596"/>
      <c r="C1319" s="467" t="s">
        <v>2049</v>
      </c>
      <c r="D1319" s="508" t="s">
        <v>2856</v>
      </c>
      <c r="E1319" s="483" t="s">
        <v>1944</v>
      </c>
      <c r="F1319" s="556" t="s">
        <v>1264</v>
      </c>
    </row>
    <row r="1320" spans="1:6" ht="19.5">
      <c r="A1320" s="573"/>
      <c r="B1320" s="594" t="s">
        <v>2050</v>
      </c>
      <c r="C1320" s="458" t="s">
        <v>2051</v>
      </c>
      <c r="D1320" s="510" t="s">
        <v>2803</v>
      </c>
      <c r="E1320" s="484" t="s">
        <v>1944</v>
      </c>
      <c r="F1320" s="551" t="s">
        <v>1264</v>
      </c>
    </row>
    <row r="1321" spans="1:6" ht="19.5">
      <c r="A1321" s="573"/>
      <c r="B1321" s="595"/>
      <c r="C1321" s="470" t="s">
        <v>3358</v>
      </c>
      <c r="D1321" s="510" t="s">
        <v>3340</v>
      </c>
      <c r="E1321" s="484" t="s">
        <v>1944</v>
      </c>
      <c r="F1321" s="550" t="s">
        <v>1264</v>
      </c>
    </row>
    <row r="1322" spans="1:6" ht="19.5">
      <c r="A1322" s="573"/>
      <c r="B1322" s="596"/>
      <c r="C1322" s="462" t="s">
        <v>2053</v>
      </c>
      <c r="D1322" s="494" t="s">
        <v>2857</v>
      </c>
      <c r="E1322" s="484" t="s">
        <v>1944</v>
      </c>
      <c r="F1322" s="556" t="s">
        <v>1264</v>
      </c>
    </row>
    <row r="1323" spans="1:6" ht="19.5">
      <c r="A1323" s="573"/>
      <c r="B1323" s="594" t="s">
        <v>2054</v>
      </c>
      <c r="C1323" s="501" t="s">
        <v>2055</v>
      </c>
      <c r="D1323" s="509" t="s">
        <v>2803</v>
      </c>
      <c r="E1323" s="484" t="s">
        <v>1944</v>
      </c>
      <c r="F1323" s="551" t="s">
        <v>1264</v>
      </c>
    </row>
    <row r="1324" spans="1:6" ht="19.5">
      <c r="A1324" s="573"/>
      <c r="B1324" s="595"/>
      <c r="C1324" s="470" t="s">
        <v>3359</v>
      </c>
      <c r="D1324" s="510" t="s">
        <v>3340</v>
      </c>
      <c r="E1324" s="484" t="s">
        <v>1944</v>
      </c>
      <c r="F1324" s="550" t="s">
        <v>1264</v>
      </c>
    </row>
    <row r="1325" spans="1:6" ht="19.5">
      <c r="A1325" s="573"/>
      <c r="B1325" s="596"/>
      <c r="C1325" s="467" t="s">
        <v>2057</v>
      </c>
      <c r="D1325" s="508" t="s">
        <v>2857</v>
      </c>
      <c r="E1325" s="484" t="s">
        <v>1944</v>
      </c>
      <c r="F1325" s="556" t="s">
        <v>1264</v>
      </c>
    </row>
    <row r="1326" spans="1:6" ht="19.5">
      <c r="A1326" s="573"/>
      <c r="B1326" s="594" t="s">
        <v>2058</v>
      </c>
      <c r="C1326" s="458" t="s">
        <v>2059</v>
      </c>
      <c r="D1326" s="510" t="s">
        <v>2803</v>
      </c>
      <c r="E1326" s="484" t="s">
        <v>1944</v>
      </c>
      <c r="F1326" s="551" t="s">
        <v>1264</v>
      </c>
    </row>
    <row r="1327" spans="1:6" ht="19.5">
      <c r="A1327" s="573"/>
      <c r="B1327" s="595"/>
      <c r="C1327" s="470" t="s">
        <v>3360</v>
      </c>
      <c r="D1327" s="510" t="s">
        <v>3340</v>
      </c>
      <c r="E1327" s="484" t="s">
        <v>1944</v>
      </c>
      <c r="F1327" s="550" t="s">
        <v>1264</v>
      </c>
    </row>
    <row r="1328" spans="1:6" ht="19.5">
      <c r="A1328" s="573"/>
      <c r="B1328" s="596"/>
      <c r="C1328" s="462" t="s">
        <v>2061</v>
      </c>
      <c r="D1328" s="494" t="s">
        <v>2857</v>
      </c>
      <c r="E1328" s="484" t="s">
        <v>1944</v>
      </c>
      <c r="F1328" s="556" t="s">
        <v>1264</v>
      </c>
    </row>
    <row r="1329" spans="1:6">
      <c r="A1329" s="573"/>
      <c r="B1329" s="594" t="s">
        <v>2062</v>
      </c>
      <c r="C1329" s="71" t="s">
        <v>2063</v>
      </c>
      <c r="D1329" s="339" t="s">
        <v>2803</v>
      </c>
      <c r="E1329" s="48">
        <v>2</v>
      </c>
      <c r="F1329" s="548"/>
    </row>
    <row r="1330" spans="1:6">
      <c r="A1330" s="573"/>
      <c r="B1330" s="595"/>
      <c r="C1330" s="77" t="s">
        <v>3361</v>
      </c>
      <c r="D1330" s="348" t="s">
        <v>3340</v>
      </c>
      <c r="E1330" s="48">
        <v>2</v>
      </c>
      <c r="F1330" s="543"/>
    </row>
    <row r="1331" spans="1:6">
      <c r="A1331" s="573"/>
      <c r="B1331" s="596"/>
      <c r="C1331" s="467" t="s">
        <v>2065</v>
      </c>
      <c r="D1331" s="508" t="s">
        <v>2857</v>
      </c>
      <c r="E1331" s="483">
        <v>3</v>
      </c>
      <c r="F1331" s="556" t="s">
        <v>1264</v>
      </c>
    </row>
    <row r="1332" spans="1:6">
      <c r="A1332" s="573"/>
      <c r="B1332" s="600" t="s">
        <v>2066</v>
      </c>
      <c r="C1332" s="22" t="s">
        <v>2067</v>
      </c>
      <c r="D1332" s="348" t="s">
        <v>2803</v>
      </c>
      <c r="E1332" s="48">
        <v>2</v>
      </c>
      <c r="F1332" s="548"/>
    </row>
    <row r="1333" spans="1:6">
      <c r="A1333" s="573"/>
      <c r="B1333" s="595"/>
      <c r="C1333" s="77" t="s">
        <v>3362</v>
      </c>
      <c r="D1333" s="348" t="s">
        <v>3340</v>
      </c>
      <c r="E1333" s="48">
        <v>2</v>
      </c>
      <c r="F1333" s="543"/>
    </row>
    <row r="1334" spans="1:6">
      <c r="A1334" s="573"/>
      <c r="B1334" s="595"/>
      <c r="C1334" s="467" t="s">
        <v>2069</v>
      </c>
      <c r="D1334" s="494" t="s">
        <v>2857</v>
      </c>
      <c r="E1334" s="483">
        <v>3</v>
      </c>
      <c r="F1334" s="556" t="s">
        <v>1264</v>
      </c>
    </row>
    <row r="1335" spans="1:6">
      <c r="A1335" s="573"/>
      <c r="B1335" s="600" t="s">
        <v>2070</v>
      </c>
      <c r="C1335" s="71" t="s">
        <v>2071</v>
      </c>
      <c r="D1335" s="339" t="s">
        <v>2803</v>
      </c>
      <c r="E1335" s="41">
        <v>1</v>
      </c>
      <c r="F1335" s="548"/>
    </row>
    <row r="1336" spans="1:6">
      <c r="A1336" s="573"/>
      <c r="B1336" s="595"/>
      <c r="C1336" s="77" t="s">
        <v>3363</v>
      </c>
      <c r="D1336" s="348" t="s">
        <v>3340</v>
      </c>
      <c r="E1336" s="48">
        <v>1</v>
      </c>
      <c r="F1336" s="543"/>
    </row>
    <row r="1337" spans="1:6" ht="19.5" thickBot="1">
      <c r="A1337" s="597"/>
      <c r="B1337" s="604"/>
      <c r="C1337" s="288" t="s">
        <v>2073</v>
      </c>
      <c r="D1337" s="371" t="s">
        <v>2857</v>
      </c>
      <c r="E1337" s="289">
        <v>2</v>
      </c>
      <c r="F1337" s="557"/>
    </row>
    <row r="1338" spans="1:6">
      <c r="B1338" s="378"/>
      <c r="C1338" s="378"/>
      <c r="D1338" s="379"/>
      <c r="E1338" s="452"/>
    </row>
    <row r="1339" spans="1:6">
      <c r="D1339" s="380"/>
      <c r="E1339" s="384"/>
    </row>
    <row r="1340" spans="1:6">
      <c r="D1340" s="380"/>
      <c r="E1340" s="384"/>
    </row>
    <row r="1341" spans="1:6">
      <c r="D1341" s="380"/>
      <c r="E1341" s="384"/>
    </row>
    <row r="1342" spans="1:6">
      <c r="D1342" s="380"/>
      <c r="E1342" s="384"/>
    </row>
    <row r="1343" spans="1:6">
      <c r="D1343" s="380"/>
      <c r="E1343" s="384"/>
    </row>
    <row r="1344" spans="1:6">
      <c r="D1344" s="380"/>
      <c r="E1344" s="384"/>
    </row>
    <row r="1345" spans="4:5">
      <c r="D1345" s="380"/>
      <c r="E1345" s="384"/>
    </row>
    <row r="1346" spans="4:5">
      <c r="D1346" s="380"/>
      <c r="E1346" s="384"/>
    </row>
    <row r="1347" spans="4:5">
      <c r="D1347" s="380"/>
      <c r="E1347" s="384"/>
    </row>
    <row r="1348" spans="4:5">
      <c r="D1348" s="380"/>
      <c r="E1348" s="384"/>
    </row>
    <row r="1349" spans="4:5">
      <c r="D1349" s="380"/>
      <c r="E1349" s="384"/>
    </row>
    <row r="1350" spans="4:5">
      <c r="D1350" s="380"/>
      <c r="E1350" s="384"/>
    </row>
    <row r="1351" spans="4:5">
      <c r="D1351" s="380"/>
      <c r="E1351" s="384"/>
    </row>
    <row r="1352" spans="4:5">
      <c r="D1352" s="380"/>
      <c r="E1352" s="384"/>
    </row>
    <row r="1353" spans="4:5">
      <c r="E1353" s="384"/>
    </row>
    <row r="1354" spans="4:5">
      <c r="E1354" s="384"/>
    </row>
    <row r="1355" spans="4:5">
      <c r="E1355" s="384"/>
    </row>
    <row r="1356" spans="4:5">
      <c r="E1356" s="384"/>
    </row>
    <row r="1357" spans="4:5">
      <c r="E1357" s="384"/>
    </row>
    <row r="1358" spans="4:5">
      <c r="E1358" s="384"/>
    </row>
    <row r="1359" spans="4:5">
      <c r="E1359" s="384"/>
    </row>
    <row r="1360" spans="4:5">
      <c r="E1360" s="384"/>
    </row>
    <row r="1361" spans="5:5">
      <c r="E1361" s="384"/>
    </row>
    <row r="1362" spans="5:5">
      <c r="E1362" s="384"/>
    </row>
    <row r="1363" spans="5:5">
      <c r="E1363" s="384"/>
    </row>
    <row r="1364" spans="5:5">
      <c r="E1364" s="384"/>
    </row>
    <row r="1365" spans="5:5">
      <c r="E1365" s="384"/>
    </row>
    <row r="1366" spans="5:5">
      <c r="E1366" s="384"/>
    </row>
    <row r="1367" spans="5:5">
      <c r="E1367" s="384"/>
    </row>
    <row r="1368" spans="5:5">
      <c r="E1368" s="384"/>
    </row>
    <row r="1369" spans="5:5">
      <c r="E1369" s="384"/>
    </row>
    <row r="1370" spans="5:5">
      <c r="E1370" s="384"/>
    </row>
    <row r="1371" spans="5:5">
      <c r="E1371" s="384"/>
    </row>
    <row r="1372" spans="5:5">
      <c r="E1372" s="384"/>
    </row>
    <row r="1373" spans="5:5">
      <c r="E1373" s="384"/>
    </row>
    <row r="1374" spans="5:5">
      <c r="E1374" s="384"/>
    </row>
    <row r="1375" spans="5:5">
      <c r="E1375" s="384"/>
    </row>
    <row r="1376" spans="5:5">
      <c r="E1376" s="384"/>
    </row>
    <row r="1377" spans="5:5">
      <c r="E1377" s="384"/>
    </row>
    <row r="1378" spans="5:5">
      <c r="E1378" s="384"/>
    </row>
    <row r="1379" spans="5:5">
      <c r="E1379" s="384"/>
    </row>
    <row r="1380" spans="5:5">
      <c r="E1380" s="384"/>
    </row>
    <row r="1381" spans="5:5">
      <c r="E1381" s="384"/>
    </row>
    <row r="1382" spans="5:5">
      <c r="E1382" s="384"/>
    </row>
    <row r="1383" spans="5:5">
      <c r="E1383" s="384"/>
    </row>
    <row r="1384" spans="5:5">
      <c r="E1384" s="384"/>
    </row>
    <row r="1385" spans="5:5">
      <c r="E1385" s="384"/>
    </row>
    <row r="1386" spans="5:5">
      <c r="E1386" s="384"/>
    </row>
    <row r="1387" spans="5:5">
      <c r="E1387" s="384"/>
    </row>
    <row r="1388" spans="5:5">
      <c r="E1388" s="384"/>
    </row>
    <row r="1389" spans="5:5">
      <c r="E1389" s="384"/>
    </row>
    <row r="1390" spans="5:5">
      <c r="E1390" s="384"/>
    </row>
    <row r="1391" spans="5:5">
      <c r="E1391" s="384"/>
    </row>
    <row r="1392" spans="5:5">
      <c r="E1392" s="384"/>
    </row>
    <row r="1393" spans="5:5">
      <c r="E1393" s="384"/>
    </row>
    <row r="1394" spans="5:5">
      <c r="E1394" s="384"/>
    </row>
    <row r="1395" spans="5:5">
      <c r="E1395" s="384"/>
    </row>
    <row r="1396" spans="5:5">
      <c r="E1396" s="384"/>
    </row>
    <row r="1397" spans="5:5">
      <c r="E1397" s="384"/>
    </row>
    <row r="1398" spans="5:5">
      <c r="E1398" s="384"/>
    </row>
    <row r="1399" spans="5:5">
      <c r="E1399" s="384"/>
    </row>
    <row r="1400" spans="5:5">
      <c r="E1400" s="384"/>
    </row>
    <row r="1401" spans="5:5">
      <c r="E1401" s="384"/>
    </row>
    <row r="1402" spans="5:5">
      <c r="E1402" s="384"/>
    </row>
    <row r="1403" spans="5:5">
      <c r="E1403" s="384"/>
    </row>
    <row r="1404" spans="5:5">
      <c r="E1404" s="384"/>
    </row>
    <row r="1405" spans="5:5">
      <c r="E1405" s="384"/>
    </row>
    <row r="1406" spans="5:5">
      <c r="E1406" s="384"/>
    </row>
    <row r="1407" spans="5:5">
      <c r="E1407" s="384"/>
    </row>
    <row r="1408" spans="5:5">
      <c r="E1408" s="384"/>
    </row>
    <row r="1409" spans="5:5">
      <c r="E1409" s="384"/>
    </row>
    <row r="1410" spans="5:5">
      <c r="E1410" s="384"/>
    </row>
    <row r="1411" spans="5:5">
      <c r="E1411" s="384"/>
    </row>
    <row r="1412" spans="5:5">
      <c r="E1412" s="384"/>
    </row>
    <row r="1413" spans="5:5">
      <c r="E1413" s="384"/>
    </row>
    <row r="1414" spans="5:5">
      <c r="E1414" s="384"/>
    </row>
    <row r="1415" spans="5:5">
      <c r="E1415" s="384"/>
    </row>
    <row r="1416" spans="5:5">
      <c r="E1416" s="384"/>
    </row>
    <row r="1417" spans="5:5">
      <c r="E1417" s="384"/>
    </row>
    <row r="1418" spans="5:5">
      <c r="E1418" s="384"/>
    </row>
    <row r="1419" spans="5:5">
      <c r="E1419" s="384"/>
    </row>
    <row r="1420" spans="5:5">
      <c r="E1420" s="384"/>
    </row>
    <row r="1421" spans="5:5">
      <c r="E1421" s="384"/>
    </row>
    <row r="1422" spans="5:5">
      <c r="E1422" s="384"/>
    </row>
    <row r="1423" spans="5:5">
      <c r="E1423" s="384"/>
    </row>
    <row r="1424" spans="5:5">
      <c r="E1424" s="384"/>
    </row>
    <row r="1425" spans="5:5">
      <c r="E1425" s="384"/>
    </row>
    <row r="1426" spans="5:5">
      <c r="E1426" s="384"/>
    </row>
    <row r="1427" spans="5:5">
      <c r="E1427" s="384"/>
    </row>
    <row r="1428" spans="5:5">
      <c r="E1428" s="384"/>
    </row>
    <row r="1429" spans="5:5">
      <c r="E1429" s="384"/>
    </row>
    <row r="1430" spans="5:5">
      <c r="E1430" s="384"/>
    </row>
    <row r="1431" spans="5:5">
      <c r="E1431" s="384"/>
    </row>
    <row r="1432" spans="5:5">
      <c r="E1432" s="384"/>
    </row>
    <row r="1433" spans="5:5">
      <c r="E1433" s="384"/>
    </row>
    <row r="1434" spans="5:5">
      <c r="E1434" s="384"/>
    </row>
    <row r="1435" spans="5:5">
      <c r="E1435" s="384"/>
    </row>
    <row r="1436" spans="5:5">
      <c r="E1436" s="384"/>
    </row>
    <row r="1437" spans="5:5">
      <c r="E1437" s="384"/>
    </row>
    <row r="1438" spans="5:5">
      <c r="E1438" s="384"/>
    </row>
    <row r="1439" spans="5:5">
      <c r="E1439" s="384"/>
    </row>
    <row r="1440" spans="5:5">
      <c r="E1440" s="384"/>
    </row>
    <row r="1441" spans="5:5">
      <c r="E1441" s="384"/>
    </row>
    <row r="1442" spans="5:5">
      <c r="E1442" s="384"/>
    </row>
    <row r="1443" spans="5:5">
      <c r="E1443" s="384"/>
    </row>
    <row r="1444" spans="5:5">
      <c r="E1444" s="384"/>
    </row>
    <row r="1445" spans="5:5">
      <c r="E1445" s="384"/>
    </row>
    <row r="1446" spans="5:5">
      <c r="E1446" s="384"/>
    </row>
    <row r="1447" spans="5:5">
      <c r="E1447" s="384"/>
    </row>
    <row r="1448" spans="5:5">
      <c r="E1448" s="384"/>
    </row>
    <row r="1449" spans="5:5">
      <c r="E1449" s="384"/>
    </row>
    <row r="1450" spans="5:5">
      <c r="E1450" s="384"/>
    </row>
    <row r="1451" spans="5:5">
      <c r="E1451" s="384"/>
    </row>
    <row r="1452" spans="5:5">
      <c r="E1452" s="384"/>
    </row>
    <row r="1453" spans="5:5">
      <c r="E1453" s="384"/>
    </row>
    <row r="1454" spans="5:5">
      <c r="E1454" s="384"/>
    </row>
    <row r="1455" spans="5:5">
      <c r="E1455" s="384"/>
    </row>
    <row r="1456" spans="5:5">
      <c r="E1456" s="384"/>
    </row>
    <row r="1457" spans="5:5">
      <c r="E1457" s="384"/>
    </row>
    <row r="1458" spans="5:5">
      <c r="E1458" s="384"/>
    </row>
    <row r="1459" spans="5:5">
      <c r="E1459" s="384"/>
    </row>
    <row r="1460" spans="5:5">
      <c r="E1460" s="384"/>
    </row>
    <row r="1461" spans="5:5">
      <c r="E1461" s="384"/>
    </row>
    <row r="1462" spans="5:5">
      <c r="E1462" s="384"/>
    </row>
    <row r="1463" spans="5:5">
      <c r="E1463" s="384"/>
    </row>
    <row r="1464" spans="5:5">
      <c r="E1464" s="384"/>
    </row>
    <row r="1465" spans="5:5">
      <c r="E1465" s="384"/>
    </row>
    <row r="1466" spans="5:5">
      <c r="E1466" s="384"/>
    </row>
    <row r="1467" spans="5:5">
      <c r="E1467" s="384"/>
    </row>
    <row r="1468" spans="5:5">
      <c r="E1468" s="384"/>
    </row>
    <row r="1469" spans="5:5">
      <c r="E1469" s="384"/>
    </row>
    <row r="1470" spans="5:5">
      <c r="E1470" s="384"/>
    </row>
    <row r="1471" spans="5:5">
      <c r="E1471" s="384"/>
    </row>
    <row r="1472" spans="5:5">
      <c r="E1472" s="384"/>
    </row>
    <row r="1473" spans="5:5">
      <c r="E1473" s="384"/>
    </row>
    <row r="1474" spans="5:5">
      <c r="E1474" s="384"/>
    </row>
    <row r="1475" spans="5:5">
      <c r="E1475" s="384"/>
    </row>
    <row r="1476" spans="5:5">
      <c r="E1476" s="384"/>
    </row>
    <row r="1477" spans="5:5">
      <c r="E1477" s="384"/>
    </row>
    <row r="1478" spans="5:5">
      <c r="E1478" s="384"/>
    </row>
    <row r="1479" spans="5:5">
      <c r="E1479" s="384"/>
    </row>
    <row r="1480" spans="5:5">
      <c r="E1480" s="384"/>
    </row>
    <row r="1481" spans="5:5">
      <c r="E1481" s="384"/>
    </row>
    <row r="1482" spans="5:5">
      <c r="E1482" s="384"/>
    </row>
    <row r="1483" spans="5:5">
      <c r="E1483" s="384"/>
    </row>
    <row r="1484" spans="5:5">
      <c r="E1484" s="384"/>
    </row>
    <row r="1485" spans="5:5">
      <c r="E1485" s="384"/>
    </row>
    <row r="1486" spans="5:5">
      <c r="E1486" s="384"/>
    </row>
    <row r="1487" spans="5:5">
      <c r="E1487" s="384"/>
    </row>
    <row r="1488" spans="5:5">
      <c r="E1488" s="384"/>
    </row>
    <row r="1489" spans="5:5">
      <c r="E1489" s="384"/>
    </row>
    <row r="1490" spans="5:5">
      <c r="E1490" s="384"/>
    </row>
    <row r="1491" spans="5:5">
      <c r="E1491" s="384"/>
    </row>
    <row r="1492" spans="5:5">
      <c r="E1492" s="384"/>
    </row>
    <row r="1493" spans="5:5">
      <c r="E1493" s="384"/>
    </row>
    <row r="1494" spans="5:5">
      <c r="E1494" s="384"/>
    </row>
    <row r="1495" spans="5:5">
      <c r="E1495" s="384"/>
    </row>
    <row r="1496" spans="5:5">
      <c r="E1496" s="384"/>
    </row>
    <row r="1497" spans="5:5">
      <c r="E1497" s="384"/>
    </row>
    <row r="1498" spans="5:5">
      <c r="E1498" s="384"/>
    </row>
    <row r="1499" spans="5:5">
      <c r="E1499" s="384"/>
    </row>
    <row r="1500" spans="5:5">
      <c r="E1500" s="384"/>
    </row>
    <row r="1501" spans="5:5">
      <c r="E1501" s="384"/>
    </row>
    <row r="1502" spans="5:5">
      <c r="E1502" s="384"/>
    </row>
    <row r="1503" spans="5:5">
      <c r="E1503" s="384"/>
    </row>
    <row r="1504" spans="5:5">
      <c r="E1504" s="384"/>
    </row>
    <row r="1505" spans="5:5">
      <c r="E1505" s="384"/>
    </row>
    <row r="1506" spans="5:5">
      <c r="E1506" s="384"/>
    </row>
    <row r="1507" spans="5:5">
      <c r="E1507" s="384"/>
    </row>
    <row r="1508" spans="5:5">
      <c r="E1508" s="384"/>
    </row>
    <row r="1509" spans="5:5">
      <c r="E1509" s="384"/>
    </row>
    <row r="1510" spans="5:5">
      <c r="E1510" s="384"/>
    </row>
    <row r="1511" spans="5:5">
      <c r="E1511" s="384"/>
    </row>
    <row r="1512" spans="5:5">
      <c r="E1512" s="384"/>
    </row>
    <row r="1513" spans="5:5">
      <c r="E1513" s="384"/>
    </row>
    <row r="1514" spans="5:5">
      <c r="E1514" s="384"/>
    </row>
    <row r="1515" spans="5:5">
      <c r="E1515" s="384"/>
    </row>
    <row r="1516" spans="5:5">
      <c r="E1516" s="384"/>
    </row>
    <row r="1517" spans="5:5">
      <c r="E1517" s="384"/>
    </row>
    <row r="1518" spans="5:5">
      <c r="E1518" s="384"/>
    </row>
    <row r="1519" spans="5:5">
      <c r="E1519" s="384"/>
    </row>
    <row r="1520" spans="5:5">
      <c r="E1520" s="384"/>
    </row>
    <row r="1521" spans="5:5">
      <c r="E1521" s="384"/>
    </row>
    <row r="1522" spans="5:5">
      <c r="E1522" s="384"/>
    </row>
    <row r="1523" spans="5:5">
      <c r="E1523" s="384"/>
    </row>
    <row r="1524" spans="5:5">
      <c r="E1524" s="384"/>
    </row>
    <row r="1525" spans="5:5">
      <c r="E1525" s="384"/>
    </row>
    <row r="1526" spans="5:5">
      <c r="E1526" s="384"/>
    </row>
    <row r="1527" spans="5:5">
      <c r="E1527" s="384"/>
    </row>
    <row r="1528" spans="5:5">
      <c r="E1528" s="384"/>
    </row>
    <row r="1529" spans="5:5">
      <c r="E1529" s="384"/>
    </row>
    <row r="1530" spans="5:5">
      <c r="E1530" s="384"/>
    </row>
    <row r="1531" spans="5:5">
      <c r="E1531" s="384"/>
    </row>
    <row r="1532" spans="5:5">
      <c r="E1532" s="384"/>
    </row>
    <row r="1533" spans="5:5">
      <c r="E1533" s="384"/>
    </row>
    <row r="1534" spans="5:5">
      <c r="E1534" s="384"/>
    </row>
    <row r="1535" spans="5:5">
      <c r="E1535" s="384"/>
    </row>
    <row r="1536" spans="5:5">
      <c r="E1536" s="384"/>
    </row>
    <row r="1537" spans="5:5">
      <c r="E1537" s="384"/>
    </row>
    <row r="1538" spans="5:5">
      <c r="E1538" s="384"/>
    </row>
    <row r="1539" spans="5:5">
      <c r="E1539" s="384"/>
    </row>
    <row r="1540" spans="5:5">
      <c r="E1540" s="384"/>
    </row>
    <row r="1541" spans="5:5">
      <c r="E1541" s="384"/>
    </row>
    <row r="1542" spans="5:5">
      <c r="E1542" s="384"/>
    </row>
    <row r="1543" spans="5:5">
      <c r="E1543" s="384"/>
    </row>
    <row r="1544" spans="5:5">
      <c r="E1544" s="384"/>
    </row>
    <row r="1545" spans="5:5">
      <c r="E1545" s="384"/>
    </row>
    <row r="1546" spans="5:5">
      <c r="E1546" s="384"/>
    </row>
    <row r="1547" spans="5:5">
      <c r="E1547" s="384"/>
    </row>
    <row r="1548" spans="5:5">
      <c r="E1548" s="384"/>
    </row>
    <row r="1549" spans="5:5">
      <c r="E1549" s="384"/>
    </row>
    <row r="1550" spans="5:5">
      <c r="E1550" s="384"/>
    </row>
    <row r="1551" spans="5:5">
      <c r="E1551" s="384"/>
    </row>
    <row r="1552" spans="5:5">
      <c r="E1552" s="384"/>
    </row>
    <row r="1553" spans="5:5">
      <c r="E1553" s="384"/>
    </row>
    <row r="1554" spans="5:5">
      <c r="E1554" s="384"/>
    </row>
    <row r="1555" spans="5:5">
      <c r="E1555" s="384"/>
    </row>
    <row r="1556" spans="5:5">
      <c r="E1556" s="384"/>
    </row>
    <row r="1557" spans="5:5">
      <c r="E1557" s="384"/>
    </row>
    <row r="1558" spans="5:5">
      <c r="E1558" s="384"/>
    </row>
    <row r="1559" spans="5:5">
      <c r="E1559" s="384"/>
    </row>
    <row r="1560" spans="5:5">
      <c r="E1560" s="384"/>
    </row>
    <row r="1561" spans="5:5">
      <c r="E1561" s="384"/>
    </row>
    <row r="1562" spans="5:5">
      <c r="E1562" s="384"/>
    </row>
    <row r="1563" spans="5:5">
      <c r="E1563" s="384"/>
    </row>
    <row r="1564" spans="5:5">
      <c r="E1564" s="384"/>
    </row>
    <row r="1565" spans="5:5">
      <c r="E1565" s="384"/>
    </row>
    <row r="1566" spans="5:5">
      <c r="E1566" s="384"/>
    </row>
    <row r="1567" spans="5:5">
      <c r="E1567" s="384"/>
    </row>
    <row r="1568" spans="5:5">
      <c r="E1568" s="384"/>
    </row>
    <row r="1569" spans="5:5">
      <c r="E1569" s="384"/>
    </row>
    <row r="1570" spans="5:5">
      <c r="E1570" s="384"/>
    </row>
    <row r="1571" spans="5:5">
      <c r="E1571" s="384"/>
    </row>
    <row r="1572" spans="5:5">
      <c r="E1572" s="384"/>
    </row>
    <row r="1573" spans="5:5">
      <c r="E1573" s="384"/>
    </row>
    <row r="1574" spans="5:5">
      <c r="E1574" s="384"/>
    </row>
    <row r="1575" spans="5:5">
      <c r="E1575" s="384"/>
    </row>
    <row r="1576" spans="5:5">
      <c r="E1576" s="384"/>
    </row>
    <row r="1577" spans="5:5">
      <c r="E1577" s="384"/>
    </row>
    <row r="1578" spans="5:5">
      <c r="E1578" s="384"/>
    </row>
    <row r="1579" spans="5:5">
      <c r="E1579" s="384"/>
    </row>
    <row r="1580" spans="5:5">
      <c r="E1580" s="384"/>
    </row>
    <row r="1581" spans="5:5">
      <c r="E1581" s="384"/>
    </row>
    <row r="1582" spans="5:5">
      <c r="E1582" s="384"/>
    </row>
    <row r="1583" spans="5:5">
      <c r="E1583" s="384"/>
    </row>
    <row r="1584" spans="5:5">
      <c r="E1584" s="384"/>
    </row>
    <row r="1585" spans="5:5">
      <c r="E1585" s="384"/>
    </row>
    <row r="1586" spans="5:5">
      <c r="E1586" s="384"/>
    </row>
    <row r="1587" spans="5:5">
      <c r="E1587" s="384"/>
    </row>
    <row r="1588" spans="5:5">
      <c r="E1588" s="384"/>
    </row>
    <row r="1589" spans="5:5">
      <c r="E1589" s="384"/>
    </row>
    <row r="1590" spans="5:5">
      <c r="E1590" s="384"/>
    </row>
    <row r="1591" spans="5:5">
      <c r="E1591" s="384"/>
    </row>
    <row r="1592" spans="5:5">
      <c r="E1592" s="384"/>
    </row>
    <row r="1593" spans="5:5">
      <c r="E1593" s="384"/>
    </row>
    <row r="1594" spans="5:5">
      <c r="E1594" s="384"/>
    </row>
    <row r="1595" spans="5:5">
      <c r="E1595" s="384"/>
    </row>
    <row r="1596" spans="5:5">
      <c r="E1596" s="384"/>
    </row>
    <row r="1597" spans="5:5">
      <c r="E1597" s="384"/>
    </row>
    <row r="1598" spans="5:5">
      <c r="E1598" s="384"/>
    </row>
    <row r="1599" spans="5:5">
      <c r="E1599" s="384"/>
    </row>
    <row r="1600" spans="5:5">
      <c r="E1600" s="384"/>
    </row>
    <row r="1601" spans="5:5">
      <c r="E1601" s="384"/>
    </row>
    <row r="1602" spans="5:5">
      <c r="E1602" s="384"/>
    </row>
    <row r="1603" spans="5:5">
      <c r="E1603" s="384"/>
    </row>
    <row r="1604" spans="5:5">
      <c r="E1604" s="384"/>
    </row>
    <row r="1605" spans="5:5">
      <c r="E1605" s="384"/>
    </row>
    <row r="1606" spans="5:5">
      <c r="E1606" s="384"/>
    </row>
    <row r="1607" spans="5:5">
      <c r="E1607" s="384"/>
    </row>
    <row r="1608" spans="5:5">
      <c r="E1608" s="384"/>
    </row>
    <row r="1609" spans="5:5">
      <c r="E1609" s="384"/>
    </row>
    <row r="1610" spans="5:5">
      <c r="E1610" s="384"/>
    </row>
    <row r="1611" spans="5:5">
      <c r="E1611" s="384"/>
    </row>
    <row r="1612" spans="5:5">
      <c r="E1612" s="384"/>
    </row>
    <row r="1613" spans="5:5">
      <c r="E1613" s="384"/>
    </row>
    <row r="1614" spans="5:5">
      <c r="E1614" s="384"/>
    </row>
    <row r="1615" spans="5:5">
      <c r="E1615" s="384"/>
    </row>
    <row r="1616" spans="5:5">
      <c r="E1616" s="384"/>
    </row>
    <row r="1617" spans="5:5">
      <c r="E1617" s="384"/>
    </row>
    <row r="1618" spans="5:5">
      <c r="E1618" s="384"/>
    </row>
    <row r="1619" spans="5:5">
      <c r="E1619" s="384"/>
    </row>
    <row r="1620" spans="5:5">
      <c r="E1620" s="384"/>
    </row>
    <row r="1621" spans="5:5">
      <c r="E1621" s="384"/>
    </row>
    <row r="1622" spans="5:5">
      <c r="E1622" s="384"/>
    </row>
    <row r="1623" spans="5:5">
      <c r="E1623" s="384"/>
    </row>
    <row r="1624" spans="5:5">
      <c r="E1624" s="384"/>
    </row>
    <row r="1625" spans="5:5">
      <c r="E1625" s="384"/>
    </row>
    <row r="1626" spans="5:5">
      <c r="E1626" s="384"/>
    </row>
    <row r="1627" spans="5:5">
      <c r="E1627" s="384"/>
    </row>
    <row r="1628" spans="5:5">
      <c r="E1628" s="384"/>
    </row>
    <row r="1629" spans="5:5">
      <c r="E1629" s="384"/>
    </row>
    <row r="1630" spans="5:5">
      <c r="E1630" s="384"/>
    </row>
    <row r="1631" spans="5:5">
      <c r="E1631" s="384"/>
    </row>
    <row r="1632" spans="5:5">
      <c r="E1632" s="384"/>
    </row>
    <row r="1633" spans="5:5">
      <c r="E1633" s="384"/>
    </row>
    <row r="1634" spans="5:5">
      <c r="E1634" s="384"/>
    </row>
    <row r="1635" spans="5:5">
      <c r="E1635" s="384"/>
    </row>
    <row r="1636" spans="5:5">
      <c r="E1636" s="384"/>
    </row>
    <row r="1637" spans="5:5">
      <c r="E1637" s="384"/>
    </row>
    <row r="1638" spans="5:5">
      <c r="E1638" s="384"/>
    </row>
    <row r="1639" spans="5:5">
      <c r="E1639" s="384"/>
    </row>
    <row r="1640" spans="5:5">
      <c r="E1640" s="384"/>
    </row>
    <row r="1641" spans="5:5">
      <c r="E1641" s="384"/>
    </row>
    <row r="1642" spans="5:5">
      <c r="E1642" s="384"/>
    </row>
    <row r="1643" spans="5:5">
      <c r="E1643" s="384"/>
    </row>
    <row r="1644" spans="5:5">
      <c r="E1644" s="384"/>
    </row>
    <row r="1645" spans="5:5">
      <c r="E1645" s="384"/>
    </row>
    <row r="1646" spans="5:5">
      <c r="E1646" s="384"/>
    </row>
    <row r="1647" spans="5:5">
      <c r="E1647" s="384"/>
    </row>
    <row r="1648" spans="5:5">
      <c r="E1648" s="384"/>
    </row>
    <row r="1649" spans="5:5">
      <c r="E1649" s="384"/>
    </row>
    <row r="1650" spans="5:5">
      <c r="E1650" s="384"/>
    </row>
    <row r="1651" spans="5:5">
      <c r="E1651" s="384"/>
    </row>
    <row r="1652" spans="5:5">
      <c r="E1652" s="384"/>
    </row>
    <row r="1653" spans="5:5">
      <c r="E1653" s="384"/>
    </row>
    <row r="1654" spans="5:5">
      <c r="E1654" s="384"/>
    </row>
    <row r="1655" spans="5:5">
      <c r="E1655" s="384"/>
    </row>
    <row r="1656" spans="5:5">
      <c r="E1656" s="384"/>
    </row>
    <row r="1657" spans="5:5">
      <c r="E1657" s="384"/>
    </row>
    <row r="1658" spans="5:5">
      <c r="E1658" s="384"/>
    </row>
    <row r="1659" spans="5:5">
      <c r="E1659" s="384"/>
    </row>
    <row r="1660" spans="5:5">
      <c r="E1660" s="384"/>
    </row>
    <row r="1661" spans="5:5">
      <c r="E1661" s="384"/>
    </row>
    <row r="1662" spans="5:5">
      <c r="E1662" s="384"/>
    </row>
    <row r="1663" spans="5:5">
      <c r="E1663" s="384"/>
    </row>
    <row r="1664" spans="5:5">
      <c r="E1664" s="384"/>
    </row>
    <row r="1665" spans="5:5">
      <c r="E1665" s="384"/>
    </row>
    <row r="1666" spans="5:5">
      <c r="E1666" s="384"/>
    </row>
    <row r="1667" spans="5:5">
      <c r="E1667" s="384"/>
    </row>
    <row r="1668" spans="5:5">
      <c r="E1668" s="384"/>
    </row>
    <row r="1669" spans="5:5">
      <c r="E1669" s="384"/>
    </row>
    <row r="1670" spans="5:5">
      <c r="E1670" s="384"/>
    </row>
    <row r="1671" spans="5:5">
      <c r="E1671" s="384"/>
    </row>
    <row r="1672" spans="5:5">
      <c r="E1672" s="384"/>
    </row>
    <row r="1673" spans="5:5">
      <c r="E1673" s="384"/>
    </row>
    <row r="1674" spans="5:5">
      <c r="E1674" s="384"/>
    </row>
    <row r="1675" spans="5:5">
      <c r="E1675" s="384"/>
    </row>
    <row r="1676" spans="5:5">
      <c r="E1676" s="384"/>
    </row>
    <row r="1677" spans="5:5">
      <c r="E1677" s="384"/>
    </row>
    <row r="1678" spans="5:5">
      <c r="E1678" s="384"/>
    </row>
    <row r="1679" spans="5:5">
      <c r="E1679" s="384"/>
    </row>
    <row r="1680" spans="5:5">
      <c r="E1680" s="384"/>
    </row>
    <row r="1681" spans="5:5">
      <c r="E1681" s="384"/>
    </row>
    <row r="1682" spans="5:5">
      <c r="E1682" s="384"/>
    </row>
    <row r="1683" spans="5:5">
      <c r="E1683" s="384"/>
    </row>
    <row r="1684" spans="5:5">
      <c r="E1684" s="384"/>
    </row>
    <row r="1685" spans="5:5">
      <c r="E1685" s="384"/>
    </row>
    <row r="1686" spans="5:5">
      <c r="E1686" s="384"/>
    </row>
    <row r="1687" spans="5:5">
      <c r="E1687" s="384"/>
    </row>
    <row r="1688" spans="5:5">
      <c r="E1688" s="384"/>
    </row>
    <row r="1689" spans="5:5">
      <c r="E1689" s="384"/>
    </row>
    <row r="1690" spans="5:5">
      <c r="E1690" s="384"/>
    </row>
    <row r="1691" spans="5:5">
      <c r="E1691" s="384"/>
    </row>
    <row r="1692" spans="5:5">
      <c r="E1692" s="384"/>
    </row>
    <row r="1693" spans="5:5">
      <c r="E1693" s="384"/>
    </row>
    <row r="1694" spans="5:5">
      <c r="E1694" s="384"/>
    </row>
    <row r="1695" spans="5:5">
      <c r="E1695" s="384"/>
    </row>
    <row r="1696" spans="5:5">
      <c r="E1696" s="384"/>
    </row>
    <row r="1697" spans="5:5">
      <c r="E1697" s="384"/>
    </row>
    <row r="1698" spans="5:5">
      <c r="E1698" s="384"/>
    </row>
    <row r="1699" spans="5:5">
      <c r="E1699" s="384"/>
    </row>
    <row r="1700" spans="5:5">
      <c r="E1700" s="384"/>
    </row>
    <row r="1701" spans="5:5">
      <c r="E1701" s="384"/>
    </row>
    <row r="1702" spans="5:5">
      <c r="E1702" s="384"/>
    </row>
    <row r="1703" spans="5:5">
      <c r="E1703" s="384"/>
    </row>
    <row r="1704" spans="5:5">
      <c r="E1704" s="384"/>
    </row>
    <row r="1705" spans="5:5">
      <c r="E1705" s="384"/>
    </row>
    <row r="1706" spans="5:5">
      <c r="E1706" s="384"/>
    </row>
    <row r="1707" spans="5:5">
      <c r="E1707" s="384"/>
    </row>
    <row r="1708" spans="5:5">
      <c r="E1708" s="384"/>
    </row>
    <row r="1709" spans="5:5">
      <c r="E1709" s="384"/>
    </row>
    <row r="1710" spans="5:5">
      <c r="E1710" s="384"/>
    </row>
    <row r="1711" spans="5:5">
      <c r="E1711" s="384"/>
    </row>
    <row r="1712" spans="5:5">
      <c r="E1712" s="384"/>
    </row>
    <row r="1713" spans="5:5">
      <c r="E1713" s="384"/>
    </row>
    <row r="1714" spans="5:5">
      <c r="E1714" s="384"/>
    </row>
    <row r="1715" spans="5:5">
      <c r="E1715" s="384"/>
    </row>
    <row r="1716" spans="5:5">
      <c r="E1716" s="384"/>
    </row>
    <row r="1717" spans="5:5">
      <c r="E1717" s="384"/>
    </row>
    <row r="1718" spans="5:5">
      <c r="E1718" s="384"/>
    </row>
    <row r="1719" spans="5:5">
      <c r="E1719" s="384"/>
    </row>
    <row r="1720" spans="5:5">
      <c r="E1720" s="384"/>
    </row>
    <row r="1721" spans="5:5">
      <c r="E1721" s="384"/>
    </row>
    <row r="1722" spans="5:5">
      <c r="E1722" s="384"/>
    </row>
    <row r="1723" spans="5:5">
      <c r="E1723" s="384"/>
    </row>
    <row r="1724" spans="5:5">
      <c r="E1724" s="384"/>
    </row>
    <row r="1725" spans="5:5">
      <c r="E1725" s="384"/>
    </row>
    <row r="1726" spans="5:5">
      <c r="E1726" s="384"/>
    </row>
    <row r="1727" spans="5:5">
      <c r="E1727" s="384"/>
    </row>
    <row r="1728" spans="5:5">
      <c r="E1728" s="384"/>
    </row>
    <row r="1729" spans="5:5">
      <c r="E1729" s="384"/>
    </row>
    <row r="1730" spans="5:5">
      <c r="E1730" s="384"/>
    </row>
    <row r="1731" spans="5:5">
      <c r="E1731" s="384"/>
    </row>
    <row r="1732" spans="5:5">
      <c r="E1732" s="384"/>
    </row>
    <row r="1733" spans="5:5">
      <c r="E1733" s="384"/>
    </row>
    <row r="1734" spans="5:5">
      <c r="E1734" s="384"/>
    </row>
    <row r="1735" spans="5:5">
      <c r="E1735" s="384"/>
    </row>
    <row r="1736" spans="5:5">
      <c r="E1736" s="384"/>
    </row>
    <row r="1737" spans="5:5">
      <c r="E1737" s="384"/>
    </row>
    <row r="1738" spans="5:5">
      <c r="E1738" s="384"/>
    </row>
    <row r="1739" spans="5:5">
      <c r="E1739" s="384"/>
    </row>
    <row r="1740" spans="5:5">
      <c r="E1740" s="384"/>
    </row>
    <row r="1741" spans="5:5">
      <c r="E1741" s="384"/>
    </row>
    <row r="1742" spans="5:5">
      <c r="E1742" s="384"/>
    </row>
    <row r="1743" spans="5:5">
      <c r="E1743" s="384"/>
    </row>
    <row r="1744" spans="5:5">
      <c r="E1744" s="384"/>
    </row>
    <row r="1745" spans="5:5">
      <c r="E1745" s="384"/>
    </row>
    <row r="1746" spans="5:5">
      <c r="E1746" s="384"/>
    </row>
    <row r="1747" spans="5:5">
      <c r="E1747" s="384"/>
    </row>
    <row r="1748" spans="5:5">
      <c r="E1748" s="384"/>
    </row>
    <row r="1749" spans="5:5">
      <c r="E1749" s="384"/>
    </row>
    <row r="1750" spans="5:5">
      <c r="E1750" s="384"/>
    </row>
    <row r="1751" spans="5:5">
      <c r="E1751" s="384"/>
    </row>
    <row r="1752" spans="5:5">
      <c r="E1752" s="384"/>
    </row>
    <row r="1753" spans="5:5">
      <c r="E1753" s="384"/>
    </row>
    <row r="1754" spans="5:5">
      <c r="E1754" s="384"/>
    </row>
    <row r="1755" spans="5:5">
      <c r="E1755" s="384"/>
    </row>
    <row r="1756" spans="5:5">
      <c r="E1756" s="384"/>
    </row>
    <row r="1757" spans="5:5">
      <c r="E1757" s="384"/>
    </row>
    <row r="1758" spans="5:5">
      <c r="E1758" s="384"/>
    </row>
    <row r="1759" spans="5:5">
      <c r="E1759" s="384"/>
    </row>
    <row r="1760" spans="5:5">
      <c r="E1760" s="384"/>
    </row>
    <row r="1761" spans="5:5">
      <c r="E1761" s="384"/>
    </row>
    <row r="1762" spans="5:5">
      <c r="E1762" s="384"/>
    </row>
    <row r="1763" spans="5:5">
      <c r="E1763" s="384"/>
    </row>
    <row r="1764" spans="5:5">
      <c r="E1764" s="384"/>
    </row>
    <row r="1765" spans="5:5">
      <c r="E1765" s="384"/>
    </row>
    <row r="1766" spans="5:5">
      <c r="E1766" s="384"/>
    </row>
    <row r="1767" spans="5:5">
      <c r="E1767" s="384"/>
    </row>
    <row r="1768" spans="5:5">
      <c r="E1768" s="384"/>
    </row>
    <row r="1769" spans="5:5">
      <c r="E1769" s="384"/>
    </row>
    <row r="1770" spans="5:5">
      <c r="E1770" s="384"/>
    </row>
    <row r="1771" spans="5:5">
      <c r="E1771" s="384"/>
    </row>
    <row r="1772" spans="5:5">
      <c r="E1772" s="384"/>
    </row>
    <row r="1773" spans="5:5">
      <c r="E1773" s="384"/>
    </row>
    <row r="1774" spans="5:5">
      <c r="E1774" s="384"/>
    </row>
    <row r="1775" spans="5:5">
      <c r="E1775" s="384"/>
    </row>
    <row r="1776" spans="5:5">
      <c r="E1776" s="384"/>
    </row>
    <row r="1777" spans="5:5">
      <c r="E1777" s="384"/>
    </row>
    <row r="1778" spans="5:5">
      <c r="E1778" s="384"/>
    </row>
    <row r="1779" spans="5:5">
      <c r="E1779" s="384"/>
    </row>
    <row r="1780" spans="5:5">
      <c r="E1780" s="384"/>
    </row>
    <row r="1781" spans="5:5">
      <c r="E1781" s="384"/>
    </row>
    <row r="1782" spans="5:5">
      <c r="E1782" s="384"/>
    </row>
    <row r="1783" spans="5:5">
      <c r="E1783" s="384"/>
    </row>
    <row r="1784" spans="5:5">
      <c r="E1784" s="384"/>
    </row>
    <row r="1785" spans="5:5">
      <c r="E1785" s="384"/>
    </row>
    <row r="1786" spans="5:5">
      <c r="E1786" s="384"/>
    </row>
    <row r="1787" spans="5:5">
      <c r="E1787" s="384"/>
    </row>
    <row r="1788" spans="5:5">
      <c r="E1788" s="384"/>
    </row>
    <row r="1789" spans="5:5">
      <c r="E1789" s="384"/>
    </row>
    <row r="1790" spans="5:5">
      <c r="E1790" s="384"/>
    </row>
    <row r="1791" spans="5:5">
      <c r="E1791" s="384"/>
    </row>
    <row r="1792" spans="5:5">
      <c r="E1792" s="384"/>
    </row>
    <row r="1793" spans="5:5">
      <c r="E1793" s="384"/>
    </row>
    <row r="1794" spans="5:5">
      <c r="E1794" s="384"/>
    </row>
    <row r="1795" spans="5:5">
      <c r="E1795" s="384"/>
    </row>
    <row r="1796" spans="5:5">
      <c r="E1796" s="384"/>
    </row>
    <row r="1797" spans="5:5">
      <c r="E1797" s="384"/>
    </row>
    <row r="1798" spans="5:5">
      <c r="E1798" s="384"/>
    </row>
    <row r="1799" spans="5:5">
      <c r="E1799" s="384"/>
    </row>
    <row r="1800" spans="5:5">
      <c r="E1800" s="384"/>
    </row>
    <row r="1801" spans="5:5">
      <c r="E1801" s="384"/>
    </row>
    <row r="1802" spans="5:5">
      <c r="E1802" s="384"/>
    </row>
    <row r="1803" spans="5:5">
      <c r="E1803" s="384"/>
    </row>
    <row r="1804" spans="5:5">
      <c r="E1804" s="384"/>
    </row>
    <row r="1805" spans="5:5">
      <c r="E1805" s="384"/>
    </row>
    <row r="1806" spans="5:5">
      <c r="E1806" s="384"/>
    </row>
    <row r="1807" spans="5:5">
      <c r="E1807" s="384"/>
    </row>
    <row r="1808" spans="5:5">
      <c r="E1808" s="384"/>
    </row>
    <row r="1809" spans="5:5">
      <c r="E1809" s="384"/>
    </row>
    <row r="1810" spans="5:5">
      <c r="E1810" s="384"/>
    </row>
    <row r="1811" spans="5:5">
      <c r="E1811" s="384"/>
    </row>
    <row r="1812" spans="5:5">
      <c r="E1812" s="384"/>
    </row>
    <row r="1813" spans="5:5">
      <c r="E1813" s="384"/>
    </row>
    <row r="1814" spans="5:5">
      <c r="E1814" s="384"/>
    </row>
    <row r="1815" spans="5:5">
      <c r="E1815" s="384"/>
    </row>
    <row r="1816" spans="5:5">
      <c r="E1816" s="384"/>
    </row>
    <row r="1817" spans="5:5">
      <c r="E1817" s="384"/>
    </row>
    <row r="1818" spans="5:5">
      <c r="E1818" s="384"/>
    </row>
    <row r="1819" spans="5:5">
      <c r="E1819" s="384"/>
    </row>
    <row r="1820" spans="5:5">
      <c r="E1820" s="384"/>
    </row>
    <row r="1821" spans="5:5">
      <c r="E1821" s="384"/>
    </row>
    <row r="1822" spans="5:5">
      <c r="E1822" s="384"/>
    </row>
    <row r="1823" spans="5:5">
      <c r="E1823" s="384"/>
    </row>
    <row r="1824" spans="5:5">
      <c r="E1824" s="384"/>
    </row>
    <row r="1825" spans="5:5">
      <c r="E1825" s="384"/>
    </row>
    <row r="1826" spans="5:5">
      <c r="E1826" s="384"/>
    </row>
    <row r="1827" spans="5:5">
      <c r="E1827" s="384"/>
    </row>
    <row r="1828" spans="5:5">
      <c r="E1828" s="384"/>
    </row>
    <row r="1829" spans="5:5">
      <c r="E1829" s="384"/>
    </row>
    <row r="1830" spans="5:5">
      <c r="E1830" s="384"/>
    </row>
    <row r="1831" spans="5:5">
      <c r="E1831" s="384"/>
    </row>
    <row r="1832" spans="5:5">
      <c r="E1832" s="384"/>
    </row>
    <row r="1833" spans="5:5">
      <c r="E1833" s="384"/>
    </row>
    <row r="1834" spans="5:5">
      <c r="E1834" s="384"/>
    </row>
    <row r="1835" spans="5:5">
      <c r="E1835" s="384"/>
    </row>
    <row r="1836" spans="5:5">
      <c r="E1836" s="384"/>
    </row>
    <row r="1837" spans="5:5">
      <c r="E1837" s="384"/>
    </row>
    <row r="1838" spans="5:5">
      <c r="E1838" s="384"/>
    </row>
    <row r="1839" spans="5:5">
      <c r="E1839" s="384"/>
    </row>
    <row r="1840" spans="5:5">
      <c r="E1840" s="384"/>
    </row>
    <row r="1841" spans="5:5">
      <c r="E1841" s="384"/>
    </row>
    <row r="1842" spans="5:5">
      <c r="E1842" s="384"/>
    </row>
  </sheetData>
  <autoFilter ref="A2:F2" xr:uid="{00000000-0009-0000-0000-000000000000}">
    <filterColumn colId="0" showButton="0"/>
  </autoFilter>
  <mergeCells count="167">
    <mergeCell ref="B1293:B1295"/>
    <mergeCell ref="B1332:B1334"/>
    <mergeCell ref="B1335:B1337"/>
    <mergeCell ref="B1314:B1316"/>
    <mergeCell ref="B1317:B1319"/>
    <mergeCell ref="B1320:B1322"/>
    <mergeCell ref="B1323:B1325"/>
    <mergeCell ref="B1326:B1328"/>
    <mergeCell ref="B1329:B1331"/>
    <mergeCell ref="B1296:B1298"/>
    <mergeCell ref="B1299:B1301"/>
    <mergeCell ref="B1302:B1304"/>
    <mergeCell ref="B1305:B1307"/>
    <mergeCell ref="B1308:B1310"/>
    <mergeCell ref="B1311:B1313"/>
    <mergeCell ref="B1275:B1277"/>
    <mergeCell ref="B1278:B1280"/>
    <mergeCell ref="B1281:B1283"/>
    <mergeCell ref="B1284:B1286"/>
    <mergeCell ref="B1287:B1289"/>
    <mergeCell ref="B1290:B1292"/>
    <mergeCell ref="B1257:B1259"/>
    <mergeCell ref="B1260:B1262"/>
    <mergeCell ref="B1263:B1265"/>
    <mergeCell ref="B1266:B1268"/>
    <mergeCell ref="B1269:B1271"/>
    <mergeCell ref="B1272:B1274"/>
    <mergeCell ref="B1194:B1196"/>
    <mergeCell ref="B1197:B1199"/>
    <mergeCell ref="B1200:B1202"/>
    <mergeCell ref="B1239:B1241"/>
    <mergeCell ref="B1242:B1244"/>
    <mergeCell ref="B1245:B1247"/>
    <mergeCell ref="B1248:B1250"/>
    <mergeCell ref="B1251:B1253"/>
    <mergeCell ref="B1254:B1256"/>
    <mergeCell ref="B1221:B1223"/>
    <mergeCell ref="B1224:B1226"/>
    <mergeCell ref="B1227:B1229"/>
    <mergeCell ref="B1230:B1232"/>
    <mergeCell ref="B1233:B1235"/>
    <mergeCell ref="B1236:B1238"/>
    <mergeCell ref="B1167:B1169"/>
    <mergeCell ref="B1170:B1172"/>
    <mergeCell ref="B1173:B1175"/>
    <mergeCell ref="B1176:B1178"/>
    <mergeCell ref="B1179:B1181"/>
    <mergeCell ref="B1182:B1184"/>
    <mergeCell ref="A1128:A1139"/>
    <mergeCell ref="B1128:B1139"/>
    <mergeCell ref="A1140:A1153"/>
    <mergeCell ref="B1140:B1153"/>
    <mergeCell ref="A1154:A1337"/>
    <mergeCell ref="B1154:B1157"/>
    <mergeCell ref="B1158:B1160"/>
    <mergeCell ref="B1161:B1163"/>
    <mergeCell ref="B1164:B1166"/>
    <mergeCell ref="B1203:B1205"/>
    <mergeCell ref="B1206:B1208"/>
    <mergeCell ref="B1209:B1211"/>
    <mergeCell ref="B1212:B1214"/>
    <mergeCell ref="B1215:B1217"/>
    <mergeCell ref="B1218:B1220"/>
    <mergeCell ref="B1185:B1187"/>
    <mergeCell ref="B1188:B1190"/>
    <mergeCell ref="B1191:B1193"/>
    <mergeCell ref="B1093:B1096"/>
    <mergeCell ref="A1097:A1102"/>
    <mergeCell ref="B1097:B1102"/>
    <mergeCell ref="A1103:A1127"/>
    <mergeCell ref="B1103:B1119"/>
    <mergeCell ref="B1120:B1122"/>
    <mergeCell ref="B1123:B1127"/>
    <mergeCell ref="A1005:A1096"/>
    <mergeCell ref="B1005:B1018"/>
    <mergeCell ref="B1019:B1032"/>
    <mergeCell ref="B1033:B1080"/>
    <mergeCell ref="B1081:B1092"/>
    <mergeCell ref="A932:A1003"/>
    <mergeCell ref="B932:B1003"/>
    <mergeCell ref="A863:A871"/>
    <mergeCell ref="B863:B871"/>
    <mergeCell ref="A872:A931"/>
    <mergeCell ref="B872:B874"/>
    <mergeCell ref="B875:B888"/>
    <mergeCell ref="B889:B895"/>
    <mergeCell ref="B896:B900"/>
    <mergeCell ref="B901:B918"/>
    <mergeCell ref="B919:B925"/>
    <mergeCell ref="B926:B931"/>
    <mergeCell ref="B800:B820"/>
    <mergeCell ref="B821:B832"/>
    <mergeCell ref="B833:B839"/>
    <mergeCell ref="A840:A862"/>
    <mergeCell ref="B840:B851"/>
    <mergeCell ref="B852:B862"/>
    <mergeCell ref="A728:A839"/>
    <mergeCell ref="B728:B757"/>
    <mergeCell ref="B758:B761"/>
    <mergeCell ref="B762:B766"/>
    <mergeCell ref="B767:B771"/>
    <mergeCell ref="B772:B778"/>
    <mergeCell ref="B779:B784"/>
    <mergeCell ref="B785:B799"/>
    <mergeCell ref="B308:B361"/>
    <mergeCell ref="B362:B372"/>
    <mergeCell ref="B373:B381"/>
    <mergeCell ref="B382:B384"/>
    <mergeCell ref="A688:A727"/>
    <mergeCell ref="B688:B707"/>
    <mergeCell ref="B708:B727"/>
    <mergeCell ref="B650:B661"/>
    <mergeCell ref="B662:B666"/>
    <mergeCell ref="A667:A687"/>
    <mergeCell ref="B667:B678"/>
    <mergeCell ref="B679:B687"/>
    <mergeCell ref="B627:B642"/>
    <mergeCell ref="B643:B647"/>
    <mergeCell ref="B648:B649"/>
    <mergeCell ref="A3:A4"/>
    <mergeCell ref="B3:B4"/>
    <mergeCell ref="A5:A30"/>
    <mergeCell ref="B5:B24"/>
    <mergeCell ref="B25:B30"/>
    <mergeCell ref="B385:B389"/>
    <mergeCell ref="B390:B399"/>
    <mergeCell ref="B608:B609"/>
    <mergeCell ref="A400:A666"/>
    <mergeCell ref="B400:B411"/>
    <mergeCell ref="B412:B459"/>
    <mergeCell ref="B460:B482"/>
    <mergeCell ref="B517:B525"/>
    <mergeCell ref="B526:B542"/>
    <mergeCell ref="B543:B544"/>
    <mergeCell ref="B545:B563"/>
    <mergeCell ref="B483:B500"/>
    <mergeCell ref="B501:B516"/>
    <mergeCell ref="B610:B626"/>
    <mergeCell ref="B599:B607"/>
    <mergeCell ref="B564:B576"/>
    <mergeCell ref="B577:B585"/>
    <mergeCell ref="B586:B598"/>
    <mergeCell ref="A308:A399"/>
    <mergeCell ref="A1:F1"/>
    <mergeCell ref="A107:A263"/>
    <mergeCell ref="B107:B156"/>
    <mergeCell ref="B157:B182"/>
    <mergeCell ref="B183:B224"/>
    <mergeCell ref="B225:B263"/>
    <mergeCell ref="A264:A307"/>
    <mergeCell ref="B264:B272"/>
    <mergeCell ref="B273:B284"/>
    <mergeCell ref="B285:B307"/>
    <mergeCell ref="A78:A106"/>
    <mergeCell ref="B79:B84"/>
    <mergeCell ref="B85:B86"/>
    <mergeCell ref="B87:B94"/>
    <mergeCell ref="B95:B101"/>
    <mergeCell ref="B102:B106"/>
    <mergeCell ref="A31:A47"/>
    <mergeCell ref="B31:B44"/>
    <mergeCell ref="B45:B47"/>
    <mergeCell ref="A48:A77"/>
    <mergeCell ref="B48:B54"/>
    <mergeCell ref="B55:B68"/>
    <mergeCell ref="B69:B77"/>
    <mergeCell ref="A2:B2"/>
  </mergeCells>
  <phoneticPr fontId="1" type="noConversion"/>
  <pageMargins left="0.27559055118110237" right="0.27559055118110237" top="0.39370078740157483" bottom="0.59055118110236227" header="0.31496062992125984" footer="0.31496062992125984"/>
  <pageSetup paperSize="9" scale="63" fitToHeight="0" orientation="portrait" r:id="rId1"/>
  <headerFooter>
    <oddFooter>&amp;C&amp;"微軟正黑體,標準"第 &amp;P 頁，共 &amp;N 頁</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844"/>
  <sheetViews>
    <sheetView topLeftCell="H518" zoomScale="55" zoomScaleNormal="55" workbookViewId="0">
      <selection activeCell="K1" sqref="K1:N1048576"/>
    </sheetView>
  </sheetViews>
  <sheetFormatPr defaultColWidth="8.875" defaultRowHeight="18.75"/>
  <cols>
    <col min="1" max="1" width="12.625" style="376" customWidth="1"/>
    <col min="2" max="2" width="18.125" style="376" customWidth="1"/>
    <col min="3" max="3" width="19.125" style="376" customWidth="1"/>
    <col min="4" max="4" width="63.5" style="375" bestFit="1" customWidth="1"/>
    <col min="5" max="5" width="18.625" style="385" customWidth="1"/>
    <col min="6" max="6" width="18.625" style="273" customWidth="1"/>
    <col min="7" max="7" width="48.875" style="298" customWidth="1"/>
    <col min="8" max="8" width="13.5" style="297" customWidth="1"/>
    <col min="9" max="9" width="67.875" style="296" customWidth="1"/>
    <col min="10" max="10" width="2" style="1" customWidth="1"/>
    <col min="11" max="12" width="22.125" style="2" customWidth="1"/>
    <col min="13" max="14" width="18.125" style="1" customWidth="1"/>
    <col min="15" max="15" width="6.375" style="1" bestFit="1" customWidth="1"/>
    <col min="16" max="16" width="13.5" style="1" customWidth="1"/>
    <col min="17" max="17" width="22.125" style="1" customWidth="1"/>
    <col min="18" max="18" width="19" style="1" customWidth="1"/>
    <col min="19" max="19" width="27.5" style="1" customWidth="1"/>
    <col min="20" max="20" width="18.375" style="1" bestFit="1" customWidth="1"/>
    <col min="21" max="22" width="6.875" style="1" bestFit="1" customWidth="1"/>
    <col min="23" max="23" width="12.625" style="1" customWidth="1"/>
    <col min="24" max="16384" width="8.875" style="1"/>
  </cols>
  <sheetData>
    <row r="1" spans="1:23" ht="16.5">
      <c r="A1" s="608" t="s">
        <v>3405</v>
      </c>
      <c r="B1" s="609"/>
      <c r="C1" s="609"/>
      <c r="D1" s="609"/>
      <c r="E1" s="610"/>
      <c r="F1" s="613" t="s">
        <v>0</v>
      </c>
      <c r="G1" s="614"/>
      <c r="H1" s="614"/>
      <c r="I1" s="615"/>
    </row>
    <row r="2" spans="1:23" ht="16.5">
      <c r="A2" s="609"/>
      <c r="B2" s="609"/>
      <c r="C2" s="609"/>
      <c r="D2" s="609"/>
      <c r="E2" s="610"/>
      <c r="F2" s="614"/>
      <c r="G2" s="614"/>
      <c r="H2" s="614"/>
      <c r="I2" s="615"/>
      <c r="P2" s="1">
        <f>COUNTIF(L:L,"錯")</f>
        <v>0</v>
      </c>
      <c r="Q2" s="1">
        <f>COUNTIF(M:M,"錯")</f>
        <v>1</v>
      </c>
      <c r="R2" s="1">
        <f>COUNTIF(N:N,"錯")</f>
        <v>3</v>
      </c>
    </row>
    <row r="3" spans="1:23" ht="17.25" thickBot="1">
      <c r="A3" s="611"/>
      <c r="B3" s="611"/>
      <c r="C3" s="611"/>
      <c r="D3" s="611"/>
      <c r="E3" s="612"/>
      <c r="F3" s="616"/>
      <c r="G3" s="616"/>
      <c r="H3" s="616"/>
      <c r="I3" s="617"/>
    </row>
    <row r="4" spans="1:23" ht="20.25" thickBot="1">
      <c r="A4" s="587" t="s">
        <v>3403</v>
      </c>
      <c r="B4" s="588"/>
      <c r="C4" s="373" t="s">
        <v>2861</v>
      </c>
      <c r="D4" s="374" t="s">
        <v>2079</v>
      </c>
      <c r="E4" s="433" t="s">
        <v>2074</v>
      </c>
      <c r="F4" s="3" t="s">
        <v>1</v>
      </c>
      <c r="G4" s="4" t="s">
        <v>2</v>
      </c>
      <c r="H4" s="5" t="s">
        <v>3</v>
      </c>
      <c r="I4" s="6" t="s">
        <v>4</v>
      </c>
    </row>
    <row r="5" spans="1:23" ht="20.25" thickTop="1">
      <c r="A5" s="572" t="s">
        <v>5</v>
      </c>
      <c r="B5" s="575" t="s">
        <v>6</v>
      </c>
      <c r="C5" s="7" t="s">
        <v>7</v>
      </c>
      <c r="D5" s="311" t="s">
        <v>2080</v>
      </c>
      <c r="E5" s="8">
        <v>1</v>
      </c>
      <c r="F5" s="9"/>
      <c r="G5" s="10"/>
      <c r="H5" s="11"/>
      <c r="I5" s="12"/>
      <c r="L5" s="1" t="str">
        <f>IF(ISBLANK(F5),"空白",IF(F5=C5,"對","錯"))</f>
        <v>空白</v>
      </c>
      <c r="M5" s="1" t="str">
        <f>IF(ISBLANK(G5),"空白",IF(G5=D5,"對","錯"))</f>
        <v>空白</v>
      </c>
      <c r="N5" s="1" t="str">
        <f>IF(ISBLANK(H5),"空白",IF(H5=E5,"對","錯"))</f>
        <v>空白</v>
      </c>
      <c r="O5" s="13" t="s">
        <v>8</v>
      </c>
      <c r="P5" s="13" t="s">
        <v>9</v>
      </c>
      <c r="Q5" s="13" t="s">
        <v>10</v>
      </c>
      <c r="R5" s="13" t="s">
        <v>11</v>
      </c>
      <c r="S5" s="14" t="s">
        <v>12</v>
      </c>
      <c r="T5" s="14" t="s">
        <v>13</v>
      </c>
      <c r="U5" s="14" t="s">
        <v>14</v>
      </c>
      <c r="V5" s="14" t="s">
        <v>15</v>
      </c>
      <c r="W5" s="14" t="s">
        <v>16</v>
      </c>
    </row>
    <row r="6" spans="1:23" ht="19.5" thickBot="1">
      <c r="A6" s="573"/>
      <c r="B6" s="576"/>
      <c r="C6" s="15" t="s">
        <v>17</v>
      </c>
      <c r="D6" s="312" t="s">
        <v>2081</v>
      </c>
      <c r="E6" s="16">
        <v>2</v>
      </c>
      <c r="F6" s="17"/>
      <c r="G6" s="18"/>
      <c r="H6" s="19"/>
      <c r="I6" s="20"/>
      <c r="L6" s="1" t="str">
        <f t="shared" ref="L6:N69" si="0">IF(ISBLANK(F6),"空白",IF(F6=C6,"對","錯"))</f>
        <v>空白</v>
      </c>
      <c r="M6" s="1" t="str">
        <f t="shared" si="0"/>
        <v>空白</v>
      </c>
      <c r="N6" s="1" t="str">
        <f t="shared" si="0"/>
        <v>空白</v>
      </c>
      <c r="O6" s="21">
        <f t="shared" ref="O6:W6" si="1">COUNTIF($K$1:$K$6664,O5)</f>
        <v>238</v>
      </c>
      <c r="P6" s="21">
        <f t="shared" si="1"/>
        <v>33</v>
      </c>
      <c r="Q6" s="21">
        <f t="shared" si="1"/>
        <v>56</v>
      </c>
      <c r="R6" s="21">
        <f t="shared" si="1"/>
        <v>9</v>
      </c>
      <c r="S6" s="21">
        <f t="shared" si="1"/>
        <v>73</v>
      </c>
      <c r="T6" s="21">
        <f t="shared" si="1"/>
        <v>22</v>
      </c>
      <c r="U6" s="21">
        <f t="shared" si="1"/>
        <v>3</v>
      </c>
      <c r="V6" s="21">
        <f t="shared" si="1"/>
        <v>2</v>
      </c>
      <c r="W6" s="21">
        <f t="shared" si="1"/>
        <v>0</v>
      </c>
    </row>
    <row r="7" spans="1:23" ht="19.5" thickTop="1">
      <c r="A7" s="572" t="s">
        <v>18</v>
      </c>
      <c r="B7" s="575" t="s">
        <v>19</v>
      </c>
      <c r="C7" s="22" t="s">
        <v>20</v>
      </c>
      <c r="D7" s="313" t="s">
        <v>2082</v>
      </c>
      <c r="E7" s="8">
        <v>1</v>
      </c>
      <c r="F7" s="23"/>
      <c r="G7" s="24"/>
      <c r="H7" s="11"/>
      <c r="I7" s="304"/>
      <c r="L7" s="1" t="str">
        <f t="shared" si="0"/>
        <v>空白</v>
      </c>
      <c r="M7" s="1" t="str">
        <f t="shared" si="0"/>
        <v>空白</v>
      </c>
      <c r="N7" s="1" t="str">
        <f t="shared" si="0"/>
        <v>空白</v>
      </c>
    </row>
    <row r="8" spans="1:23">
      <c r="A8" s="573"/>
      <c r="B8" s="576"/>
      <c r="C8" s="25" t="s">
        <v>21</v>
      </c>
      <c r="D8" s="310" t="s">
        <v>2083</v>
      </c>
      <c r="E8" s="16">
        <v>2</v>
      </c>
      <c r="F8" s="9"/>
      <c r="G8" s="26"/>
      <c r="H8" s="27"/>
      <c r="I8" s="28"/>
      <c r="L8" s="1" t="str">
        <f t="shared" si="0"/>
        <v>空白</v>
      </c>
      <c r="M8" s="1" t="str">
        <f t="shared" si="0"/>
        <v>空白</v>
      </c>
      <c r="N8" s="1" t="str">
        <f t="shared" si="0"/>
        <v>空白</v>
      </c>
    </row>
    <row r="9" spans="1:23">
      <c r="A9" s="573"/>
      <c r="B9" s="576"/>
      <c r="C9" s="25" t="s">
        <v>22</v>
      </c>
      <c r="D9" s="310" t="s">
        <v>2084</v>
      </c>
      <c r="E9" s="16">
        <v>3</v>
      </c>
      <c r="F9" s="9"/>
      <c r="G9" s="26"/>
      <c r="H9" s="27"/>
      <c r="I9" s="28"/>
      <c r="L9" s="1" t="str">
        <f t="shared" si="0"/>
        <v>空白</v>
      </c>
      <c r="M9" s="1" t="str">
        <f t="shared" si="0"/>
        <v>空白</v>
      </c>
      <c r="N9" s="1" t="str">
        <f t="shared" si="0"/>
        <v>空白</v>
      </c>
    </row>
    <row r="10" spans="1:23">
      <c r="A10" s="573"/>
      <c r="B10" s="576"/>
      <c r="C10" s="25" t="s">
        <v>23</v>
      </c>
      <c r="D10" s="310" t="s">
        <v>2085</v>
      </c>
      <c r="E10" s="16">
        <v>3</v>
      </c>
      <c r="F10" s="9"/>
      <c r="G10" s="26"/>
      <c r="H10" s="27"/>
      <c r="I10" s="28"/>
      <c r="L10" s="1" t="str">
        <f t="shared" si="0"/>
        <v>空白</v>
      </c>
      <c r="M10" s="1" t="str">
        <f t="shared" si="0"/>
        <v>空白</v>
      </c>
      <c r="N10" s="1" t="str">
        <f t="shared" si="0"/>
        <v>空白</v>
      </c>
    </row>
    <row r="11" spans="1:23">
      <c r="A11" s="573"/>
      <c r="B11" s="576"/>
      <c r="C11" s="25" t="s">
        <v>24</v>
      </c>
      <c r="D11" s="310" t="s">
        <v>2086</v>
      </c>
      <c r="E11" s="16">
        <v>2</v>
      </c>
      <c r="F11" s="9"/>
      <c r="G11" s="26"/>
      <c r="H11" s="27"/>
      <c r="I11" s="28"/>
      <c r="L11" s="1" t="str">
        <f t="shared" si="0"/>
        <v>空白</v>
      </c>
      <c r="M11" s="1" t="str">
        <f t="shared" si="0"/>
        <v>空白</v>
      </c>
      <c r="N11" s="1" t="str">
        <f t="shared" si="0"/>
        <v>空白</v>
      </c>
    </row>
    <row r="12" spans="1:23">
      <c r="A12" s="573"/>
      <c r="B12" s="576"/>
      <c r="C12" s="25" t="s">
        <v>25</v>
      </c>
      <c r="D12" s="310" t="s">
        <v>2087</v>
      </c>
      <c r="E12" s="16">
        <v>2</v>
      </c>
      <c r="F12" s="9"/>
      <c r="G12" s="26"/>
      <c r="H12" s="27"/>
      <c r="I12" s="28"/>
      <c r="L12" s="1" t="str">
        <f t="shared" si="0"/>
        <v>空白</v>
      </c>
      <c r="M12" s="1" t="str">
        <f t="shared" si="0"/>
        <v>空白</v>
      </c>
      <c r="N12" s="1" t="str">
        <f t="shared" si="0"/>
        <v>空白</v>
      </c>
    </row>
    <row r="13" spans="1:23">
      <c r="A13" s="573"/>
      <c r="B13" s="576"/>
      <c r="C13" s="25" t="s">
        <v>26</v>
      </c>
      <c r="D13" s="310" t="s">
        <v>2088</v>
      </c>
      <c r="E13" s="16">
        <v>2</v>
      </c>
      <c r="F13" s="9"/>
      <c r="G13" s="26"/>
      <c r="H13" s="27"/>
      <c r="I13" s="28"/>
      <c r="L13" s="1" t="str">
        <f t="shared" si="0"/>
        <v>空白</v>
      </c>
      <c r="M13" s="1" t="str">
        <f t="shared" si="0"/>
        <v>空白</v>
      </c>
      <c r="N13" s="1" t="str">
        <f t="shared" si="0"/>
        <v>空白</v>
      </c>
    </row>
    <row r="14" spans="1:23">
      <c r="A14" s="573"/>
      <c r="B14" s="576"/>
      <c r="C14" s="25" t="s">
        <v>27</v>
      </c>
      <c r="D14" s="310" t="s">
        <v>2089</v>
      </c>
      <c r="E14" s="16">
        <v>2</v>
      </c>
      <c r="F14" s="9"/>
      <c r="G14" s="26"/>
      <c r="H14" s="27"/>
      <c r="I14" s="28"/>
      <c r="L14" s="1" t="str">
        <f t="shared" si="0"/>
        <v>空白</v>
      </c>
      <c r="M14" s="1" t="str">
        <f t="shared" si="0"/>
        <v>空白</v>
      </c>
      <c r="N14" s="1" t="str">
        <f t="shared" si="0"/>
        <v>空白</v>
      </c>
    </row>
    <row r="15" spans="1:23">
      <c r="A15" s="573"/>
      <c r="B15" s="576"/>
      <c r="C15" s="25" t="s">
        <v>28</v>
      </c>
      <c r="D15" s="308" t="s">
        <v>2090</v>
      </c>
      <c r="E15" s="16">
        <v>3</v>
      </c>
      <c r="F15" s="9"/>
      <c r="G15" s="26"/>
      <c r="H15" s="27"/>
      <c r="I15" s="28"/>
      <c r="L15" s="1" t="str">
        <f t="shared" si="0"/>
        <v>空白</v>
      </c>
      <c r="M15" s="1" t="str">
        <f t="shared" si="0"/>
        <v>空白</v>
      </c>
      <c r="N15" s="1" t="str">
        <f t="shared" si="0"/>
        <v>空白</v>
      </c>
    </row>
    <row r="16" spans="1:23">
      <c r="A16" s="573"/>
      <c r="B16" s="576"/>
      <c r="C16" s="25" t="s">
        <v>29</v>
      </c>
      <c r="D16" s="308" t="s">
        <v>2091</v>
      </c>
      <c r="E16" s="16">
        <v>2</v>
      </c>
      <c r="F16" s="9"/>
      <c r="G16" s="26"/>
      <c r="H16" s="27"/>
      <c r="I16" s="28"/>
      <c r="L16" s="1" t="str">
        <f t="shared" si="0"/>
        <v>空白</v>
      </c>
      <c r="M16" s="1" t="str">
        <f t="shared" si="0"/>
        <v>空白</v>
      </c>
      <c r="N16" s="1" t="str">
        <f t="shared" si="0"/>
        <v>空白</v>
      </c>
    </row>
    <row r="17" spans="1:14">
      <c r="A17" s="573"/>
      <c r="B17" s="576"/>
      <c r="C17" s="25" t="s">
        <v>30</v>
      </c>
      <c r="D17" s="308" t="s">
        <v>2092</v>
      </c>
      <c r="E17" s="29">
        <v>1</v>
      </c>
      <c r="F17" s="30"/>
      <c r="G17" s="26"/>
      <c r="H17" s="27"/>
      <c r="I17" s="28"/>
      <c r="L17" s="1" t="str">
        <f t="shared" si="0"/>
        <v>空白</v>
      </c>
      <c r="M17" s="1" t="str">
        <f t="shared" si="0"/>
        <v>空白</v>
      </c>
      <c r="N17" s="1" t="str">
        <f t="shared" si="0"/>
        <v>空白</v>
      </c>
    </row>
    <row r="18" spans="1:14">
      <c r="A18" s="573"/>
      <c r="B18" s="576"/>
      <c r="C18" s="25" t="s">
        <v>31</v>
      </c>
      <c r="D18" s="314" t="s">
        <v>2093</v>
      </c>
      <c r="E18" s="29">
        <v>2</v>
      </c>
      <c r="F18" s="30"/>
      <c r="G18" s="26"/>
      <c r="H18" s="27"/>
      <c r="I18" s="28"/>
      <c r="L18" s="1" t="str">
        <f t="shared" si="0"/>
        <v>空白</v>
      </c>
      <c r="M18" s="1" t="str">
        <f>IF(ISBLANK(G18),"空白",IF(G18=D18,"對","錯"))</f>
        <v>空白</v>
      </c>
      <c r="N18" s="1" t="str">
        <f t="shared" si="0"/>
        <v>空白</v>
      </c>
    </row>
    <row r="19" spans="1:14" ht="19.5">
      <c r="A19" s="573"/>
      <c r="B19" s="576"/>
      <c r="C19" s="25" t="s">
        <v>32</v>
      </c>
      <c r="D19" s="314" t="s">
        <v>2094</v>
      </c>
      <c r="E19" s="16">
        <v>2</v>
      </c>
      <c r="F19" s="9"/>
      <c r="G19" s="31" t="s">
        <v>33</v>
      </c>
      <c r="H19" s="32">
        <v>2</v>
      </c>
      <c r="I19" s="33" t="s">
        <v>34</v>
      </c>
      <c r="K19" s="2" t="s">
        <v>35</v>
      </c>
      <c r="L19" s="1" t="str">
        <f t="shared" si="0"/>
        <v>空白</v>
      </c>
      <c r="M19" s="1" t="str">
        <f t="shared" si="0"/>
        <v>對</v>
      </c>
      <c r="N19" s="1" t="str">
        <f t="shared" si="0"/>
        <v>對</v>
      </c>
    </row>
    <row r="20" spans="1:14">
      <c r="A20" s="573"/>
      <c r="B20" s="576"/>
      <c r="C20" s="25" t="s">
        <v>36</v>
      </c>
      <c r="D20" s="308" t="s">
        <v>2095</v>
      </c>
      <c r="E20" s="16">
        <v>3</v>
      </c>
      <c r="F20" s="9"/>
      <c r="G20" s="26"/>
      <c r="H20" s="27"/>
      <c r="I20" s="28"/>
      <c r="L20" s="1" t="str">
        <f t="shared" si="0"/>
        <v>空白</v>
      </c>
      <c r="M20" s="1" t="str">
        <f>IF(ISBLANK(G20),"空白",IF(G20=D20,"對","錯"))</f>
        <v>空白</v>
      </c>
      <c r="N20" s="1" t="str">
        <f t="shared" si="0"/>
        <v>空白</v>
      </c>
    </row>
    <row r="21" spans="1:14">
      <c r="A21" s="573"/>
      <c r="B21" s="576"/>
      <c r="C21" s="25" t="s">
        <v>37</v>
      </c>
      <c r="D21" s="308" t="s">
        <v>2096</v>
      </c>
      <c r="E21" s="16">
        <v>2</v>
      </c>
      <c r="F21" s="9"/>
      <c r="G21" s="26"/>
      <c r="H21" s="27"/>
      <c r="I21" s="28"/>
      <c r="L21" s="1" t="str">
        <f t="shared" si="0"/>
        <v>空白</v>
      </c>
      <c r="M21" s="1" t="str">
        <f t="shared" si="0"/>
        <v>空白</v>
      </c>
      <c r="N21" s="1" t="str">
        <f t="shared" si="0"/>
        <v>空白</v>
      </c>
    </row>
    <row r="22" spans="1:14">
      <c r="A22" s="573"/>
      <c r="B22" s="576"/>
      <c r="C22" s="25" t="s">
        <v>38</v>
      </c>
      <c r="D22" s="308" t="s">
        <v>2097</v>
      </c>
      <c r="E22" s="16">
        <v>2</v>
      </c>
      <c r="F22" s="9"/>
      <c r="G22" s="26"/>
      <c r="H22" s="27"/>
      <c r="I22" s="28"/>
      <c r="L22" s="1" t="str">
        <f t="shared" si="0"/>
        <v>空白</v>
      </c>
      <c r="M22" s="1" t="str">
        <f t="shared" si="0"/>
        <v>空白</v>
      </c>
      <c r="N22" s="1" t="str">
        <f t="shared" si="0"/>
        <v>空白</v>
      </c>
    </row>
    <row r="23" spans="1:14">
      <c r="A23" s="573"/>
      <c r="B23" s="576"/>
      <c r="C23" s="25" t="s">
        <v>39</v>
      </c>
      <c r="D23" s="308" t="s">
        <v>2098</v>
      </c>
      <c r="E23" s="16">
        <v>2</v>
      </c>
      <c r="F23" s="9"/>
      <c r="G23" s="26"/>
      <c r="H23" s="27"/>
      <c r="I23" s="28"/>
      <c r="L23" s="1" t="str">
        <f t="shared" si="0"/>
        <v>空白</v>
      </c>
      <c r="M23" s="1" t="str">
        <f t="shared" si="0"/>
        <v>空白</v>
      </c>
      <c r="N23" s="1" t="str">
        <f t="shared" si="0"/>
        <v>空白</v>
      </c>
    </row>
    <row r="24" spans="1:14">
      <c r="A24" s="573"/>
      <c r="B24" s="576"/>
      <c r="C24" s="25" t="s">
        <v>40</v>
      </c>
      <c r="D24" s="308" t="s">
        <v>2099</v>
      </c>
      <c r="E24" s="16">
        <v>2</v>
      </c>
      <c r="F24" s="9"/>
      <c r="G24" s="26"/>
      <c r="H24" s="27"/>
      <c r="I24" s="28"/>
      <c r="L24" s="1" t="str">
        <f t="shared" si="0"/>
        <v>空白</v>
      </c>
      <c r="M24" s="1" t="str">
        <f t="shared" si="0"/>
        <v>空白</v>
      </c>
      <c r="N24" s="1" t="str">
        <f t="shared" si="0"/>
        <v>空白</v>
      </c>
    </row>
    <row r="25" spans="1:14">
      <c r="A25" s="573"/>
      <c r="B25" s="576"/>
      <c r="C25" s="34" t="s">
        <v>41</v>
      </c>
      <c r="D25" s="315" t="s">
        <v>2100</v>
      </c>
      <c r="E25" s="16">
        <v>2</v>
      </c>
      <c r="F25" s="9"/>
      <c r="G25" s="26"/>
      <c r="H25" s="27"/>
      <c r="I25" s="28"/>
      <c r="L25" s="1" t="str">
        <f t="shared" si="0"/>
        <v>空白</v>
      </c>
      <c r="M25" s="1" t="str">
        <f t="shared" si="0"/>
        <v>空白</v>
      </c>
      <c r="N25" s="1" t="str">
        <f t="shared" si="0"/>
        <v>空白</v>
      </c>
    </row>
    <row r="26" spans="1:14" ht="58.5">
      <c r="A26" s="573"/>
      <c r="B26" s="576"/>
      <c r="C26" s="136" t="s">
        <v>42</v>
      </c>
      <c r="D26" s="316" t="s">
        <v>2101</v>
      </c>
      <c r="E26" s="16">
        <v>1</v>
      </c>
      <c r="F26" s="36" t="s">
        <v>42</v>
      </c>
      <c r="G26" s="37" t="s">
        <v>43</v>
      </c>
      <c r="H26" s="38">
        <v>1</v>
      </c>
      <c r="I26" s="39" t="s">
        <v>44</v>
      </c>
      <c r="K26" s="40" t="s">
        <v>8</v>
      </c>
      <c r="L26" s="1" t="str">
        <f t="shared" si="0"/>
        <v>對</v>
      </c>
      <c r="M26" s="1" t="str">
        <f>IF(ISBLANK(G26),"空白",IF(G26=D26,"對","錯"))</f>
        <v>對</v>
      </c>
      <c r="N26" s="1" t="str">
        <f t="shared" si="0"/>
        <v>對</v>
      </c>
    </row>
    <row r="27" spans="1:14">
      <c r="A27" s="573"/>
      <c r="B27" s="580" t="s">
        <v>45</v>
      </c>
      <c r="C27" s="22" t="s">
        <v>46</v>
      </c>
      <c r="D27" s="313" t="s">
        <v>2102</v>
      </c>
      <c r="E27" s="41">
        <v>1</v>
      </c>
      <c r="F27" s="42"/>
      <c r="G27" s="10"/>
      <c r="H27" s="43"/>
      <c r="I27" s="304"/>
      <c r="L27" s="1" t="str">
        <f t="shared" si="0"/>
        <v>空白</v>
      </c>
      <c r="M27" s="1" t="str">
        <f t="shared" si="0"/>
        <v>空白</v>
      </c>
      <c r="N27" s="1" t="str">
        <f t="shared" si="0"/>
        <v>空白</v>
      </c>
    </row>
    <row r="28" spans="1:14">
      <c r="A28" s="573"/>
      <c r="B28" s="576"/>
      <c r="C28" s="25" t="s">
        <v>47</v>
      </c>
      <c r="D28" s="310" t="s">
        <v>2103</v>
      </c>
      <c r="E28" s="16">
        <v>3</v>
      </c>
      <c r="F28" s="9"/>
      <c r="G28" s="26"/>
      <c r="H28" s="27"/>
      <c r="I28" s="28"/>
      <c r="L28" s="1" t="str">
        <f t="shared" si="0"/>
        <v>空白</v>
      </c>
      <c r="M28" s="1" t="str">
        <f t="shared" si="0"/>
        <v>空白</v>
      </c>
      <c r="N28" s="1" t="str">
        <f t="shared" si="0"/>
        <v>空白</v>
      </c>
    </row>
    <row r="29" spans="1:14">
      <c r="A29" s="573"/>
      <c r="B29" s="576"/>
      <c r="C29" s="25" t="s">
        <v>48</v>
      </c>
      <c r="D29" s="308" t="s">
        <v>2104</v>
      </c>
      <c r="E29" s="16">
        <v>3</v>
      </c>
      <c r="F29" s="9"/>
      <c r="G29" s="26"/>
      <c r="H29" s="27"/>
      <c r="I29" s="28"/>
      <c r="L29" s="1" t="str">
        <f t="shared" si="0"/>
        <v>空白</v>
      </c>
      <c r="M29" s="1" t="str">
        <f t="shared" si="0"/>
        <v>空白</v>
      </c>
      <c r="N29" s="1" t="str">
        <f t="shared" si="0"/>
        <v>空白</v>
      </c>
    </row>
    <row r="30" spans="1:14">
      <c r="A30" s="573"/>
      <c r="B30" s="576"/>
      <c r="C30" s="25" t="s">
        <v>49</v>
      </c>
      <c r="D30" s="308" t="s">
        <v>2105</v>
      </c>
      <c r="E30" s="16">
        <v>4</v>
      </c>
      <c r="F30" s="9"/>
      <c r="G30" s="26"/>
      <c r="H30" s="27"/>
      <c r="I30" s="28"/>
      <c r="L30" s="1" t="str">
        <f t="shared" si="0"/>
        <v>空白</v>
      </c>
      <c r="M30" s="1" t="str">
        <f t="shared" si="0"/>
        <v>空白</v>
      </c>
      <c r="N30" s="1" t="str">
        <f t="shared" si="0"/>
        <v>空白</v>
      </c>
    </row>
    <row r="31" spans="1:14">
      <c r="A31" s="573"/>
      <c r="B31" s="576"/>
      <c r="C31" s="25" t="s">
        <v>50</v>
      </c>
      <c r="D31" s="308" t="s">
        <v>2106</v>
      </c>
      <c r="E31" s="16">
        <v>4</v>
      </c>
      <c r="F31" s="9"/>
      <c r="G31" s="26"/>
      <c r="H31" s="27"/>
      <c r="I31" s="28"/>
      <c r="L31" s="1" t="str">
        <f t="shared" si="0"/>
        <v>空白</v>
      </c>
      <c r="M31" s="1" t="str">
        <f t="shared" si="0"/>
        <v>空白</v>
      </c>
      <c r="N31" s="1" t="str">
        <f t="shared" si="0"/>
        <v>空白</v>
      </c>
    </row>
    <row r="32" spans="1:14" ht="39.75" thickBot="1">
      <c r="A32" s="574"/>
      <c r="B32" s="576"/>
      <c r="C32" s="25" t="s">
        <v>51</v>
      </c>
      <c r="D32" s="308" t="s">
        <v>2075</v>
      </c>
      <c r="E32" s="16">
        <v>3</v>
      </c>
      <c r="F32" s="17"/>
      <c r="G32" s="309" t="s">
        <v>52</v>
      </c>
      <c r="H32" s="19">
        <v>3</v>
      </c>
      <c r="I32" s="45" t="s">
        <v>53</v>
      </c>
      <c r="K32" s="2" t="s">
        <v>54</v>
      </c>
      <c r="L32" s="1" t="str">
        <f t="shared" si="0"/>
        <v>空白</v>
      </c>
      <c r="M32" s="1" t="str">
        <f t="shared" si="0"/>
        <v>對</v>
      </c>
      <c r="N32" s="1" t="str">
        <f t="shared" si="0"/>
        <v>對</v>
      </c>
    </row>
    <row r="33" spans="1:14" ht="19.5" thickTop="1">
      <c r="A33" s="572" t="s">
        <v>55</v>
      </c>
      <c r="B33" s="575" t="s">
        <v>56</v>
      </c>
      <c r="C33" s="46" t="s">
        <v>57</v>
      </c>
      <c r="D33" s="317" t="s">
        <v>2107</v>
      </c>
      <c r="E33" s="8">
        <v>1</v>
      </c>
      <c r="F33" s="23"/>
      <c r="G33" s="24"/>
      <c r="H33" s="11"/>
      <c r="I33" s="304"/>
      <c r="L33" s="1" t="str">
        <f t="shared" si="0"/>
        <v>空白</v>
      </c>
      <c r="M33" s="1" t="str">
        <f t="shared" si="0"/>
        <v>空白</v>
      </c>
      <c r="N33" s="1" t="str">
        <f t="shared" si="0"/>
        <v>空白</v>
      </c>
    </row>
    <row r="34" spans="1:14">
      <c r="A34" s="573"/>
      <c r="B34" s="576"/>
      <c r="C34" s="47" t="s">
        <v>58</v>
      </c>
      <c r="D34" s="318" t="s">
        <v>2108</v>
      </c>
      <c r="E34" s="48">
        <v>3</v>
      </c>
      <c r="F34" s="9"/>
      <c r="G34" s="26"/>
      <c r="H34" s="27"/>
      <c r="I34" s="28"/>
      <c r="L34" s="1" t="str">
        <f t="shared" si="0"/>
        <v>空白</v>
      </c>
      <c r="M34" s="1" t="str">
        <f t="shared" si="0"/>
        <v>空白</v>
      </c>
      <c r="N34" s="1" t="str">
        <f t="shared" si="0"/>
        <v>空白</v>
      </c>
    </row>
    <row r="35" spans="1:14" ht="19.5">
      <c r="A35" s="573"/>
      <c r="B35" s="576"/>
      <c r="C35" s="25" t="s">
        <v>59</v>
      </c>
      <c r="D35" s="310" t="s">
        <v>2076</v>
      </c>
      <c r="E35" s="16">
        <v>3</v>
      </c>
      <c r="F35" s="9"/>
      <c r="G35" s="49" t="s">
        <v>60</v>
      </c>
      <c r="H35" s="50">
        <v>3</v>
      </c>
      <c r="I35" s="620" t="s">
        <v>61</v>
      </c>
      <c r="K35" s="2" t="s">
        <v>54</v>
      </c>
      <c r="L35" s="1" t="str">
        <f t="shared" si="0"/>
        <v>空白</v>
      </c>
      <c r="M35" s="1" t="str">
        <f t="shared" si="0"/>
        <v>對</v>
      </c>
      <c r="N35" s="1" t="str">
        <f t="shared" si="0"/>
        <v>對</v>
      </c>
    </row>
    <row r="36" spans="1:14" ht="19.5">
      <c r="A36" s="573"/>
      <c r="B36" s="576"/>
      <c r="C36" s="25" t="s">
        <v>62</v>
      </c>
      <c r="D36" s="310" t="s">
        <v>2077</v>
      </c>
      <c r="E36" s="16">
        <v>4</v>
      </c>
      <c r="F36" s="9"/>
      <c r="G36" s="49" t="s">
        <v>63</v>
      </c>
      <c r="H36" s="50">
        <v>4</v>
      </c>
      <c r="I36" s="621"/>
      <c r="K36" s="2" t="s">
        <v>54</v>
      </c>
      <c r="L36" s="1" t="str">
        <f t="shared" si="0"/>
        <v>空白</v>
      </c>
      <c r="M36" s="1" t="str">
        <f t="shared" si="0"/>
        <v>對</v>
      </c>
      <c r="N36" s="1" t="str">
        <f t="shared" si="0"/>
        <v>對</v>
      </c>
    </row>
    <row r="37" spans="1:14">
      <c r="A37" s="573"/>
      <c r="B37" s="576"/>
      <c r="C37" s="25" t="s">
        <v>64</v>
      </c>
      <c r="D37" s="310" t="s">
        <v>2109</v>
      </c>
      <c r="E37" s="16">
        <v>2</v>
      </c>
      <c r="F37" s="9"/>
      <c r="G37" s="26"/>
      <c r="H37" s="27"/>
      <c r="I37" s="28"/>
      <c r="L37" s="1" t="str">
        <f t="shared" si="0"/>
        <v>空白</v>
      </c>
      <c r="M37" s="1" t="str">
        <f t="shared" si="0"/>
        <v>空白</v>
      </c>
      <c r="N37" s="1" t="str">
        <f t="shared" si="0"/>
        <v>空白</v>
      </c>
    </row>
    <row r="38" spans="1:14">
      <c r="A38" s="573"/>
      <c r="B38" s="576"/>
      <c r="C38" s="25" t="s">
        <v>65</v>
      </c>
      <c r="D38" s="310" t="s">
        <v>2110</v>
      </c>
      <c r="E38" s="16">
        <v>3</v>
      </c>
      <c r="F38" s="9"/>
      <c r="G38" s="26"/>
      <c r="H38" s="27"/>
      <c r="I38" s="28"/>
      <c r="L38" s="1" t="str">
        <f t="shared" si="0"/>
        <v>空白</v>
      </c>
      <c r="M38" s="1" t="str">
        <f t="shared" si="0"/>
        <v>空白</v>
      </c>
      <c r="N38" s="1" t="str">
        <f t="shared" si="0"/>
        <v>空白</v>
      </c>
    </row>
    <row r="39" spans="1:14">
      <c r="A39" s="573"/>
      <c r="B39" s="576"/>
      <c r="C39" s="25" t="s">
        <v>66</v>
      </c>
      <c r="D39" s="310" t="s">
        <v>2111</v>
      </c>
      <c r="E39" s="16">
        <v>4</v>
      </c>
      <c r="F39" s="9"/>
      <c r="G39" s="26"/>
      <c r="H39" s="27"/>
      <c r="I39" s="28"/>
      <c r="L39" s="1" t="str">
        <f t="shared" si="0"/>
        <v>空白</v>
      </c>
      <c r="M39" s="1" t="str">
        <f>IF(ISBLANK(G39),"空白",IF(G39=D39,"對","錯"))</f>
        <v>空白</v>
      </c>
      <c r="N39" s="1" t="str">
        <f t="shared" si="0"/>
        <v>空白</v>
      </c>
    </row>
    <row r="40" spans="1:14">
      <c r="A40" s="573"/>
      <c r="B40" s="576"/>
      <c r="C40" s="25" t="s">
        <v>67</v>
      </c>
      <c r="D40" s="308" t="s">
        <v>2112</v>
      </c>
      <c r="E40" s="16">
        <v>1</v>
      </c>
      <c r="F40" s="9"/>
      <c r="G40" s="26"/>
      <c r="H40" s="27"/>
      <c r="I40" s="28"/>
      <c r="L40" s="1" t="str">
        <f t="shared" si="0"/>
        <v>空白</v>
      </c>
      <c r="M40" s="1" t="str">
        <f t="shared" si="0"/>
        <v>空白</v>
      </c>
      <c r="N40" s="1" t="str">
        <f t="shared" si="0"/>
        <v>空白</v>
      </c>
    </row>
    <row r="41" spans="1:14">
      <c r="A41" s="573"/>
      <c r="B41" s="576"/>
      <c r="C41" s="51" t="s">
        <v>68</v>
      </c>
      <c r="D41" s="319" t="s">
        <v>2113</v>
      </c>
      <c r="E41" s="52">
        <v>3</v>
      </c>
      <c r="F41" s="36"/>
      <c r="G41" s="53"/>
      <c r="H41" s="54"/>
      <c r="I41" s="55"/>
      <c r="L41" s="1" t="str">
        <f t="shared" si="0"/>
        <v>空白</v>
      </c>
      <c r="M41" s="1" t="str">
        <f t="shared" si="0"/>
        <v>空白</v>
      </c>
      <c r="N41" s="1" t="str">
        <f t="shared" si="0"/>
        <v>空白</v>
      </c>
    </row>
    <row r="42" spans="1:14">
      <c r="A42" s="573"/>
      <c r="B42" s="576"/>
      <c r="C42" s="25" t="s">
        <v>69</v>
      </c>
      <c r="D42" s="308" t="s">
        <v>2114</v>
      </c>
      <c r="E42" s="16">
        <v>3</v>
      </c>
      <c r="F42" s="42"/>
      <c r="G42" s="56"/>
      <c r="H42" s="57"/>
      <c r="I42" s="304"/>
      <c r="L42" s="1" t="str">
        <f t="shared" si="0"/>
        <v>空白</v>
      </c>
      <c r="M42" s="1" t="str">
        <f t="shared" si="0"/>
        <v>空白</v>
      </c>
      <c r="N42" s="1" t="str">
        <f t="shared" si="0"/>
        <v>空白</v>
      </c>
    </row>
    <row r="43" spans="1:14">
      <c r="A43" s="573"/>
      <c r="B43" s="576"/>
      <c r="C43" s="25" t="s">
        <v>70</v>
      </c>
      <c r="D43" s="308" t="s">
        <v>2115</v>
      </c>
      <c r="E43" s="16">
        <v>1</v>
      </c>
      <c r="F43" s="9"/>
      <c r="G43" s="26"/>
      <c r="H43" s="27"/>
      <c r="I43" s="28"/>
      <c r="L43" s="1" t="str">
        <f t="shared" si="0"/>
        <v>空白</v>
      </c>
      <c r="M43" s="1" t="str">
        <f t="shared" si="0"/>
        <v>空白</v>
      </c>
      <c r="N43" s="1" t="str">
        <f t="shared" si="0"/>
        <v>空白</v>
      </c>
    </row>
    <row r="44" spans="1:14">
      <c r="A44" s="573"/>
      <c r="B44" s="576"/>
      <c r="C44" s="25" t="s">
        <v>71</v>
      </c>
      <c r="D44" s="320" t="s">
        <v>2116</v>
      </c>
      <c r="E44" s="16">
        <v>2</v>
      </c>
      <c r="F44" s="9"/>
      <c r="G44" s="26"/>
      <c r="H44" s="27"/>
      <c r="I44" s="28"/>
      <c r="L44" s="1" t="str">
        <f t="shared" si="0"/>
        <v>空白</v>
      </c>
      <c r="M44" s="1" t="str">
        <f t="shared" si="0"/>
        <v>空白</v>
      </c>
      <c r="N44" s="1" t="str">
        <f t="shared" si="0"/>
        <v>空白</v>
      </c>
    </row>
    <row r="45" spans="1:14">
      <c r="A45" s="573"/>
      <c r="B45" s="576"/>
      <c r="C45" s="25" t="s">
        <v>72</v>
      </c>
      <c r="D45" s="308" t="s">
        <v>2117</v>
      </c>
      <c r="E45" s="16">
        <v>2</v>
      </c>
      <c r="F45" s="9"/>
      <c r="G45" s="26"/>
      <c r="H45" s="27"/>
      <c r="I45" s="28"/>
      <c r="L45" s="1" t="str">
        <f t="shared" si="0"/>
        <v>空白</v>
      </c>
      <c r="M45" s="1" t="str">
        <f t="shared" si="0"/>
        <v>空白</v>
      </c>
      <c r="N45" s="1" t="str">
        <f t="shared" si="0"/>
        <v>空白</v>
      </c>
    </row>
    <row r="46" spans="1:14" ht="39">
      <c r="A46" s="573"/>
      <c r="B46" s="576"/>
      <c r="C46" s="51" t="s">
        <v>73</v>
      </c>
      <c r="D46" s="321" t="s">
        <v>2078</v>
      </c>
      <c r="E46" s="16">
        <v>2</v>
      </c>
      <c r="F46" s="58"/>
      <c r="G46" s="59" t="s">
        <v>74</v>
      </c>
      <c r="H46" s="60">
        <v>2</v>
      </c>
      <c r="I46" s="61" t="s">
        <v>53</v>
      </c>
      <c r="K46" s="2" t="s">
        <v>35</v>
      </c>
      <c r="L46" s="1" t="str">
        <f t="shared" si="0"/>
        <v>空白</v>
      </c>
      <c r="M46" s="1" t="str">
        <f>IF(ISBLANK(G46),"空白",IF(G46=D46,"對","錯"))</f>
        <v>對</v>
      </c>
      <c r="N46" s="1" t="str">
        <f t="shared" si="0"/>
        <v>對</v>
      </c>
    </row>
    <row r="47" spans="1:14" ht="19.5">
      <c r="A47" s="573"/>
      <c r="B47" s="580" t="s">
        <v>75</v>
      </c>
      <c r="C47" s="22" t="s">
        <v>76</v>
      </c>
      <c r="D47" s="313" t="s">
        <v>2118</v>
      </c>
      <c r="E47" s="82" t="s">
        <v>2862</v>
      </c>
      <c r="F47" s="62"/>
      <c r="G47" s="10"/>
      <c r="H47" s="43"/>
      <c r="I47" s="304"/>
      <c r="L47" s="1" t="str">
        <f t="shared" si="0"/>
        <v>空白</v>
      </c>
      <c r="M47" s="1" t="str">
        <f t="shared" si="0"/>
        <v>空白</v>
      </c>
      <c r="N47" s="1" t="str">
        <f t="shared" si="0"/>
        <v>空白</v>
      </c>
    </row>
    <row r="48" spans="1:14" ht="19.5">
      <c r="A48" s="573"/>
      <c r="B48" s="576"/>
      <c r="C48" s="25" t="s">
        <v>77</v>
      </c>
      <c r="D48" s="310" t="s">
        <v>2119</v>
      </c>
      <c r="E48" s="83" t="s">
        <v>2862</v>
      </c>
      <c r="F48" s="30"/>
      <c r="G48" s="26"/>
      <c r="H48" s="27"/>
      <c r="I48" s="28"/>
      <c r="L48" s="1" t="str">
        <f t="shared" si="0"/>
        <v>空白</v>
      </c>
      <c r="M48" s="1" t="str">
        <f t="shared" si="0"/>
        <v>空白</v>
      </c>
      <c r="N48" s="1" t="str">
        <f t="shared" si="0"/>
        <v>空白</v>
      </c>
    </row>
    <row r="49" spans="1:14" ht="20.25" thickBot="1">
      <c r="A49" s="573"/>
      <c r="B49" s="576"/>
      <c r="C49" s="63" t="s">
        <v>78</v>
      </c>
      <c r="D49" s="322" t="s">
        <v>2120</v>
      </c>
      <c r="E49" s="83" t="s">
        <v>2862</v>
      </c>
      <c r="F49" s="64"/>
      <c r="G49" s="18"/>
      <c r="H49" s="19"/>
      <c r="I49" s="65"/>
      <c r="L49" s="1" t="str">
        <f t="shared" si="0"/>
        <v>空白</v>
      </c>
      <c r="M49" s="1" t="str">
        <f t="shared" si="0"/>
        <v>空白</v>
      </c>
      <c r="N49" s="1" t="str">
        <f t="shared" si="0"/>
        <v>空白</v>
      </c>
    </row>
    <row r="50" spans="1:14" ht="19.5" thickTop="1">
      <c r="A50" s="572" t="s">
        <v>79</v>
      </c>
      <c r="B50" s="575" t="s">
        <v>80</v>
      </c>
      <c r="C50" s="7" t="s">
        <v>81</v>
      </c>
      <c r="D50" s="311" t="s">
        <v>2121</v>
      </c>
      <c r="E50" s="8">
        <v>5</v>
      </c>
      <c r="F50" s="66"/>
      <c r="G50" s="24"/>
      <c r="H50" s="11"/>
      <c r="I50" s="304"/>
      <c r="L50" s="1" t="str">
        <f t="shared" si="0"/>
        <v>空白</v>
      </c>
      <c r="M50" s="1" t="str">
        <f t="shared" si="0"/>
        <v>空白</v>
      </c>
      <c r="N50" s="1" t="str">
        <f t="shared" si="0"/>
        <v>空白</v>
      </c>
    </row>
    <row r="51" spans="1:14">
      <c r="A51" s="573"/>
      <c r="B51" s="576"/>
      <c r="C51" s="25" t="s">
        <v>82</v>
      </c>
      <c r="D51" s="310" t="s">
        <v>2122</v>
      </c>
      <c r="E51" s="16">
        <v>5</v>
      </c>
      <c r="F51" s="9"/>
      <c r="G51" s="26"/>
      <c r="H51" s="27"/>
      <c r="I51" s="28"/>
      <c r="L51" s="1" t="str">
        <f t="shared" si="0"/>
        <v>空白</v>
      </c>
      <c r="M51" s="1" t="str">
        <f t="shared" si="0"/>
        <v>空白</v>
      </c>
      <c r="N51" s="1" t="str">
        <f t="shared" si="0"/>
        <v>空白</v>
      </c>
    </row>
    <row r="52" spans="1:14">
      <c r="A52" s="573"/>
      <c r="B52" s="576"/>
      <c r="C52" s="25" t="s">
        <v>83</v>
      </c>
      <c r="D52" s="310" t="s">
        <v>2123</v>
      </c>
      <c r="E52" s="16">
        <v>6</v>
      </c>
      <c r="F52" s="9"/>
      <c r="G52" s="26"/>
      <c r="H52" s="27"/>
      <c r="I52" s="28"/>
      <c r="L52" s="1" t="str">
        <f t="shared" si="0"/>
        <v>空白</v>
      </c>
      <c r="M52" s="1" t="str">
        <f>IF(ISBLANK(G52),"空白",IF(G52=D52,"對","錯"))</f>
        <v>空白</v>
      </c>
      <c r="N52" s="1" t="str">
        <f t="shared" si="0"/>
        <v>空白</v>
      </c>
    </row>
    <row r="53" spans="1:14">
      <c r="A53" s="573"/>
      <c r="B53" s="576"/>
      <c r="C53" s="25" t="s">
        <v>84</v>
      </c>
      <c r="D53" s="310" t="s">
        <v>2124</v>
      </c>
      <c r="E53" s="16">
        <v>6</v>
      </c>
      <c r="F53" s="9"/>
      <c r="G53" s="26"/>
      <c r="H53" s="27"/>
      <c r="I53" s="28"/>
      <c r="L53" s="1" t="str">
        <f t="shared" si="0"/>
        <v>空白</v>
      </c>
      <c r="M53" s="1" t="str">
        <f t="shared" si="0"/>
        <v>空白</v>
      </c>
      <c r="N53" s="1" t="str">
        <f t="shared" si="0"/>
        <v>空白</v>
      </c>
    </row>
    <row r="54" spans="1:14">
      <c r="A54" s="573"/>
      <c r="B54" s="576"/>
      <c r="C54" s="25" t="s">
        <v>85</v>
      </c>
      <c r="D54" s="310" t="s">
        <v>2125</v>
      </c>
      <c r="E54" s="16">
        <v>6</v>
      </c>
      <c r="F54" s="9"/>
      <c r="G54" s="26"/>
      <c r="H54" s="27"/>
      <c r="I54" s="28"/>
      <c r="L54" s="1" t="str">
        <f t="shared" si="0"/>
        <v>空白</v>
      </c>
      <c r="M54" s="1" t="str">
        <f t="shared" si="0"/>
        <v>空白</v>
      </c>
      <c r="N54" s="1" t="str">
        <f t="shared" si="0"/>
        <v>空白</v>
      </c>
    </row>
    <row r="55" spans="1:14">
      <c r="A55" s="573"/>
      <c r="B55" s="576"/>
      <c r="C55" s="25" t="s">
        <v>86</v>
      </c>
      <c r="D55" s="310" t="s">
        <v>2126</v>
      </c>
      <c r="E55" s="16">
        <v>6</v>
      </c>
      <c r="F55" s="9"/>
      <c r="G55" s="26"/>
      <c r="H55" s="27"/>
      <c r="I55" s="28"/>
      <c r="L55" s="1" t="str">
        <f t="shared" si="0"/>
        <v>空白</v>
      </c>
      <c r="M55" s="1" t="str">
        <f t="shared" si="0"/>
        <v>空白</v>
      </c>
      <c r="N55" s="1" t="str">
        <f t="shared" si="0"/>
        <v>空白</v>
      </c>
    </row>
    <row r="56" spans="1:14">
      <c r="A56" s="573"/>
      <c r="B56" s="576"/>
      <c r="C56" s="51" t="s">
        <v>87</v>
      </c>
      <c r="D56" s="323" t="s">
        <v>2127</v>
      </c>
      <c r="E56" s="67">
        <v>6</v>
      </c>
      <c r="F56" s="36"/>
      <c r="G56" s="53"/>
      <c r="H56" s="54"/>
      <c r="I56" s="55"/>
      <c r="L56" s="1" t="str">
        <f t="shared" si="0"/>
        <v>空白</v>
      </c>
      <c r="M56" s="1" t="str">
        <f t="shared" si="0"/>
        <v>空白</v>
      </c>
      <c r="N56" s="1" t="str">
        <f t="shared" si="0"/>
        <v>空白</v>
      </c>
    </row>
    <row r="57" spans="1:14">
      <c r="A57" s="573"/>
      <c r="B57" s="580" t="s">
        <v>88</v>
      </c>
      <c r="C57" s="22" t="s">
        <v>89</v>
      </c>
      <c r="D57" s="313" t="s">
        <v>2128</v>
      </c>
      <c r="E57" s="41">
        <v>2</v>
      </c>
      <c r="F57" s="42"/>
      <c r="G57" s="10"/>
      <c r="H57" s="43"/>
      <c r="I57" s="304"/>
      <c r="L57" s="1" t="str">
        <f t="shared" si="0"/>
        <v>空白</v>
      </c>
      <c r="M57" s="1" t="str">
        <f t="shared" si="0"/>
        <v>空白</v>
      </c>
      <c r="N57" s="1" t="str">
        <f t="shared" si="0"/>
        <v>空白</v>
      </c>
    </row>
    <row r="58" spans="1:14">
      <c r="A58" s="573"/>
      <c r="B58" s="576"/>
      <c r="C58" s="25" t="s">
        <v>90</v>
      </c>
      <c r="D58" s="310" t="s">
        <v>2121</v>
      </c>
      <c r="E58" s="16">
        <v>3</v>
      </c>
      <c r="F58" s="9"/>
      <c r="G58" s="26"/>
      <c r="H58" s="27"/>
      <c r="I58" s="28"/>
      <c r="L58" s="1" t="str">
        <f t="shared" si="0"/>
        <v>空白</v>
      </c>
      <c r="M58" s="1" t="str">
        <f t="shared" si="0"/>
        <v>空白</v>
      </c>
      <c r="N58" s="1" t="str">
        <f t="shared" si="0"/>
        <v>空白</v>
      </c>
    </row>
    <row r="59" spans="1:14">
      <c r="A59" s="573"/>
      <c r="B59" s="576"/>
      <c r="C59" s="25" t="s">
        <v>91</v>
      </c>
      <c r="D59" s="310" t="s">
        <v>2129</v>
      </c>
      <c r="E59" s="16">
        <v>3</v>
      </c>
      <c r="F59" s="9"/>
      <c r="G59" s="26"/>
      <c r="H59" s="27"/>
      <c r="I59" s="28"/>
      <c r="L59" s="1" t="str">
        <f t="shared" si="0"/>
        <v>空白</v>
      </c>
      <c r="M59" s="1" t="str">
        <f t="shared" si="0"/>
        <v>空白</v>
      </c>
      <c r="N59" s="1" t="str">
        <f t="shared" si="0"/>
        <v>空白</v>
      </c>
    </row>
    <row r="60" spans="1:14">
      <c r="A60" s="573"/>
      <c r="B60" s="576"/>
      <c r="C60" s="25" t="s">
        <v>92</v>
      </c>
      <c r="D60" s="310" t="s">
        <v>2130</v>
      </c>
      <c r="E60" s="16">
        <v>3</v>
      </c>
      <c r="F60" s="9"/>
      <c r="G60" s="26"/>
      <c r="H60" s="27"/>
      <c r="I60" s="28"/>
      <c r="L60" s="1" t="str">
        <f t="shared" si="0"/>
        <v>空白</v>
      </c>
      <c r="M60" s="1" t="str">
        <f t="shared" si="0"/>
        <v>空白</v>
      </c>
      <c r="N60" s="1" t="str">
        <f t="shared" si="0"/>
        <v>空白</v>
      </c>
    </row>
    <row r="61" spans="1:14">
      <c r="A61" s="573"/>
      <c r="B61" s="576"/>
      <c r="C61" s="25" t="s">
        <v>93</v>
      </c>
      <c r="D61" s="310" t="s">
        <v>2131</v>
      </c>
      <c r="E61" s="16">
        <v>3</v>
      </c>
      <c r="F61" s="9"/>
      <c r="G61" s="26"/>
      <c r="H61" s="27"/>
      <c r="I61" s="28"/>
      <c r="L61" s="1" t="str">
        <f t="shared" si="0"/>
        <v>空白</v>
      </c>
      <c r="M61" s="1" t="str">
        <f t="shared" si="0"/>
        <v>空白</v>
      </c>
      <c r="N61" s="1" t="str">
        <f t="shared" si="0"/>
        <v>空白</v>
      </c>
    </row>
    <row r="62" spans="1:14">
      <c r="A62" s="573"/>
      <c r="B62" s="576"/>
      <c r="C62" s="25" t="s">
        <v>94</v>
      </c>
      <c r="D62" s="310" t="s">
        <v>2132</v>
      </c>
      <c r="E62" s="16">
        <v>3</v>
      </c>
      <c r="F62" s="9"/>
      <c r="G62" s="18"/>
      <c r="H62" s="27"/>
      <c r="I62" s="28"/>
      <c r="L62" s="1" t="str">
        <f t="shared" si="0"/>
        <v>空白</v>
      </c>
      <c r="M62" s="1" t="str">
        <f t="shared" si="0"/>
        <v>空白</v>
      </c>
      <c r="N62" s="1" t="str">
        <f t="shared" si="0"/>
        <v>空白</v>
      </c>
    </row>
    <row r="63" spans="1:14">
      <c r="A63" s="573"/>
      <c r="B63" s="576"/>
      <c r="C63" s="25" t="s">
        <v>95</v>
      </c>
      <c r="D63" s="310" t="s">
        <v>2124</v>
      </c>
      <c r="E63" s="16">
        <v>5</v>
      </c>
      <c r="F63" s="9"/>
      <c r="G63" s="68"/>
      <c r="H63" s="27"/>
      <c r="I63" s="28"/>
      <c r="L63" s="1" t="str">
        <f t="shared" si="0"/>
        <v>空白</v>
      </c>
      <c r="M63" s="1" t="str">
        <f t="shared" si="0"/>
        <v>空白</v>
      </c>
      <c r="N63" s="1" t="str">
        <f t="shared" si="0"/>
        <v>空白</v>
      </c>
    </row>
    <row r="64" spans="1:14">
      <c r="A64" s="573"/>
      <c r="B64" s="576"/>
      <c r="C64" s="25" t="s">
        <v>96</v>
      </c>
      <c r="D64" s="310" t="s">
        <v>2133</v>
      </c>
      <c r="E64" s="16">
        <v>4</v>
      </c>
      <c r="F64" s="9"/>
      <c r="G64" s="68"/>
      <c r="H64" s="27"/>
      <c r="I64" s="28"/>
      <c r="L64" s="1" t="str">
        <f t="shared" si="0"/>
        <v>空白</v>
      </c>
      <c r="M64" s="1" t="str">
        <f t="shared" si="0"/>
        <v>空白</v>
      </c>
      <c r="N64" s="1" t="str">
        <f t="shared" si="0"/>
        <v>空白</v>
      </c>
    </row>
    <row r="65" spans="1:14">
      <c r="A65" s="573"/>
      <c r="B65" s="576"/>
      <c r="C65" s="25" t="s">
        <v>97</v>
      </c>
      <c r="D65" s="310" t="s">
        <v>2134</v>
      </c>
      <c r="E65" s="16">
        <v>4</v>
      </c>
      <c r="F65" s="9"/>
      <c r="G65" s="68"/>
      <c r="H65" s="27"/>
      <c r="I65" s="28"/>
      <c r="L65" s="1" t="str">
        <f t="shared" si="0"/>
        <v>空白</v>
      </c>
      <c r="M65" s="1" t="str">
        <f>IF(ISBLANK(G65),"空白",IF(G65=D65,"對","錯"))</f>
        <v>空白</v>
      </c>
      <c r="N65" s="1" t="str">
        <f t="shared" si="0"/>
        <v>空白</v>
      </c>
    </row>
    <row r="66" spans="1:14">
      <c r="A66" s="573"/>
      <c r="B66" s="576"/>
      <c r="C66" s="25" t="s">
        <v>98</v>
      </c>
      <c r="D66" s="310" t="s">
        <v>2135</v>
      </c>
      <c r="E66" s="16">
        <v>5</v>
      </c>
      <c r="F66" s="9"/>
      <c r="G66" s="69"/>
      <c r="H66" s="27"/>
      <c r="I66" s="28"/>
      <c r="L66" s="1" t="str">
        <f t="shared" si="0"/>
        <v>空白</v>
      </c>
      <c r="M66" s="1" t="str">
        <f t="shared" si="0"/>
        <v>空白</v>
      </c>
      <c r="N66" s="1" t="str">
        <f t="shared" si="0"/>
        <v>空白</v>
      </c>
    </row>
    <row r="67" spans="1:14">
      <c r="A67" s="573"/>
      <c r="B67" s="576"/>
      <c r="C67" s="25" t="s">
        <v>99</v>
      </c>
      <c r="D67" s="310" t="s">
        <v>2136</v>
      </c>
      <c r="E67" s="16">
        <v>3</v>
      </c>
      <c r="F67" s="9"/>
      <c r="G67" s="70"/>
      <c r="H67" s="27"/>
      <c r="I67" s="28"/>
      <c r="L67" s="1" t="str">
        <f t="shared" si="0"/>
        <v>空白</v>
      </c>
      <c r="M67" s="1" t="str">
        <f t="shared" si="0"/>
        <v>空白</v>
      </c>
      <c r="N67" s="1" t="str">
        <f t="shared" si="0"/>
        <v>空白</v>
      </c>
    </row>
    <row r="68" spans="1:14">
      <c r="A68" s="573"/>
      <c r="B68" s="576"/>
      <c r="C68" s="25" t="s">
        <v>100</v>
      </c>
      <c r="D68" s="310" t="s">
        <v>2137</v>
      </c>
      <c r="E68" s="16">
        <v>4</v>
      </c>
      <c r="F68" s="9"/>
      <c r="G68" s="68"/>
      <c r="H68" s="27"/>
      <c r="I68" s="28"/>
      <c r="L68" s="1" t="str">
        <f t="shared" si="0"/>
        <v>空白</v>
      </c>
      <c r="M68" s="1" t="str">
        <f t="shared" si="0"/>
        <v>空白</v>
      </c>
      <c r="N68" s="1" t="str">
        <f t="shared" si="0"/>
        <v>空白</v>
      </c>
    </row>
    <row r="69" spans="1:14">
      <c r="A69" s="573"/>
      <c r="B69" s="576"/>
      <c r="C69" s="25" t="s">
        <v>101</v>
      </c>
      <c r="D69" s="310" t="s">
        <v>2138</v>
      </c>
      <c r="E69" s="16">
        <v>2</v>
      </c>
      <c r="F69" s="9"/>
      <c r="G69" s="26"/>
      <c r="H69" s="27"/>
      <c r="I69" s="28"/>
      <c r="L69" s="1" t="str">
        <f t="shared" si="0"/>
        <v>空白</v>
      </c>
      <c r="M69" s="1" t="str">
        <f t="shared" si="0"/>
        <v>空白</v>
      </c>
      <c r="N69" s="1" t="str">
        <f t="shared" si="0"/>
        <v>空白</v>
      </c>
    </row>
    <row r="70" spans="1:14">
      <c r="A70" s="573"/>
      <c r="B70" s="576"/>
      <c r="C70" s="63" t="s">
        <v>102</v>
      </c>
      <c r="D70" s="324" t="s">
        <v>2139</v>
      </c>
      <c r="E70" s="52">
        <v>3</v>
      </c>
      <c r="F70" s="36"/>
      <c r="G70" s="53"/>
      <c r="H70" s="54"/>
      <c r="I70" s="55"/>
      <c r="L70" s="1" t="str">
        <f t="shared" ref="L70:N133" si="2">IF(ISBLANK(F70),"空白",IF(F70=C70,"對","錯"))</f>
        <v>空白</v>
      </c>
      <c r="M70" s="1" t="str">
        <f t="shared" si="2"/>
        <v>空白</v>
      </c>
      <c r="N70" s="1" t="str">
        <f t="shared" si="2"/>
        <v>空白</v>
      </c>
    </row>
    <row r="71" spans="1:14">
      <c r="A71" s="573"/>
      <c r="B71" s="580" t="s">
        <v>103</v>
      </c>
      <c r="C71" s="71" t="s">
        <v>104</v>
      </c>
      <c r="D71" s="325" t="s">
        <v>2140</v>
      </c>
      <c r="E71" s="48">
        <v>3</v>
      </c>
      <c r="F71" s="42"/>
      <c r="G71" s="70"/>
      <c r="H71" s="43"/>
      <c r="I71" s="304"/>
      <c r="L71" s="1" t="str">
        <f t="shared" si="2"/>
        <v>空白</v>
      </c>
      <c r="M71" s="1" t="str">
        <f t="shared" si="2"/>
        <v>空白</v>
      </c>
      <c r="N71" s="1" t="str">
        <f t="shared" si="2"/>
        <v>空白</v>
      </c>
    </row>
    <row r="72" spans="1:14">
      <c r="A72" s="573"/>
      <c r="B72" s="576"/>
      <c r="C72" s="25" t="s">
        <v>105</v>
      </c>
      <c r="D72" s="310" t="s">
        <v>2141</v>
      </c>
      <c r="E72" s="16">
        <v>4</v>
      </c>
      <c r="F72" s="9"/>
      <c r="G72" s="68"/>
      <c r="H72" s="27"/>
      <c r="I72" s="28"/>
      <c r="L72" s="1" t="str">
        <f t="shared" si="2"/>
        <v>空白</v>
      </c>
      <c r="M72" s="1" t="str">
        <f t="shared" si="2"/>
        <v>空白</v>
      </c>
      <c r="N72" s="1" t="str">
        <f t="shared" si="2"/>
        <v>空白</v>
      </c>
    </row>
    <row r="73" spans="1:14">
      <c r="A73" s="573"/>
      <c r="B73" s="576"/>
      <c r="C73" s="25" t="s">
        <v>106</v>
      </c>
      <c r="D73" s="310" t="s">
        <v>2142</v>
      </c>
      <c r="E73" s="16">
        <v>4</v>
      </c>
      <c r="F73" s="9"/>
      <c r="G73" s="26"/>
      <c r="H73" s="27"/>
      <c r="I73" s="28"/>
      <c r="L73" s="1" t="str">
        <f t="shared" si="2"/>
        <v>空白</v>
      </c>
      <c r="M73" s="1" t="str">
        <f t="shared" si="2"/>
        <v>空白</v>
      </c>
      <c r="N73" s="1" t="str">
        <f t="shared" si="2"/>
        <v>空白</v>
      </c>
    </row>
    <row r="74" spans="1:14">
      <c r="A74" s="573"/>
      <c r="B74" s="576"/>
      <c r="C74" s="25" t="s">
        <v>107</v>
      </c>
      <c r="D74" s="310" t="s">
        <v>2143</v>
      </c>
      <c r="E74" s="16">
        <v>6</v>
      </c>
      <c r="F74" s="9"/>
      <c r="G74" s="18"/>
      <c r="H74" s="27"/>
      <c r="I74" s="28"/>
      <c r="L74" s="1" t="str">
        <f t="shared" si="2"/>
        <v>空白</v>
      </c>
      <c r="M74" s="1" t="str">
        <f t="shared" si="2"/>
        <v>空白</v>
      </c>
      <c r="N74" s="1" t="str">
        <f t="shared" si="2"/>
        <v>空白</v>
      </c>
    </row>
    <row r="75" spans="1:14">
      <c r="A75" s="573"/>
      <c r="B75" s="576"/>
      <c r="C75" s="25" t="s">
        <v>108</v>
      </c>
      <c r="D75" s="310" t="s">
        <v>2144</v>
      </c>
      <c r="E75" s="16">
        <v>2</v>
      </c>
      <c r="F75" s="9"/>
      <c r="G75" s="69"/>
      <c r="H75" s="27"/>
      <c r="I75" s="28"/>
      <c r="L75" s="1" t="str">
        <f t="shared" si="2"/>
        <v>空白</v>
      </c>
      <c r="M75" s="1" t="str">
        <f t="shared" si="2"/>
        <v>空白</v>
      </c>
      <c r="N75" s="1" t="str">
        <f t="shared" si="2"/>
        <v>空白</v>
      </c>
    </row>
    <row r="76" spans="1:14">
      <c r="A76" s="573"/>
      <c r="B76" s="576"/>
      <c r="C76" s="25" t="s">
        <v>109</v>
      </c>
      <c r="D76" s="310" t="s">
        <v>2145</v>
      </c>
      <c r="E76" s="16">
        <v>1</v>
      </c>
      <c r="F76" s="9"/>
      <c r="G76" s="10"/>
      <c r="H76" s="27"/>
      <c r="I76" s="28"/>
      <c r="L76" s="1" t="str">
        <f t="shared" si="2"/>
        <v>空白</v>
      </c>
      <c r="M76" s="1" t="str">
        <f t="shared" si="2"/>
        <v>空白</v>
      </c>
      <c r="N76" s="1" t="str">
        <f t="shared" si="2"/>
        <v>空白</v>
      </c>
    </row>
    <row r="77" spans="1:14">
      <c r="A77" s="573"/>
      <c r="B77" s="576"/>
      <c r="C77" s="25" t="s">
        <v>110</v>
      </c>
      <c r="D77" s="308" t="s">
        <v>2146</v>
      </c>
      <c r="E77" s="16">
        <v>6</v>
      </c>
      <c r="F77" s="9"/>
      <c r="G77" s="26"/>
      <c r="H77" s="27"/>
      <c r="I77" s="28"/>
      <c r="L77" s="1" t="str">
        <f t="shared" si="2"/>
        <v>空白</v>
      </c>
      <c r="M77" s="1" t="str">
        <f t="shared" si="2"/>
        <v>空白</v>
      </c>
      <c r="N77" s="1" t="str">
        <f t="shared" si="2"/>
        <v>空白</v>
      </c>
    </row>
    <row r="78" spans="1:14" ht="19.5">
      <c r="A78" s="573"/>
      <c r="B78" s="576"/>
      <c r="C78" s="72" t="s">
        <v>111</v>
      </c>
      <c r="D78" s="326" t="s">
        <v>2858</v>
      </c>
      <c r="E78" s="67">
        <v>2</v>
      </c>
      <c r="F78" s="9"/>
      <c r="G78" s="31" t="s">
        <v>112</v>
      </c>
      <c r="H78" s="73">
        <v>2</v>
      </c>
      <c r="I78" s="622" t="s">
        <v>113</v>
      </c>
      <c r="K78" s="2" t="s">
        <v>13</v>
      </c>
      <c r="L78" s="1" t="str">
        <f t="shared" si="2"/>
        <v>空白</v>
      </c>
      <c r="M78" s="1" t="str">
        <f t="shared" si="2"/>
        <v>對</v>
      </c>
      <c r="N78" s="1" t="str">
        <f t="shared" si="2"/>
        <v>對</v>
      </c>
    </row>
    <row r="79" spans="1:14" ht="20.25" thickBot="1">
      <c r="A79" s="574"/>
      <c r="B79" s="582"/>
      <c r="C79" s="372" t="s">
        <v>2860</v>
      </c>
      <c r="D79" s="413" t="s">
        <v>2859</v>
      </c>
      <c r="E79" s="139">
        <v>1</v>
      </c>
      <c r="F79" s="36" t="s">
        <v>114</v>
      </c>
      <c r="G79" s="74" t="s">
        <v>115</v>
      </c>
      <c r="H79" s="75">
        <v>1</v>
      </c>
      <c r="I79" s="623"/>
      <c r="K79" s="2" t="s">
        <v>116</v>
      </c>
      <c r="L79" s="1" t="str">
        <f t="shared" si="2"/>
        <v>對</v>
      </c>
      <c r="M79" s="1" t="str">
        <f t="shared" si="2"/>
        <v>對</v>
      </c>
      <c r="N79" s="1" t="str">
        <f t="shared" si="2"/>
        <v>對</v>
      </c>
    </row>
    <row r="80" spans="1:14" ht="39.75" thickTop="1">
      <c r="A80" s="572" t="s">
        <v>117</v>
      </c>
      <c r="B80" s="76" t="s">
        <v>118</v>
      </c>
      <c r="C80" s="77" t="s">
        <v>119</v>
      </c>
      <c r="D80" s="327" t="s">
        <v>2148</v>
      </c>
      <c r="E80" s="78" t="s">
        <v>120</v>
      </c>
      <c r="F80" s="79"/>
      <c r="G80" s="80"/>
      <c r="H80" s="81"/>
      <c r="I80" s="302"/>
      <c r="L80" s="1" t="str">
        <f t="shared" si="2"/>
        <v>空白</v>
      </c>
      <c r="M80" s="1" t="str">
        <f>IF(ISBLANK(G80),"空白",IF(G80=D80,"對","錯"))</f>
        <v>空白</v>
      </c>
      <c r="N80" s="1" t="str">
        <f t="shared" si="2"/>
        <v>空白</v>
      </c>
    </row>
    <row r="81" spans="1:14">
      <c r="A81" s="573"/>
      <c r="B81" s="580" t="s">
        <v>121</v>
      </c>
      <c r="C81" s="71" t="s">
        <v>122</v>
      </c>
      <c r="D81" s="325" t="s">
        <v>2149</v>
      </c>
      <c r="E81" s="82" t="s">
        <v>123</v>
      </c>
      <c r="F81" s="30"/>
      <c r="G81" s="26"/>
      <c r="H81" s="50"/>
      <c r="I81" s="28"/>
      <c r="L81" s="1" t="str">
        <f t="shared" si="2"/>
        <v>空白</v>
      </c>
      <c r="M81" s="1" t="str">
        <f t="shared" si="2"/>
        <v>空白</v>
      </c>
      <c r="N81" s="1" t="str">
        <f t="shared" si="2"/>
        <v>空白</v>
      </c>
    </row>
    <row r="82" spans="1:14">
      <c r="A82" s="573"/>
      <c r="B82" s="576"/>
      <c r="C82" s="25" t="s">
        <v>124</v>
      </c>
      <c r="D82" s="310" t="s">
        <v>2150</v>
      </c>
      <c r="E82" s="29">
        <v>2</v>
      </c>
      <c r="F82" s="30"/>
      <c r="G82" s="26"/>
      <c r="H82" s="27"/>
      <c r="I82" s="28"/>
      <c r="L82" s="1" t="str">
        <f t="shared" si="2"/>
        <v>空白</v>
      </c>
      <c r="M82" s="1" t="str">
        <f t="shared" si="2"/>
        <v>空白</v>
      </c>
      <c r="N82" s="1" t="str">
        <f t="shared" si="2"/>
        <v>空白</v>
      </c>
    </row>
    <row r="83" spans="1:14">
      <c r="A83" s="573"/>
      <c r="B83" s="576"/>
      <c r="C83" s="25" t="s">
        <v>125</v>
      </c>
      <c r="D83" s="310" t="s">
        <v>2151</v>
      </c>
      <c r="E83" s="29">
        <v>2</v>
      </c>
      <c r="F83" s="30"/>
      <c r="G83" s="26"/>
      <c r="H83" s="27"/>
      <c r="I83" s="28"/>
      <c r="L83" s="1" t="str">
        <f t="shared" si="2"/>
        <v>空白</v>
      </c>
      <c r="M83" s="1" t="str">
        <f t="shared" si="2"/>
        <v>空白</v>
      </c>
      <c r="N83" s="1" t="str">
        <f t="shared" si="2"/>
        <v>空白</v>
      </c>
    </row>
    <row r="84" spans="1:14">
      <c r="A84" s="573"/>
      <c r="B84" s="576"/>
      <c r="C84" s="25" t="s">
        <v>126</v>
      </c>
      <c r="D84" s="310" t="s">
        <v>2152</v>
      </c>
      <c r="E84" s="83" t="s">
        <v>127</v>
      </c>
      <c r="F84" s="30"/>
      <c r="G84" s="26"/>
      <c r="H84" s="27"/>
      <c r="I84" s="28"/>
      <c r="L84" s="1" t="str">
        <f t="shared" si="2"/>
        <v>空白</v>
      </c>
      <c r="M84" s="1" t="str">
        <f t="shared" si="2"/>
        <v>空白</v>
      </c>
      <c r="N84" s="1" t="str">
        <f t="shared" si="2"/>
        <v>空白</v>
      </c>
    </row>
    <row r="85" spans="1:14">
      <c r="A85" s="573"/>
      <c r="B85" s="576"/>
      <c r="C85" s="25" t="s">
        <v>128</v>
      </c>
      <c r="D85" s="310" t="s">
        <v>2153</v>
      </c>
      <c r="E85" s="83" t="s">
        <v>129</v>
      </c>
      <c r="F85" s="30"/>
      <c r="G85" s="26"/>
      <c r="H85" s="27"/>
      <c r="I85" s="28"/>
      <c r="L85" s="1" t="str">
        <f t="shared" si="2"/>
        <v>空白</v>
      </c>
      <c r="M85" s="1" t="str">
        <f t="shared" si="2"/>
        <v>空白</v>
      </c>
      <c r="N85" s="1" t="str">
        <f t="shared" si="2"/>
        <v>空白</v>
      </c>
    </row>
    <row r="86" spans="1:14">
      <c r="A86" s="573"/>
      <c r="B86" s="576"/>
      <c r="C86" s="51" t="s">
        <v>130</v>
      </c>
      <c r="D86" s="323" t="s">
        <v>2154</v>
      </c>
      <c r="E86" s="84" t="s">
        <v>127</v>
      </c>
      <c r="F86" s="64"/>
      <c r="G86" s="53"/>
      <c r="H86" s="19"/>
      <c r="I86" s="305"/>
      <c r="L86" s="1" t="str">
        <f t="shared" si="2"/>
        <v>空白</v>
      </c>
      <c r="M86" s="1" t="str">
        <f t="shared" si="2"/>
        <v>空白</v>
      </c>
      <c r="N86" s="1" t="str">
        <f t="shared" si="2"/>
        <v>空白</v>
      </c>
    </row>
    <row r="87" spans="1:14" ht="19.5">
      <c r="A87" s="573"/>
      <c r="B87" s="580" t="s">
        <v>131</v>
      </c>
      <c r="C87" s="77" t="s">
        <v>132</v>
      </c>
      <c r="D87" s="328" t="s">
        <v>2863</v>
      </c>
      <c r="E87" s="82" t="s">
        <v>133</v>
      </c>
      <c r="F87" s="85"/>
      <c r="G87" s="10" t="s">
        <v>134</v>
      </c>
      <c r="H87" s="86">
        <v>6</v>
      </c>
      <c r="I87" s="618" t="s">
        <v>135</v>
      </c>
      <c r="K87" s="2" t="s">
        <v>13</v>
      </c>
      <c r="L87" s="1" t="str">
        <f t="shared" si="2"/>
        <v>空白</v>
      </c>
      <c r="M87" s="1" t="str">
        <f t="shared" si="2"/>
        <v>錯</v>
      </c>
      <c r="N87" s="1" t="str">
        <f t="shared" si="2"/>
        <v>錯</v>
      </c>
    </row>
    <row r="88" spans="1:14" ht="19.5">
      <c r="A88" s="573"/>
      <c r="B88" s="583"/>
      <c r="C88" s="386" t="s">
        <v>2864</v>
      </c>
      <c r="D88" s="387" t="s">
        <v>2865</v>
      </c>
      <c r="E88" s="434" t="s">
        <v>120</v>
      </c>
      <c r="F88" s="64" t="s">
        <v>136</v>
      </c>
      <c r="G88" s="87" t="s">
        <v>137</v>
      </c>
      <c r="H88" s="75" t="s">
        <v>138</v>
      </c>
      <c r="I88" s="619"/>
      <c r="K88" s="2" t="s">
        <v>116</v>
      </c>
      <c r="L88" s="1" t="str">
        <f t="shared" si="2"/>
        <v>對</v>
      </c>
      <c r="M88" s="1" t="str">
        <f t="shared" si="2"/>
        <v>對</v>
      </c>
      <c r="N88" s="1" t="str">
        <f t="shared" si="2"/>
        <v>對</v>
      </c>
    </row>
    <row r="89" spans="1:14">
      <c r="A89" s="573"/>
      <c r="B89" s="580" t="s">
        <v>139</v>
      </c>
      <c r="C89" s="71" t="s">
        <v>140</v>
      </c>
      <c r="D89" s="325" t="s">
        <v>2155</v>
      </c>
      <c r="E89" s="82" t="s">
        <v>127</v>
      </c>
      <c r="F89" s="85"/>
      <c r="G89" s="88"/>
      <c r="H89" s="89"/>
      <c r="I89" s="304"/>
      <c r="L89" s="1" t="str">
        <f t="shared" si="2"/>
        <v>空白</v>
      </c>
      <c r="M89" s="1" t="str">
        <f t="shared" si="2"/>
        <v>空白</v>
      </c>
      <c r="N89" s="1" t="str">
        <f t="shared" si="2"/>
        <v>空白</v>
      </c>
    </row>
    <row r="90" spans="1:14">
      <c r="A90" s="573"/>
      <c r="B90" s="576"/>
      <c r="C90" s="25" t="s">
        <v>141</v>
      </c>
      <c r="D90" s="308" t="s">
        <v>2156</v>
      </c>
      <c r="E90" s="83" t="s">
        <v>133</v>
      </c>
      <c r="F90" s="30"/>
      <c r="G90" s="90"/>
      <c r="H90" s="27"/>
      <c r="I90" s="28"/>
      <c r="L90" s="1" t="str">
        <f t="shared" si="2"/>
        <v>空白</v>
      </c>
      <c r="M90" s="1" t="str">
        <f t="shared" si="2"/>
        <v>空白</v>
      </c>
      <c r="N90" s="1" t="str">
        <f t="shared" si="2"/>
        <v>空白</v>
      </c>
    </row>
    <row r="91" spans="1:14">
      <c r="A91" s="573"/>
      <c r="B91" s="576"/>
      <c r="C91" s="25" t="s">
        <v>142</v>
      </c>
      <c r="D91" s="310" t="s">
        <v>2157</v>
      </c>
      <c r="E91" s="83" t="s">
        <v>127</v>
      </c>
      <c r="F91" s="30"/>
      <c r="G91" s="68"/>
      <c r="H91" s="27"/>
      <c r="I91" s="28"/>
      <c r="L91" s="1" t="str">
        <f t="shared" si="2"/>
        <v>空白</v>
      </c>
      <c r="M91" s="1" t="str">
        <f t="shared" si="2"/>
        <v>空白</v>
      </c>
      <c r="N91" s="1" t="str">
        <f t="shared" si="2"/>
        <v>空白</v>
      </c>
    </row>
    <row r="92" spans="1:14">
      <c r="A92" s="573"/>
      <c r="B92" s="576"/>
      <c r="C92" s="25" t="s">
        <v>143</v>
      </c>
      <c r="D92" s="308" t="s">
        <v>2158</v>
      </c>
      <c r="E92" s="29">
        <v>2</v>
      </c>
      <c r="F92" s="30"/>
      <c r="G92" s="26"/>
      <c r="H92" s="27"/>
      <c r="I92" s="28"/>
      <c r="L92" s="1" t="str">
        <f t="shared" si="2"/>
        <v>空白</v>
      </c>
      <c r="M92" s="1" t="str">
        <f t="shared" si="2"/>
        <v>空白</v>
      </c>
      <c r="N92" s="1" t="str">
        <f t="shared" si="2"/>
        <v>空白</v>
      </c>
    </row>
    <row r="93" spans="1:14" ht="19.5">
      <c r="A93" s="573"/>
      <c r="B93" s="576"/>
      <c r="C93" s="25" t="s">
        <v>144</v>
      </c>
      <c r="D93" s="308" t="s">
        <v>2159</v>
      </c>
      <c r="E93" s="29" t="s">
        <v>120</v>
      </c>
      <c r="F93" s="30"/>
      <c r="G93" s="26"/>
      <c r="H93" s="27"/>
      <c r="I93" s="28"/>
      <c r="L93" s="1" t="str">
        <f t="shared" si="2"/>
        <v>空白</v>
      </c>
      <c r="M93" s="1" t="str">
        <f t="shared" si="2"/>
        <v>空白</v>
      </c>
      <c r="N93" s="1" t="str">
        <f t="shared" si="2"/>
        <v>空白</v>
      </c>
    </row>
    <row r="94" spans="1:14">
      <c r="A94" s="573"/>
      <c r="B94" s="576"/>
      <c r="C94" s="25" t="s">
        <v>145</v>
      </c>
      <c r="D94" s="308" t="s">
        <v>2160</v>
      </c>
      <c r="E94" s="29">
        <v>4</v>
      </c>
      <c r="F94" s="30"/>
      <c r="G94" s="91"/>
      <c r="H94" s="27"/>
      <c r="I94" s="28"/>
      <c r="L94" s="1" t="str">
        <f t="shared" si="2"/>
        <v>空白</v>
      </c>
      <c r="M94" s="1" t="str">
        <f>IF(ISBLANK(G94),"空白",IF(G94=D94,"對","錯"))</f>
        <v>空白</v>
      </c>
      <c r="N94" s="1" t="str">
        <f t="shared" si="2"/>
        <v>空白</v>
      </c>
    </row>
    <row r="95" spans="1:14">
      <c r="A95" s="573"/>
      <c r="B95" s="576"/>
      <c r="C95" s="25" t="s">
        <v>146</v>
      </c>
      <c r="D95" s="308" t="s">
        <v>2161</v>
      </c>
      <c r="E95" s="83" t="s">
        <v>127</v>
      </c>
      <c r="F95" s="30"/>
      <c r="G95" s="92"/>
      <c r="H95" s="27"/>
      <c r="I95" s="28"/>
      <c r="L95" s="1" t="str">
        <f t="shared" si="2"/>
        <v>空白</v>
      </c>
      <c r="M95" s="1" t="str">
        <f t="shared" si="2"/>
        <v>空白</v>
      </c>
      <c r="N95" s="1" t="str">
        <f t="shared" si="2"/>
        <v>空白</v>
      </c>
    </row>
    <row r="96" spans="1:14">
      <c r="A96" s="573"/>
      <c r="B96" s="581"/>
      <c r="C96" s="51" t="s">
        <v>147</v>
      </c>
      <c r="D96" s="319" t="s">
        <v>2162</v>
      </c>
      <c r="E96" s="93">
        <v>4</v>
      </c>
      <c r="F96" s="64"/>
      <c r="G96" s="70"/>
      <c r="H96" s="19"/>
      <c r="I96" s="55"/>
      <c r="L96" s="1" t="str">
        <f t="shared" si="2"/>
        <v>空白</v>
      </c>
      <c r="M96" s="1" t="str">
        <f t="shared" si="2"/>
        <v>空白</v>
      </c>
      <c r="N96" s="1" t="str">
        <f t="shared" si="2"/>
        <v>空白</v>
      </c>
    </row>
    <row r="97" spans="1:14">
      <c r="A97" s="573"/>
      <c r="B97" s="580" t="s">
        <v>148</v>
      </c>
      <c r="C97" s="22" t="s">
        <v>149</v>
      </c>
      <c r="D97" s="313" t="s">
        <v>2163</v>
      </c>
      <c r="E97" s="94">
        <v>2</v>
      </c>
      <c r="F97" s="85"/>
      <c r="G97" s="95"/>
      <c r="H97" s="89"/>
      <c r="I97" s="304"/>
      <c r="L97" s="1" t="str">
        <f t="shared" si="2"/>
        <v>空白</v>
      </c>
      <c r="M97" s="1" t="str">
        <f t="shared" si="2"/>
        <v>空白</v>
      </c>
      <c r="N97" s="1" t="str">
        <f t="shared" si="2"/>
        <v>空白</v>
      </c>
    </row>
    <row r="98" spans="1:14">
      <c r="A98" s="573"/>
      <c r="B98" s="576"/>
      <c r="C98" s="25" t="s">
        <v>150</v>
      </c>
      <c r="D98" s="310" t="s">
        <v>2164</v>
      </c>
      <c r="E98" s="83" t="s">
        <v>151</v>
      </c>
      <c r="F98" s="30"/>
      <c r="G98" s="26"/>
      <c r="H98" s="27"/>
      <c r="I98" s="28"/>
      <c r="L98" s="1" t="str">
        <f t="shared" si="2"/>
        <v>空白</v>
      </c>
      <c r="M98" s="1" t="str">
        <f t="shared" si="2"/>
        <v>空白</v>
      </c>
      <c r="N98" s="1" t="str">
        <f t="shared" si="2"/>
        <v>空白</v>
      </c>
    </row>
    <row r="99" spans="1:14">
      <c r="A99" s="573"/>
      <c r="B99" s="576"/>
      <c r="C99" s="25" t="s">
        <v>152</v>
      </c>
      <c r="D99" s="310" t="s">
        <v>2165</v>
      </c>
      <c r="E99" s="83" t="s">
        <v>129</v>
      </c>
      <c r="F99" s="30"/>
      <c r="G99" s="26"/>
      <c r="H99" s="27"/>
      <c r="I99" s="28"/>
      <c r="L99" s="1" t="str">
        <f t="shared" si="2"/>
        <v>空白</v>
      </c>
      <c r="M99" s="1" t="str">
        <f t="shared" si="2"/>
        <v>空白</v>
      </c>
      <c r="N99" s="1" t="str">
        <f t="shared" si="2"/>
        <v>空白</v>
      </c>
    </row>
    <row r="100" spans="1:14">
      <c r="A100" s="573"/>
      <c r="B100" s="576"/>
      <c r="C100" s="25" t="s">
        <v>153</v>
      </c>
      <c r="D100" s="310" t="s">
        <v>2166</v>
      </c>
      <c r="E100" s="83" t="s">
        <v>129</v>
      </c>
      <c r="F100" s="30"/>
      <c r="G100" s="26"/>
      <c r="H100" s="27"/>
      <c r="I100" s="28"/>
      <c r="L100" s="1" t="str">
        <f t="shared" si="2"/>
        <v>空白</v>
      </c>
      <c r="M100" s="1" t="str">
        <f t="shared" si="2"/>
        <v>空白</v>
      </c>
      <c r="N100" s="1" t="str">
        <f t="shared" si="2"/>
        <v>空白</v>
      </c>
    </row>
    <row r="101" spans="1:14">
      <c r="A101" s="573"/>
      <c r="B101" s="576"/>
      <c r="C101" s="25" t="s">
        <v>154</v>
      </c>
      <c r="D101" s="310" t="s">
        <v>2167</v>
      </c>
      <c r="E101" s="83" t="s">
        <v>129</v>
      </c>
      <c r="F101" s="30"/>
      <c r="G101" s="26"/>
      <c r="H101" s="27"/>
      <c r="I101" s="28"/>
      <c r="L101" s="1" t="str">
        <f t="shared" si="2"/>
        <v>空白</v>
      </c>
      <c r="M101" s="1" t="str">
        <f t="shared" si="2"/>
        <v>空白</v>
      </c>
      <c r="N101" s="1" t="str">
        <f t="shared" si="2"/>
        <v>空白</v>
      </c>
    </row>
    <row r="102" spans="1:14">
      <c r="A102" s="573"/>
      <c r="B102" s="576"/>
      <c r="C102" s="25" t="s">
        <v>155</v>
      </c>
      <c r="D102" s="310" t="s">
        <v>2168</v>
      </c>
      <c r="E102" s="83" t="s">
        <v>129</v>
      </c>
      <c r="F102" s="30"/>
      <c r="G102" s="26"/>
      <c r="H102" s="27"/>
      <c r="I102" s="28"/>
      <c r="L102" s="1" t="str">
        <f t="shared" si="2"/>
        <v>空白</v>
      </c>
      <c r="M102" s="1" t="str">
        <f t="shared" si="2"/>
        <v>空白</v>
      </c>
      <c r="N102" s="1" t="str">
        <f t="shared" si="2"/>
        <v>空白</v>
      </c>
    </row>
    <row r="103" spans="1:14">
      <c r="A103" s="573"/>
      <c r="B103" s="576"/>
      <c r="C103" s="25" t="s">
        <v>156</v>
      </c>
      <c r="D103" s="310" t="s">
        <v>2169</v>
      </c>
      <c r="E103" s="83" t="s">
        <v>129</v>
      </c>
      <c r="F103" s="96"/>
      <c r="G103" s="53"/>
      <c r="H103" s="19"/>
      <c r="I103" s="305"/>
      <c r="L103" s="1" t="str">
        <f t="shared" si="2"/>
        <v>空白</v>
      </c>
      <c r="M103" s="1" t="str">
        <f t="shared" si="2"/>
        <v>空白</v>
      </c>
      <c r="N103" s="1" t="str">
        <f t="shared" si="2"/>
        <v>空白</v>
      </c>
    </row>
    <row r="104" spans="1:14">
      <c r="A104" s="573"/>
      <c r="B104" s="584" t="s">
        <v>157</v>
      </c>
      <c r="C104" s="97" t="s">
        <v>158</v>
      </c>
      <c r="D104" s="328" t="s">
        <v>2170</v>
      </c>
      <c r="E104" s="82" t="s">
        <v>127</v>
      </c>
      <c r="F104" s="62"/>
      <c r="G104" s="10"/>
      <c r="H104" s="86"/>
      <c r="I104" s="98"/>
      <c r="L104" s="1" t="str">
        <f t="shared" si="2"/>
        <v>空白</v>
      </c>
      <c r="M104" s="1" t="str">
        <f t="shared" si="2"/>
        <v>空白</v>
      </c>
      <c r="N104" s="1" t="str">
        <f t="shared" si="2"/>
        <v>空白</v>
      </c>
    </row>
    <row r="105" spans="1:14">
      <c r="A105" s="573"/>
      <c r="B105" s="585"/>
      <c r="C105" s="35" t="s">
        <v>159</v>
      </c>
      <c r="D105" s="329" t="s">
        <v>2165</v>
      </c>
      <c r="E105" s="83" t="s">
        <v>133</v>
      </c>
      <c r="F105" s="30"/>
      <c r="G105" s="26"/>
      <c r="H105" s="27"/>
      <c r="I105" s="28"/>
      <c r="L105" s="1" t="str">
        <f t="shared" si="2"/>
        <v>空白</v>
      </c>
      <c r="M105" s="1" t="str">
        <f t="shared" si="2"/>
        <v>空白</v>
      </c>
      <c r="N105" s="1" t="str">
        <f t="shared" si="2"/>
        <v>空白</v>
      </c>
    </row>
    <row r="106" spans="1:14">
      <c r="A106" s="573"/>
      <c r="B106" s="585"/>
      <c r="C106" s="35" t="s">
        <v>160</v>
      </c>
      <c r="D106" s="329" t="s">
        <v>2166</v>
      </c>
      <c r="E106" s="83" t="s">
        <v>133</v>
      </c>
      <c r="F106" s="30"/>
      <c r="G106" s="26"/>
      <c r="H106" s="27"/>
      <c r="I106" s="28"/>
      <c r="L106" s="1" t="str">
        <f t="shared" si="2"/>
        <v>空白</v>
      </c>
      <c r="M106" s="1" t="str">
        <f t="shared" si="2"/>
        <v>空白</v>
      </c>
      <c r="N106" s="1" t="str">
        <f t="shared" si="2"/>
        <v>空白</v>
      </c>
    </row>
    <row r="107" spans="1:14">
      <c r="A107" s="573"/>
      <c r="B107" s="585"/>
      <c r="C107" s="35" t="s">
        <v>161</v>
      </c>
      <c r="D107" s="329" t="s">
        <v>2167</v>
      </c>
      <c r="E107" s="83" t="s">
        <v>133</v>
      </c>
      <c r="F107" s="30"/>
      <c r="G107" s="26"/>
      <c r="H107" s="27"/>
      <c r="I107" s="28"/>
      <c r="L107" s="1" t="str">
        <f t="shared" si="2"/>
        <v>空白</v>
      </c>
      <c r="M107" s="1" t="str">
        <f t="shared" si="2"/>
        <v>空白</v>
      </c>
      <c r="N107" s="1" t="str">
        <f t="shared" si="2"/>
        <v>空白</v>
      </c>
    </row>
    <row r="108" spans="1:14" ht="19.5" thickBot="1">
      <c r="A108" s="574"/>
      <c r="B108" s="586"/>
      <c r="C108" s="99" t="s">
        <v>162</v>
      </c>
      <c r="D108" s="330" t="s">
        <v>2171</v>
      </c>
      <c r="E108" s="100" t="s">
        <v>133</v>
      </c>
      <c r="F108" s="64"/>
      <c r="G108" s="26"/>
      <c r="H108" s="19"/>
      <c r="I108" s="65"/>
      <c r="L108" s="1" t="str">
        <f t="shared" si="2"/>
        <v>空白</v>
      </c>
      <c r="M108" s="1" t="str">
        <f>IF(ISBLANK(G108),"空白",IF(G108=D108,"對","錯"))</f>
        <v>空白</v>
      </c>
      <c r="N108" s="1" t="str">
        <f t="shared" si="2"/>
        <v>空白</v>
      </c>
    </row>
    <row r="109" spans="1:14" ht="39.75" thickTop="1">
      <c r="A109" s="572" t="s">
        <v>163</v>
      </c>
      <c r="B109" s="575" t="s">
        <v>164</v>
      </c>
      <c r="C109" s="7" t="s">
        <v>165</v>
      </c>
      <c r="D109" s="331" t="s">
        <v>2866</v>
      </c>
      <c r="E109" s="48">
        <v>1</v>
      </c>
      <c r="F109" s="66"/>
      <c r="G109" s="101" t="s">
        <v>166</v>
      </c>
      <c r="H109" s="102">
        <v>1</v>
      </c>
      <c r="I109" s="304" t="s">
        <v>167</v>
      </c>
      <c r="K109" s="2" t="s">
        <v>35</v>
      </c>
      <c r="L109" s="1" t="str">
        <f t="shared" si="2"/>
        <v>空白</v>
      </c>
      <c r="M109" s="1" t="str">
        <f t="shared" si="2"/>
        <v>對</v>
      </c>
      <c r="N109" s="1" t="str">
        <f t="shared" si="2"/>
        <v>對</v>
      </c>
    </row>
    <row r="110" spans="1:14">
      <c r="A110" s="573"/>
      <c r="B110" s="576"/>
      <c r="C110" s="25" t="s">
        <v>168</v>
      </c>
      <c r="D110" s="310" t="s">
        <v>2172</v>
      </c>
      <c r="E110" s="16">
        <v>2</v>
      </c>
      <c r="F110" s="9"/>
      <c r="G110" s="26"/>
      <c r="H110" s="27"/>
      <c r="I110" s="28"/>
      <c r="L110" s="1" t="str">
        <f t="shared" si="2"/>
        <v>空白</v>
      </c>
      <c r="M110" s="1" t="str">
        <f t="shared" si="2"/>
        <v>空白</v>
      </c>
      <c r="N110" s="1" t="str">
        <f t="shared" si="2"/>
        <v>空白</v>
      </c>
    </row>
    <row r="111" spans="1:14">
      <c r="A111" s="573"/>
      <c r="B111" s="576"/>
      <c r="C111" s="25" t="s">
        <v>169</v>
      </c>
      <c r="D111" s="310" t="s">
        <v>2173</v>
      </c>
      <c r="E111" s="16">
        <v>1</v>
      </c>
      <c r="F111" s="9"/>
      <c r="G111" s="26"/>
      <c r="H111" s="27"/>
      <c r="I111" s="28"/>
      <c r="L111" s="1" t="str">
        <f t="shared" si="2"/>
        <v>空白</v>
      </c>
      <c r="M111" s="1" t="str">
        <f t="shared" si="2"/>
        <v>空白</v>
      </c>
      <c r="N111" s="1" t="str">
        <f t="shared" si="2"/>
        <v>空白</v>
      </c>
    </row>
    <row r="112" spans="1:14">
      <c r="A112" s="573"/>
      <c r="B112" s="576"/>
      <c r="C112" s="25" t="s">
        <v>170</v>
      </c>
      <c r="D112" s="310" t="s">
        <v>2174</v>
      </c>
      <c r="E112" s="16">
        <v>2</v>
      </c>
      <c r="F112" s="9"/>
      <c r="G112" s="26"/>
      <c r="H112" s="27"/>
      <c r="I112" s="28"/>
      <c r="L112" s="1" t="str">
        <f t="shared" si="2"/>
        <v>空白</v>
      </c>
      <c r="M112" s="1" t="str">
        <f t="shared" si="2"/>
        <v>空白</v>
      </c>
      <c r="N112" s="1" t="str">
        <f t="shared" si="2"/>
        <v>空白</v>
      </c>
    </row>
    <row r="113" spans="1:14">
      <c r="A113" s="573"/>
      <c r="B113" s="576"/>
      <c r="C113" s="25" t="s">
        <v>171</v>
      </c>
      <c r="D113" s="310" t="s">
        <v>2175</v>
      </c>
      <c r="E113" s="16">
        <v>2</v>
      </c>
      <c r="F113" s="9"/>
      <c r="G113" s="26"/>
      <c r="H113" s="27"/>
      <c r="I113" s="28"/>
      <c r="L113" s="1" t="str">
        <f t="shared" si="2"/>
        <v>空白</v>
      </c>
      <c r="M113" s="1" t="str">
        <f t="shared" si="2"/>
        <v>空白</v>
      </c>
      <c r="N113" s="1" t="str">
        <f t="shared" si="2"/>
        <v>空白</v>
      </c>
    </row>
    <row r="114" spans="1:14" ht="39">
      <c r="A114" s="573"/>
      <c r="B114" s="576"/>
      <c r="C114" s="25" t="s">
        <v>172</v>
      </c>
      <c r="D114" s="310" t="s">
        <v>2867</v>
      </c>
      <c r="E114" s="16">
        <v>4</v>
      </c>
      <c r="F114" s="9"/>
      <c r="G114" s="69" t="s">
        <v>173</v>
      </c>
      <c r="H114" s="27">
        <v>4</v>
      </c>
      <c r="I114" s="28" t="s">
        <v>174</v>
      </c>
      <c r="K114" s="2" t="s">
        <v>35</v>
      </c>
      <c r="L114" s="1" t="str">
        <f t="shared" si="2"/>
        <v>空白</v>
      </c>
      <c r="M114" s="1" t="str">
        <f t="shared" si="2"/>
        <v>對</v>
      </c>
      <c r="N114" s="1" t="str">
        <f t="shared" si="2"/>
        <v>對</v>
      </c>
    </row>
    <row r="115" spans="1:14">
      <c r="A115" s="573"/>
      <c r="B115" s="576"/>
      <c r="C115" s="25" t="s">
        <v>175</v>
      </c>
      <c r="D115" s="310" t="s">
        <v>2176</v>
      </c>
      <c r="E115" s="16">
        <v>3</v>
      </c>
      <c r="F115" s="9"/>
      <c r="G115" s="26"/>
      <c r="H115" s="27"/>
      <c r="I115" s="28"/>
      <c r="L115" s="1" t="str">
        <f t="shared" si="2"/>
        <v>空白</v>
      </c>
      <c r="M115" s="1" t="str">
        <f t="shared" si="2"/>
        <v>空白</v>
      </c>
      <c r="N115" s="1" t="str">
        <f t="shared" si="2"/>
        <v>空白</v>
      </c>
    </row>
    <row r="116" spans="1:14">
      <c r="A116" s="573"/>
      <c r="B116" s="576"/>
      <c r="C116" s="25" t="s">
        <v>176</v>
      </c>
      <c r="D116" s="310" t="s">
        <v>2177</v>
      </c>
      <c r="E116" s="16">
        <v>3</v>
      </c>
      <c r="F116" s="9"/>
      <c r="G116" s="26"/>
      <c r="H116" s="27"/>
      <c r="I116" s="28"/>
      <c r="L116" s="1" t="str">
        <f t="shared" si="2"/>
        <v>空白</v>
      </c>
      <c r="M116" s="1" t="str">
        <f t="shared" si="2"/>
        <v>空白</v>
      </c>
      <c r="N116" s="1" t="str">
        <f t="shared" si="2"/>
        <v>空白</v>
      </c>
    </row>
    <row r="117" spans="1:14">
      <c r="A117" s="573"/>
      <c r="B117" s="576"/>
      <c r="C117" s="25" t="s">
        <v>177</v>
      </c>
      <c r="D117" s="310" t="s">
        <v>2178</v>
      </c>
      <c r="E117" s="16">
        <v>3</v>
      </c>
      <c r="F117" s="9"/>
      <c r="G117" s="26"/>
      <c r="H117" s="27"/>
      <c r="I117" s="28"/>
      <c r="L117" s="1" t="str">
        <f t="shared" si="2"/>
        <v>空白</v>
      </c>
      <c r="M117" s="1" t="str">
        <f t="shared" si="2"/>
        <v>空白</v>
      </c>
      <c r="N117" s="1" t="str">
        <f t="shared" si="2"/>
        <v>空白</v>
      </c>
    </row>
    <row r="118" spans="1:14" ht="39">
      <c r="A118" s="573"/>
      <c r="B118" s="576"/>
      <c r="C118" s="25" t="s">
        <v>178</v>
      </c>
      <c r="D118" s="310" t="s">
        <v>2868</v>
      </c>
      <c r="E118" s="16">
        <v>4</v>
      </c>
      <c r="F118" s="9"/>
      <c r="G118" s="26" t="s">
        <v>179</v>
      </c>
      <c r="H118" s="27">
        <v>4</v>
      </c>
      <c r="I118" s="28"/>
      <c r="K118" s="2" t="s">
        <v>54</v>
      </c>
      <c r="L118" s="1" t="str">
        <f t="shared" si="2"/>
        <v>空白</v>
      </c>
      <c r="M118" s="1" t="str">
        <f t="shared" si="2"/>
        <v>對</v>
      </c>
      <c r="N118" s="1" t="str">
        <f t="shared" si="2"/>
        <v>對</v>
      </c>
    </row>
    <row r="119" spans="1:14">
      <c r="A119" s="573"/>
      <c r="B119" s="576"/>
      <c r="C119" s="25" t="s">
        <v>180</v>
      </c>
      <c r="D119" s="310" t="s">
        <v>2179</v>
      </c>
      <c r="E119" s="16">
        <v>3</v>
      </c>
      <c r="F119" s="9"/>
      <c r="G119" s="26"/>
      <c r="H119" s="27"/>
      <c r="I119" s="28"/>
      <c r="L119" s="1" t="str">
        <f t="shared" si="2"/>
        <v>空白</v>
      </c>
      <c r="M119" s="1" t="str">
        <f t="shared" si="2"/>
        <v>空白</v>
      </c>
      <c r="N119" s="1" t="str">
        <f t="shared" si="2"/>
        <v>空白</v>
      </c>
    </row>
    <row r="120" spans="1:14">
      <c r="A120" s="573"/>
      <c r="B120" s="576"/>
      <c r="C120" s="25" t="s">
        <v>181</v>
      </c>
      <c r="D120" s="310" t="s">
        <v>2180</v>
      </c>
      <c r="E120" s="16">
        <v>5</v>
      </c>
      <c r="F120" s="9"/>
      <c r="G120" s="26"/>
      <c r="H120" s="27"/>
      <c r="I120" s="28"/>
      <c r="L120" s="1" t="str">
        <f t="shared" si="2"/>
        <v>空白</v>
      </c>
      <c r="M120" s="1" t="str">
        <f t="shared" si="2"/>
        <v>空白</v>
      </c>
      <c r="N120" s="1" t="str">
        <f t="shared" si="2"/>
        <v>空白</v>
      </c>
    </row>
    <row r="121" spans="1:14">
      <c r="A121" s="573"/>
      <c r="B121" s="576"/>
      <c r="C121" s="25" t="s">
        <v>182</v>
      </c>
      <c r="D121" s="310" t="s">
        <v>2181</v>
      </c>
      <c r="E121" s="16">
        <v>5</v>
      </c>
      <c r="F121" s="9"/>
      <c r="G121" s="26"/>
      <c r="H121" s="27"/>
      <c r="I121" s="28"/>
      <c r="L121" s="1" t="str">
        <f t="shared" si="2"/>
        <v>空白</v>
      </c>
      <c r="M121" s="1" t="str">
        <f>IF(ISBLANK(G121),"空白",IF(G121=D121,"對","錯"))</f>
        <v>空白</v>
      </c>
      <c r="N121" s="1" t="str">
        <f t="shared" si="2"/>
        <v>空白</v>
      </c>
    </row>
    <row r="122" spans="1:14" ht="19.5">
      <c r="A122" s="573"/>
      <c r="B122" s="576"/>
      <c r="C122" s="25" t="s">
        <v>183</v>
      </c>
      <c r="D122" s="310" t="s">
        <v>2869</v>
      </c>
      <c r="E122" s="16">
        <v>1</v>
      </c>
      <c r="F122" s="9"/>
      <c r="G122" s="103" t="s">
        <v>184</v>
      </c>
      <c r="H122" s="27"/>
      <c r="I122" s="33" t="s">
        <v>185</v>
      </c>
      <c r="K122" s="2" t="s">
        <v>13</v>
      </c>
      <c r="L122" s="1" t="str">
        <f t="shared" si="2"/>
        <v>空白</v>
      </c>
      <c r="M122" s="1" t="str">
        <f t="shared" si="2"/>
        <v>對</v>
      </c>
      <c r="N122" s="1" t="str">
        <f t="shared" si="2"/>
        <v>空白</v>
      </c>
    </row>
    <row r="123" spans="1:14">
      <c r="A123" s="573"/>
      <c r="B123" s="576"/>
      <c r="C123" s="25" t="s">
        <v>186</v>
      </c>
      <c r="D123" s="310" t="s">
        <v>2182</v>
      </c>
      <c r="E123" s="16">
        <v>2</v>
      </c>
      <c r="F123" s="9"/>
      <c r="G123" s="26"/>
      <c r="H123" s="27"/>
      <c r="I123" s="28"/>
      <c r="L123" s="1" t="str">
        <f t="shared" si="2"/>
        <v>空白</v>
      </c>
      <c r="M123" s="1" t="str">
        <f t="shared" si="2"/>
        <v>空白</v>
      </c>
      <c r="N123" s="1" t="str">
        <f t="shared" si="2"/>
        <v>空白</v>
      </c>
    </row>
    <row r="124" spans="1:14">
      <c r="A124" s="573"/>
      <c r="B124" s="576"/>
      <c r="C124" s="25" t="s">
        <v>187</v>
      </c>
      <c r="D124" s="310" t="s">
        <v>2183</v>
      </c>
      <c r="E124" s="16">
        <v>6</v>
      </c>
      <c r="F124" s="9"/>
      <c r="G124" s="26"/>
      <c r="H124" s="27"/>
      <c r="I124" s="28"/>
      <c r="L124" s="1" t="str">
        <f t="shared" si="2"/>
        <v>空白</v>
      </c>
      <c r="M124" s="1" t="str">
        <f t="shared" si="2"/>
        <v>空白</v>
      </c>
      <c r="N124" s="1" t="str">
        <f t="shared" si="2"/>
        <v>空白</v>
      </c>
    </row>
    <row r="125" spans="1:14" ht="19.5">
      <c r="A125" s="573"/>
      <c r="B125" s="576"/>
      <c r="C125" s="25" t="s">
        <v>188</v>
      </c>
      <c r="D125" s="310" t="s">
        <v>2870</v>
      </c>
      <c r="E125" s="16">
        <v>6</v>
      </c>
      <c r="F125" s="9"/>
      <c r="G125" s="26" t="s">
        <v>189</v>
      </c>
      <c r="H125" s="27">
        <v>6</v>
      </c>
      <c r="I125" s="620" t="s">
        <v>61</v>
      </c>
      <c r="K125" s="2" t="s">
        <v>54</v>
      </c>
      <c r="L125" s="1" t="str">
        <f t="shared" si="2"/>
        <v>空白</v>
      </c>
      <c r="M125" s="1" t="str">
        <f t="shared" si="2"/>
        <v>對</v>
      </c>
      <c r="N125" s="1" t="str">
        <f t="shared" si="2"/>
        <v>對</v>
      </c>
    </row>
    <row r="126" spans="1:14" ht="19.5">
      <c r="A126" s="573"/>
      <c r="B126" s="576"/>
      <c r="C126" s="25" t="s">
        <v>190</v>
      </c>
      <c r="D126" s="310" t="s">
        <v>2871</v>
      </c>
      <c r="E126" s="16">
        <v>4</v>
      </c>
      <c r="F126" s="9"/>
      <c r="G126" s="26" t="s">
        <v>191</v>
      </c>
      <c r="H126" s="27">
        <v>4</v>
      </c>
      <c r="I126" s="624"/>
      <c r="K126" s="2" t="s">
        <v>54</v>
      </c>
      <c r="L126" s="1" t="str">
        <f t="shared" si="2"/>
        <v>空白</v>
      </c>
      <c r="M126" s="1" t="str">
        <f t="shared" si="2"/>
        <v>對</v>
      </c>
      <c r="N126" s="1" t="str">
        <f t="shared" si="2"/>
        <v>對</v>
      </c>
    </row>
    <row r="127" spans="1:14" ht="19.5">
      <c r="A127" s="573"/>
      <c r="B127" s="576"/>
      <c r="C127" s="25" t="s">
        <v>192</v>
      </c>
      <c r="D127" s="310" t="s">
        <v>2872</v>
      </c>
      <c r="E127" s="16">
        <v>6</v>
      </c>
      <c r="F127" s="9"/>
      <c r="G127" s="26" t="s">
        <v>193</v>
      </c>
      <c r="H127" s="27">
        <v>6</v>
      </c>
      <c r="I127" s="624"/>
      <c r="K127" s="2" t="s">
        <v>54</v>
      </c>
      <c r="L127" s="1" t="str">
        <f t="shared" si="2"/>
        <v>空白</v>
      </c>
      <c r="M127" s="1" t="str">
        <f t="shared" si="2"/>
        <v>對</v>
      </c>
      <c r="N127" s="1" t="str">
        <f t="shared" si="2"/>
        <v>對</v>
      </c>
    </row>
    <row r="128" spans="1:14" ht="19.5">
      <c r="A128" s="573"/>
      <c r="B128" s="576"/>
      <c r="C128" s="25" t="s">
        <v>194</v>
      </c>
      <c r="D128" s="310" t="s">
        <v>2873</v>
      </c>
      <c r="E128" s="16">
        <v>5</v>
      </c>
      <c r="F128" s="9"/>
      <c r="G128" s="26" t="s">
        <v>195</v>
      </c>
      <c r="H128" s="27">
        <v>5</v>
      </c>
      <c r="I128" s="624"/>
      <c r="K128" s="2" t="s">
        <v>54</v>
      </c>
      <c r="L128" s="1" t="str">
        <f t="shared" si="2"/>
        <v>空白</v>
      </c>
      <c r="M128" s="1" t="str">
        <f t="shared" si="2"/>
        <v>對</v>
      </c>
      <c r="N128" s="1" t="str">
        <f t="shared" si="2"/>
        <v>對</v>
      </c>
    </row>
    <row r="129" spans="1:14" ht="19.5">
      <c r="A129" s="573"/>
      <c r="B129" s="576"/>
      <c r="C129" s="25" t="s">
        <v>196</v>
      </c>
      <c r="D129" s="310" t="s">
        <v>2874</v>
      </c>
      <c r="E129" s="16">
        <v>6</v>
      </c>
      <c r="F129" s="9"/>
      <c r="G129" s="26" t="s">
        <v>197</v>
      </c>
      <c r="H129" s="27">
        <v>6</v>
      </c>
      <c r="I129" s="624"/>
      <c r="K129" s="2" t="s">
        <v>54</v>
      </c>
      <c r="L129" s="1" t="str">
        <f t="shared" si="2"/>
        <v>空白</v>
      </c>
      <c r="M129" s="1" t="str">
        <f t="shared" si="2"/>
        <v>對</v>
      </c>
      <c r="N129" s="1" t="str">
        <f t="shared" si="2"/>
        <v>對</v>
      </c>
    </row>
    <row r="130" spans="1:14" ht="19.5">
      <c r="A130" s="573"/>
      <c r="B130" s="576"/>
      <c r="C130" s="25" t="s">
        <v>198</v>
      </c>
      <c r="D130" s="310" t="s">
        <v>2875</v>
      </c>
      <c r="E130" s="16">
        <v>4</v>
      </c>
      <c r="F130" s="9"/>
      <c r="G130" s="26" t="s">
        <v>199</v>
      </c>
      <c r="H130" s="27">
        <v>4</v>
      </c>
      <c r="I130" s="621"/>
      <c r="K130" s="2" t="s">
        <v>54</v>
      </c>
      <c r="L130" s="1" t="str">
        <f t="shared" si="2"/>
        <v>空白</v>
      </c>
      <c r="M130" s="1" t="str">
        <f t="shared" si="2"/>
        <v>對</v>
      </c>
      <c r="N130" s="1" t="str">
        <f t="shared" si="2"/>
        <v>對</v>
      </c>
    </row>
    <row r="131" spans="1:14">
      <c r="A131" s="573"/>
      <c r="B131" s="576"/>
      <c r="C131" s="25" t="s">
        <v>200</v>
      </c>
      <c r="D131" s="310" t="s">
        <v>2184</v>
      </c>
      <c r="E131" s="16">
        <v>3</v>
      </c>
      <c r="F131" s="9"/>
      <c r="G131" s="26"/>
      <c r="H131" s="27"/>
      <c r="I131" s="28"/>
      <c r="L131" s="1" t="str">
        <f t="shared" si="2"/>
        <v>空白</v>
      </c>
      <c r="M131" s="1" t="str">
        <f t="shared" si="2"/>
        <v>空白</v>
      </c>
      <c r="N131" s="1" t="str">
        <f t="shared" si="2"/>
        <v>空白</v>
      </c>
    </row>
    <row r="132" spans="1:14">
      <c r="A132" s="573"/>
      <c r="B132" s="576"/>
      <c r="C132" s="25" t="s">
        <v>201</v>
      </c>
      <c r="D132" s="308" t="s">
        <v>2185</v>
      </c>
      <c r="E132" s="16">
        <v>3</v>
      </c>
      <c r="F132" s="9"/>
      <c r="G132" s="26"/>
      <c r="H132" s="27"/>
      <c r="I132" s="28"/>
      <c r="L132" s="1" t="str">
        <f t="shared" si="2"/>
        <v>空白</v>
      </c>
      <c r="M132" s="1" t="str">
        <f t="shared" si="2"/>
        <v>空白</v>
      </c>
      <c r="N132" s="1" t="str">
        <f t="shared" si="2"/>
        <v>空白</v>
      </c>
    </row>
    <row r="133" spans="1:14" ht="39">
      <c r="A133" s="573"/>
      <c r="B133" s="576"/>
      <c r="C133" s="25" t="s">
        <v>202</v>
      </c>
      <c r="D133" s="332" t="s">
        <v>2876</v>
      </c>
      <c r="E133" s="16">
        <v>3</v>
      </c>
      <c r="F133" s="9"/>
      <c r="G133" s="92" t="s">
        <v>203</v>
      </c>
      <c r="H133" s="32">
        <v>3</v>
      </c>
      <c r="I133" s="104" t="s">
        <v>204</v>
      </c>
      <c r="K133" s="2" t="s">
        <v>35</v>
      </c>
      <c r="L133" s="1" t="str">
        <f t="shared" si="2"/>
        <v>空白</v>
      </c>
      <c r="M133" s="1" t="str">
        <f t="shared" si="2"/>
        <v>對</v>
      </c>
      <c r="N133" s="1" t="str">
        <f t="shared" si="2"/>
        <v>對</v>
      </c>
    </row>
    <row r="134" spans="1:14" ht="19.5">
      <c r="A134" s="573"/>
      <c r="B134" s="576"/>
      <c r="C134" s="25" t="s">
        <v>205</v>
      </c>
      <c r="D134" s="310" t="s">
        <v>2877</v>
      </c>
      <c r="E134" s="105">
        <v>4</v>
      </c>
      <c r="F134" s="106"/>
      <c r="G134" s="69" t="s">
        <v>206</v>
      </c>
      <c r="H134" s="27">
        <v>4</v>
      </c>
      <c r="I134" s="620" t="s">
        <v>207</v>
      </c>
      <c r="K134" s="2" t="s">
        <v>35</v>
      </c>
      <c r="L134" s="1" t="str">
        <f t="shared" ref="L134:N197" si="3">IF(ISBLANK(F134),"空白",IF(F134=C134,"對","錯"))</f>
        <v>空白</v>
      </c>
      <c r="M134" s="1" t="str">
        <f t="shared" si="3"/>
        <v>對</v>
      </c>
      <c r="N134" s="1" t="str">
        <f t="shared" si="3"/>
        <v>對</v>
      </c>
    </row>
    <row r="135" spans="1:14" ht="19.5">
      <c r="A135" s="573"/>
      <c r="B135" s="576"/>
      <c r="C135" s="25" t="s">
        <v>208</v>
      </c>
      <c r="D135" s="310" t="s">
        <v>2878</v>
      </c>
      <c r="E135" s="105">
        <v>3</v>
      </c>
      <c r="F135" s="106"/>
      <c r="G135" s="26" t="s">
        <v>209</v>
      </c>
      <c r="H135" s="32">
        <v>3</v>
      </c>
      <c r="I135" s="621"/>
      <c r="K135" s="2" t="s">
        <v>35</v>
      </c>
      <c r="L135" s="1" t="str">
        <f t="shared" si="3"/>
        <v>空白</v>
      </c>
      <c r="M135" s="1" t="str">
        <f>IF(ISBLANK(G135),"空白",IF(G135=D135,"對","錯"))</f>
        <v>對</v>
      </c>
      <c r="N135" s="1" t="str">
        <f t="shared" si="3"/>
        <v>對</v>
      </c>
    </row>
    <row r="136" spans="1:14">
      <c r="A136" s="573"/>
      <c r="B136" s="576"/>
      <c r="C136" s="25" t="s">
        <v>210</v>
      </c>
      <c r="D136" s="308" t="s">
        <v>2186</v>
      </c>
      <c r="E136" s="16">
        <v>3</v>
      </c>
      <c r="F136" s="9"/>
      <c r="G136" s="26"/>
      <c r="H136" s="27"/>
      <c r="I136" s="28"/>
      <c r="L136" s="1" t="str">
        <f t="shared" si="3"/>
        <v>空白</v>
      </c>
      <c r="M136" s="1" t="str">
        <f t="shared" si="3"/>
        <v>空白</v>
      </c>
      <c r="N136" s="1" t="str">
        <f t="shared" si="3"/>
        <v>空白</v>
      </c>
    </row>
    <row r="137" spans="1:14">
      <c r="A137" s="573"/>
      <c r="B137" s="576"/>
      <c r="C137" s="25" t="s">
        <v>211</v>
      </c>
      <c r="D137" s="308" t="s">
        <v>2187</v>
      </c>
      <c r="E137" s="16">
        <v>4</v>
      </c>
      <c r="F137" s="9"/>
      <c r="G137" s="26"/>
      <c r="H137" s="27"/>
      <c r="I137" s="28"/>
      <c r="L137" s="1" t="str">
        <f t="shared" si="3"/>
        <v>空白</v>
      </c>
      <c r="M137" s="1" t="str">
        <f t="shared" si="3"/>
        <v>空白</v>
      </c>
      <c r="N137" s="1" t="str">
        <f t="shared" si="3"/>
        <v>空白</v>
      </c>
    </row>
    <row r="138" spans="1:14">
      <c r="A138" s="573"/>
      <c r="B138" s="576"/>
      <c r="C138" s="25" t="s">
        <v>212</v>
      </c>
      <c r="D138" s="308" t="s">
        <v>2188</v>
      </c>
      <c r="E138" s="16">
        <v>3</v>
      </c>
      <c r="F138" s="9"/>
      <c r="G138" s="26"/>
      <c r="H138" s="27"/>
      <c r="I138" s="28"/>
      <c r="L138" s="1" t="str">
        <f t="shared" si="3"/>
        <v>空白</v>
      </c>
      <c r="M138" s="1" t="str">
        <f t="shared" si="3"/>
        <v>空白</v>
      </c>
      <c r="N138" s="1" t="str">
        <f t="shared" si="3"/>
        <v>空白</v>
      </c>
    </row>
    <row r="139" spans="1:14">
      <c r="A139" s="573"/>
      <c r="B139" s="576"/>
      <c r="C139" s="25" t="s">
        <v>213</v>
      </c>
      <c r="D139" s="308" t="s">
        <v>2189</v>
      </c>
      <c r="E139" s="16">
        <v>3</v>
      </c>
      <c r="F139" s="9"/>
      <c r="G139" s="26"/>
      <c r="H139" s="27"/>
      <c r="I139" s="28"/>
      <c r="L139" s="1" t="str">
        <f t="shared" si="3"/>
        <v>空白</v>
      </c>
      <c r="M139" s="1" t="str">
        <f t="shared" si="3"/>
        <v>空白</v>
      </c>
      <c r="N139" s="1" t="str">
        <f t="shared" si="3"/>
        <v>空白</v>
      </c>
    </row>
    <row r="140" spans="1:14">
      <c r="A140" s="573"/>
      <c r="B140" s="576"/>
      <c r="C140" s="25" t="s">
        <v>214</v>
      </c>
      <c r="D140" s="308" t="s">
        <v>2190</v>
      </c>
      <c r="E140" s="16">
        <v>2</v>
      </c>
      <c r="F140" s="9"/>
      <c r="G140" s="26"/>
      <c r="H140" s="27"/>
      <c r="I140" s="28"/>
      <c r="L140" s="1" t="str">
        <f t="shared" si="3"/>
        <v>空白</v>
      </c>
      <c r="M140" s="1" t="str">
        <f t="shared" si="3"/>
        <v>空白</v>
      </c>
      <c r="N140" s="1" t="str">
        <f t="shared" si="3"/>
        <v>空白</v>
      </c>
    </row>
    <row r="141" spans="1:14" ht="39">
      <c r="A141" s="573"/>
      <c r="B141" s="576"/>
      <c r="C141" s="25" t="s">
        <v>215</v>
      </c>
      <c r="D141" s="314" t="s">
        <v>2879</v>
      </c>
      <c r="E141" s="16">
        <v>4</v>
      </c>
      <c r="F141" s="9"/>
      <c r="G141" s="107" t="s">
        <v>216</v>
      </c>
      <c r="H141" s="73">
        <v>4</v>
      </c>
      <c r="I141" s="28" t="s">
        <v>217</v>
      </c>
      <c r="K141" s="2" t="s">
        <v>35</v>
      </c>
      <c r="L141" s="1" t="str">
        <f t="shared" si="3"/>
        <v>空白</v>
      </c>
      <c r="M141" s="1" t="str">
        <f t="shared" si="3"/>
        <v>對</v>
      </c>
      <c r="N141" s="1" t="str">
        <f t="shared" si="3"/>
        <v>對</v>
      </c>
    </row>
    <row r="142" spans="1:14">
      <c r="A142" s="573"/>
      <c r="B142" s="576"/>
      <c r="C142" s="25" t="s">
        <v>218</v>
      </c>
      <c r="D142" s="310" t="s">
        <v>2191</v>
      </c>
      <c r="E142" s="16">
        <v>4</v>
      </c>
      <c r="F142" s="9"/>
      <c r="G142" s="26"/>
      <c r="H142" s="27"/>
      <c r="I142" s="28"/>
      <c r="L142" s="1" t="str">
        <f t="shared" si="3"/>
        <v>空白</v>
      </c>
      <c r="M142" s="1" t="str">
        <f t="shared" si="3"/>
        <v>空白</v>
      </c>
      <c r="N142" s="1" t="str">
        <f t="shared" si="3"/>
        <v>空白</v>
      </c>
    </row>
    <row r="143" spans="1:14">
      <c r="A143" s="573"/>
      <c r="B143" s="576"/>
      <c r="C143" s="25" t="s">
        <v>219</v>
      </c>
      <c r="D143" s="310" t="s">
        <v>2192</v>
      </c>
      <c r="E143" s="16">
        <v>4</v>
      </c>
      <c r="F143" s="9"/>
      <c r="G143" s="26"/>
      <c r="H143" s="27"/>
      <c r="I143" s="28"/>
      <c r="L143" s="1" t="str">
        <f t="shared" si="3"/>
        <v>空白</v>
      </c>
      <c r="M143" s="1" t="str">
        <f t="shared" si="3"/>
        <v>空白</v>
      </c>
      <c r="N143" s="1" t="str">
        <f t="shared" si="3"/>
        <v>空白</v>
      </c>
    </row>
    <row r="144" spans="1:14">
      <c r="A144" s="573"/>
      <c r="B144" s="576"/>
      <c r="C144" s="25" t="s">
        <v>220</v>
      </c>
      <c r="D144" s="310" t="s">
        <v>2193</v>
      </c>
      <c r="E144" s="16">
        <v>4</v>
      </c>
      <c r="F144" s="9"/>
      <c r="G144" s="26"/>
      <c r="H144" s="27"/>
      <c r="I144" s="28"/>
      <c r="L144" s="1" t="str">
        <f t="shared" si="3"/>
        <v>空白</v>
      </c>
      <c r="M144" s="1" t="str">
        <f t="shared" si="3"/>
        <v>空白</v>
      </c>
      <c r="N144" s="1" t="str">
        <f t="shared" si="3"/>
        <v>空白</v>
      </c>
    </row>
    <row r="145" spans="1:14" ht="39">
      <c r="A145" s="573"/>
      <c r="B145" s="576"/>
      <c r="C145" s="25" t="s">
        <v>221</v>
      </c>
      <c r="D145" s="310" t="s">
        <v>2880</v>
      </c>
      <c r="E145" s="16">
        <v>5</v>
      </c>
      <c r="F145" s="9"/>
      <c r="G145" s="26" t="s">
        <v>222</v>
      </c>
      <c r="H145" s="27">
        <v>5</v>
      </c>
      <c r="I145" s="28" t="s">
        <v>223</v>
      </c>
      <c r="K145" s="2" t="s">
        <v>54</v>
      </c>
      <c r="L145" s="1" t="str">
        <f t="shared" si="3"/>
        <v>空白</v>
      </c>
      <c r="M145" s="1" t="str">
        <f t="shared" si="3"/>
        <v>對</v>
      </c>
      <c r="N145" s="1" t="str">
        <f t="shared" si="3"/>
        <v>對</v>
      </c>
    </row>
    <row r="146" spans="1:14">
      <c r="A146" s="573"/>
      <c r="B146" s="576"/>
      <c r="C146" s="25" t="s">
        <v>224</v>
      </c>
      <c r="D146" s="310" t="s">
        <v>2194</v>
      </c>
      <c r="E146" s="16">
        <v>5</v>
      </c>
      <c r="F146" s="9"/>
      <c r="G146" s="26"/>
      <c r="H146" s="27"/>
      <c r="I146" s="28"/>
      <c r="L146" s="1" t="str">
        <f t="shared" si="3"/>
        <v>空白</v>
      </c>
      <c r="M146" s="1" t="str">
        <f t="shared" si="3"/>
        <v>空白</v>
      </c>
      <c r="N146" s="1" t="str">
        <f t="shared" si="3"/>
        <v>空白</v>
      </c>
    </row>
    <row r="147" spans="1:14" ht="19.5">
      <c r="A147" s="573"/>
      <c r="B147" s="576"/>
      <c r="C147" s="25" t="s">
        <v>225</v>
      </c>
      <c r="D147" s="310" t="s">
        <v>2881</v>
      </c>
      <c r="E147" s="16">
        <v>4</v>
      </c>
      <c r="F147" s="9"/>
      <c r="G147" s="26" t="s">
        <v>226</v>
      </c>
      <c r="H147" s="27">
        <v>4</v>
      </c>
      <c r="I147" s="620" t="s">
        <v>61</v>
      </c>
      <c r="K147" s="2" t="s">
        <v>54</v>
      </c>
      <c r="L147" s="1" t="str">
        <f t="shared" si="3"/>
        <v>空白</v>
      </c>
      <c r="M147" s="1" t="str">
        <f t="shared" si="3"/>
        <v>對</v>
      </c>
      <c r="N147" s="1" t="str">
        <f t="shared" si="3"/>
        <v>對</v>
      </c>
    </row>
    <row r="148" spans="1:14" ht="19.5">
      <c r="A148" s="573"/>
      <c r="B148" s="576"/>
      <c r="C148" s="25" t="s">
        <v>227</v>
      </c>
      <c r="D148" s="310" t="s">
        <v>2882</v>
      </c>
      <c r="E148" s="16">
        <v>5</v>
      </c>
      <c r="F148" s="9"/>
      <c r="G148" s="108" t="s">
        <v>228</v>
      </c>
      <c r="H148" s="27">
        <v>5</v>
      </c>
      <c r="I148" s="624"/>
      <c r="K148" s="2" t="s">
        <v>54</v>
      </c>
      <c r="L148" s="1" t="str">
        <f t="shared" si="3"/>
        <v>空白</v>
      </c>
      <c r="M148" s="1" t="str">
        <f t="shared" si="3"/>
        <v>對</v>
      </c>
      <c r="N148" s="1" t="str">
        <f t="shared" si="3"/>
        <v>對</v>
      </c>
    </row>
    <row r="149" spans="1:14" ht="19.5">
      <c r="A149" s="573"/>
      <c r="B149" s="576"/>
      <c r="C149" s="25" t="s">
        <v>229</v>
      </c>
      <c r="D149" s="310" t="s">
        <v>2883</v>
      </c>
      <c r="E149" s="16">
        <v>4</v>
      </c>
      <c r="F149" s="9"/>
      <c r="G149" s="26" t="s">
        <v>230</v>
      </c>
      <c r="H149" s="27">
        <v>4</v>
      </c>
      <c r="I149" s="621"/>
      <c r="K149" s="2" t="s">
        <v>54</v>
      </c>
      <c r="L149" s="1" t="str">
        <f t="shared" si="3"/>
        <v>空白</v>
      </c>
      <c r="M149" s="1" t="str">
        <f t="shared" si="3"/>
        <v>對</v>
      </c>
      <c r="N149" s="1" t="str">
        <f t="shared" si="3"/>
        <v>對</v>
      </c>
    </row>
    <row r="150" spans="1:14">
      <c r="A150" s="573"/>
      <c r="B150" s="576"/>
      <c r="C150" s="25" t="s">
        <v>231</v>
      </c>
      <c r="D150" s="310" t="s">
        <v>2195</v>
      </c>
      <c r="E150" s="16">
        <v>3</v>
      </c>
      <c r="F150" s="9"/>
      <c r="G150" s="26"/>
      <c r="H150" s="27"/>
      <c r="I150" s="28"/>
      <c r="L150" s="1" t="str">
        <f t="shared" si="3"/>
        <v>空白</v>
      </c>
      <c r="M150" s="1" t="str">
        <f>IF(ISBLANK(G150),"空白",IF(G150=D150,"對","錯"))</f>
        <v>空白</v>
      </c>
      <c r="N150" s="1" t="str">
        <f t="shared" si="3"/>
        <v>空白</v>
      </c>
    </row>
    <row r="151" spans="1:14" ht="39">
      <c r="A151" s="573"/>
      <c r="B151" s="576"/>
      <c r="C151" s="25" t="s">
        <v>232</v>
      </c>
      <c r="D151" s="310" t="s">
        <v>2884</v>
      </c>
      <c r="E151" s="16">
        <v>3</v>
      </c>
      <c r="F151" s="9"/>
      <c r="G151" s="109" t="s">
        <v>233</v>
      </c>
      <c r="H151" s="73">
        <v>3</v>
      </c>
      <c r="I151" s="33" t="s">
        <v>234</v>
      </c>
      <c r="K151" s="2" t="s">
        <v>35</v>
      </c>
      <c r="L151" s="1" t="str">
        <f t="shared" si="3"/>
        <v>空白</v>
      </c>
      <c r="M151" s="1" t="str">
        <f t="shared" si="3"/>
        <v>對</v>
      </c>
      <c r="N151" s="1" t="str">
        <f t="shared" si="3"/>
        <v>對</v>
      </c>
    </row>
    <row r="152" spans="1:14">
      <c r="A152" s="573"/>
      <c r="B152" s="576"/>
      <c r="C152" s="25" t="s">
        <v>235</v>
      </c>
      <c r="D152" s="310" t="s">
        <v>2196</v>
      </c>
      <c r="E152" s="16">
        <v>3</v>
      </c>
      <c r="F152" s="9"/>
      <c r="G152" s="110"/>
      <c r="H152" s="27"/>
      <c r="I152" s="28"/>
      <c r="L152" s="1" t="str">
        <f t="shared" si="3"/>
        <v>空白</v>
      </c>
      <c r="M152" s="1" t="str">
        <f t="shared" si="3"/>
        <v>空白</v>
      </c>
      <c r="N152" s="1" t="str">
        <f t="shared" si="3"/>
        <v>空白</v>
      </c>
    </row>
    <row r="153" spans="1:14">
      <c r="A153" s="573"/>
      <c r="B153" s="576"/>
      <c r="C153" s="25" t="s">
        <v>236</v>
      </c>
      <c r="D153" s="310" t="s">
        <v>2197</v>
      </c>
      <c r="E153" s="16">
        <v>4</v>
      </c>
      <c r="F153" s="9"/>
      <c r="G153" s="110"/>
      <c r="H153" s="27"/>
      <c r="I153" s="28"/>
      <c r="L153" s="1" t="str">
        <f t="shared" si="3"/>
        <v>空白</v>
      </c>
      <c r="M153" s="1" t="str">
        <f t="shared" si="3"/>
        <v>空白</v>
      </c>
      <c r="N153" s="1" t="str">
        <f t="shared" si="3"/>
        <v>空白</v>
      </c>
    </row>
    <row r="154" spans="1:14">
      <c r="A154" s="573"/>
      <c r="B154" s="576"/>
      <c r="C154" s="25" t="s">
        <v>237</v>
      </c>
      <c r="D154" s="310" t="s">
        <v>2198</v>
      </c>
      <c r="E154" s="16">
        <v>5</v>
      </c>
      <c r="F154" s="9"/>
      <c r="G154" s="110"/>
      <c r="H154" s="27"/>
      <c r="I154" s="28"/>
      <c r="L154" s="1" t="str">
        <f t="shared" si="3"/>
        <v>空白</v>
      </c>
      <c r="M154" s="1" t="str">
        <f>IF(ISBLANK(G154),"空白",IF(G154=D154,"對","錯"))</f>
        <v>空白</v>
      </c>
      <c r="N154" s="1" t="str">
        <f t="shared" si="3"/>
        <v>空白</v>
      </c>
    </row>
    <row r="155" spans="1:14">
      <c r="A155" s="573"/>
      <c r="B155" s="576"/>
      <c r="C155" s="25" t="s">
        <v>238</v>
      </c>
      <c r="D155" s="310" t="s">
        <v>2199</v>
      </c>
      <c r="E155" s="16">
        <v>4</v>
      </c>
      <c r="F155" s="9"/>
      <c r="G155" s="110"/>
      <c r="H155" s="27"/>
      <c r="I155" s="28"/>
      <c r="L155" s="1" t="str">
        <f t="shared" si="3"/>
        <v>空白</v>
      </c>
      <c r="M155" s="1" t="str">
        <f t="shared" si="3"/>
        <v>空白</v>
      </c>
      <c r="N155" s="1" t="str">
        <f t="shared" si="3"/>
        <v>空白</v>
      </c>
    </row>
    <row r="156" spans="1:14" ht="39">
      <c r="A156" s="573"/>
      <c r="B156" s="576"/>
      <c r="C156" s="25" t="s">
        <v>2888</v>
      </c>
      <c r="D156" s="380" t="s">
        <v>2885</v>
      </c>
      <c r="E156" s="16">
        <v>2</v>
      </c>
      <c r="F156" s="9" t="s">
        <v>239</v>
      </c>
      <c r="G156" s="111" t="s">
        <v>240</v>
      </c>
      <c r="H156" s="112">
        <v>2</v>
      </c>
      <c r="I156" s="104" t="s">
        <v>241</v>
      </c>
      <c r="K156" s="2" t="s">
        <v>242</v>
      </c>
      <c r="L156" s="1" t="str">
        <f t="shared" si="3"/>
        <v>對</v>
      </c>
      <c r="M156" s="1" t="str">
        <f t="shared" si="3"/>
        <v>對</v>
      </c>
      <c r="N156" s="1" t="str">
        <f t="shared" si="3"/>
        <v>對</v>
      </c>
    </row>
    <row r="157" spans="1:14" ht="39">
      <c r="A157" s="573"/>
      <c r="B157" s="576"/>
      <c r="C157" s="25" t="s">
        <v>2889</v>
      </c>
      <c r="D157" s="396" t="s">
        <v>2886</v>
      </c>
      <c r="E157" s="16">
        <v>4</v>
      </c>
      <c r="F157" s="9" t="s">
        <v>243</v>
      </c>
      <c r="G157" s="111" t="s">
        <v>244</v>
      </c>
      <c r="H157" s="112">
        <v>4</v>
      </c>
      <c r="I157" s="28" t="s">
        <v>245</v>
      </c>
      <c r="K157" s="2" t="s">
        <v>242</v>
      </c>
      <c r="L157" s="1" t="str">
        <f t="shared" si="3"/>
        <v>對</v>
      </c>
      <c r="M157" s="1" t="str">
        <f t="shared" si="3"/>
        <v>對</v>
      </c>
      <c r="N157" s="1" t="str">
        <f t="shared" si="3"/>
        <v>對</v>
      </c>
    </row>
    <row r="158" spans="1:14" ht="58.5">
      <c r="A158" s="573"/>
      <c r="B158" s="576"/>
      <c r="C158" s="25" t="s">
        <v>2890</v>
      </c>
      <c r="D158" s="396" t="s">
        <v>2887</v>
      </c>
      <c r="E158" s="16">
        <v>3</v>
      </c>
      <c r="F158" s="36" t="s">
        <v>246</v>
      </c>
      <c r="G158" s="37" t="s">
        <v>247</v>
      </c>
      <c r="H158" s="113">
        <v>3</v>
      </c>
      <c r="I158" s="307" t="s">
        <v>248</v>
      </c>
      <c r="K158" s="2" t="s">
        <v>242</v>
      </c>
      <c r="L158" s="1" t="str">
        <f t="shared" si="3"/>
        <v>對</v>
      </c>
      <c r="M158" s="1" t="str">
        <f t="shared" si="3"/>
        <v>對</v>
      </c>
      <c r="N158" s="1" t="str">
        <f t="shared" si="3"/>
        <v>對</v>
      </c>
    </row>
    <row r="159" spans="1:14">
      <c r="A159" s="573"/>
      <c r="B159" s="577" t="s">
        <v>249</v>
      </c>
      <c r="C159" s="71" t="s">
        <v>250</v>
      </c>
      <c r="D159" s="325" t="s">
        <v>2200</v>
      </c>
      <c r="E159" s="41">
        <v>1</v>
      </c>
      <c r="F159" s="42"/>
      <c r="G159" s="10"/>
      <c r="H159" s="43"/>
      <c r="I159" s="98"/>
      <c r="L159" s="1" t="str">
        <f t="shared" si="3"/>
        <v>空白</v>
      </c>
      <c r="M159" s="1" t="str">
        <f t="shared" si="3"/>
        <v>空白</v>
      </c>
      <c r="N159" s="1" t="str">
        <f t="shared" si="3"/>
        <v>空白</v>
      </c>
    </row>
    <row r="160" spans="1:14">
      <c r="A160" s="573"/>
      <c r="B160" s="578"/>
      <c r="C160" s="25" t="s">
        <v>251</v>
      </c>
      <c r="D160" s="310" t="s">
        <v>2201</v>
      </c>
      <c r="E160" s="16">
        <v>1</v>
      </c>
      <c r="F160" s="9"/>
      <c r="G160" s="26"/>
      <c r="H160" s="27"/>
      <c r="I160" s="28"/>
      <c r="L160" s="1" t="str">
        <f t="shared" si="3"/>
        <v>空白</v>
      </c>
      <c r="M160" s="1" t="str">
        <f>IF(ISBLANK(G160),"空白",IF(G160=D160,"對","錯"))</f>
        <v>空白</v>
      </c>
      <c r="N160" s="1" t="str">
        <f t="shared" si="3"/>
        <v>空白</v>
      </c>
    </row>
    <row r="161" spans="1:14">
      <c r="A161" s="573"/>
      <c r="B161" s="578"/>
      <c r="C161" s="25" t="s">
        <v>252</v>
      </c>
      <c r="D161" s="310" t="s">
        <v>2202</v>
      </c>
      <c r="E161" s="16">
        <v>1</v>
      </c>
      <c r="F161" s="9"/>
      <c r="G161" s="26"/>
      <c r="H161" s="27"/>
      <c r="I161" s="28"/>
      <c r="L161" s="1" t="str">
        <f t="shared" si="3"/>
        <v>空白</v>
      </c>
      <c r="M161" s="1" t="str">
        <f t="shared" si="3"/>
        <v>空白</v>
      </c>
      <c r="N161" s="1" t="str">
        <f t="shared" si="3"/>
        <v>空白</v>
      </c>
    </row>
    <row r="162" spans="1:14">
      <c r="A162" s="573"/>
      <c r="B162" s="578"/>
      <c r="C162" s="25" t="s">
        <v>253</v>
      </c>
      <c r="D162" s="310" t="s">
        <v>2203</v>
      </c>
      <c r="E162" s="16">
        <v>1</v>
      </c>
      <c r="F162" s="9"/>
      <c r="G162" s="26"/>
      <c r="H162" s="27"/>
      <c r="I162" s="28"/>
      <c r="L162" s="1" t="str">
        <f t="shared" si="3"/>
        <v>空白</v>
      </c>
      <c r="M162" s="1" t="str">
        <f t="shared" si="3"/>
        <v>空白</v>
      </c>
      <c r="N162" s="1" t="str">
        <f t="shared" si="3"/>
        <v>空白</v>
      </c>
    </row>
    <row r="163" spans="1:14">
      <c r="A163" s="573"/>
      <c r="B163" s="578"/>
      <c r="C163" s="25" t="s">
        <v>254</v>
      </c>
      <c r="D163" s="310" t="s">
        <v>2204</v>
      </c>
      <c r="E163" s="16">
        <v>1</v>
      </c>
      <c r="F163" s="9"/>
      <c r="G163" s="26"/>
      <c r="H163" s="27"/>
      <c r="I163" s="28"/>
      <c r="L163" s="1" t="str">
        <f t="shared" si="3"/>
        <v>空白</v>
      </c>
      <c r="M163" s="1" t="str">
        <f t="shared" si="3"/>
        <v>空白</v>
      </c>
      <c r="N163" s="1" t="str">
        <f t="shared" si="3"/>
        <v>空白</v>
      </c>
    </row>
    <row r="164" spans="1:14" ht="19.5">
      <c r="A164" s="573"/>
      <c r="B164" s="578"/>
      <c r="C164" s="25" t="s">
        <v>255</v>
      </c>
      <c r="D164" s="314" t="s">
        <v>2891</v>
      </c>
      <c r="E164" s="16">
        <v>1</v>
      </c>
      <c r="F164" s="9"/>
      <c r="G164" s="107" t="s">
        <v>256</v>
      </c>
      <c r="H164" s="73">
        <v>1</v>
      </c>
      <c r="I164" s="33" t="s">
        <v>257</v>
      </c>
      <c r="K164" s="2" t="s">
        <v>35</v>
      </c>
      <c r="L164" s="1" t="str">
        <f t="shared" si="3"/>
        <v>空白</v>
      </c>
      <c r="M164" s="1" t="str">
        <f t="shared" si="3"/>
        <v>對</v>
      </c>
      <c r="N164" s="1" t="str">
        <f t="shared" si="3"/>
        <v>對</v>
      </c>
    </row>
    <row r="165" spans="1:14">
      <c r="A165" s="573"/>
      <c r="B165" s="578"/>
      <c r="C165" s="25" t="s">
        <v>258</v>
      </c>
      <c r="D165" s="310" t="s">
        <v>2206</v>
      </c>
      <c r="E165" s="16">
        <v>2</v>
      </c>
      <c r="F165" s="9"/>
      <c r="G165" s="26"/>
      <c r="H165" s="27"/>
      <c r="I165" s="28"/>
      <c r="L165" s="1" t="str">
        <f t="shared" si="3"/>
        <v>空白</v>
      </c>
      <c r="M165" s="1" t="str">
        <f t="shared" si="3"/>
        <v>空白</v>
      </c>
      <c r="N165" s="1" t="str">
        <f t="shared" si="3"/>
        <v>空白</v>
      </c>
    </row>
    <row r="166" spans="1:14" ht="39">
      <c r="A166" s="573"/>
      <c r="B166" s="578"/>
      <c r="C166" s="25" t="s">
        <v>259</v>
      </c>
      <c r="D166" s="310" t="s">
        <v>2892</v>
      </c>
      <c r="E166" s="16">
        <v>2</v>
      </c>
      <c r="F166" s="9"/>
      <c r="G166" s="26" t="s">
        <v>260</v>
      </c>
      <c r="H166" s="27">
        <v>2</v>
      </c>
      <c r="I166" s="28" t="s">
        <v>61</v>
      </c>
      <c r="K166" s="2" t="s">
        <v>54</v>
      </c>
      <c r="L166" s="1" t="str">
        <f t="shared" si="3"/>
        <v>空白</v>
      </c>
      <c r="M166" s="1" t="str">
        <f t="shared" si="3"/>
        <v>對</v>
      </c>
      <c r="N166" s="1" t="str">
        <f t="shared" si="3"/>
        <v>對</v>
      </c>
    </row>
    <row r="167" spans="1:14">
      <c r="A167" s="573"/>
      <c r="B167" s="578"/>
      <c r="C167" s="25" t="s">
        <v>261</v>
      </c>
      <c r="D167" s="310" t="s">
        <v>2207</v>
      </c>
      <c r="E167" s="16">
        <v>2</v>
      </c>
      <c r="F167" s="9"/>
      <c r="G167" s="26"/>
      <c r="H167" s="27"/>
      <c r="I167" s="28"/>
      <c r="L167" s="1" t="str">
        <f t="shared" si="3"/>
        <v>空白</v>
      </c>
      <c r="M167" s="1" t="str">
        <f t="shared" si="3"/>
        <v>空白</v>
      </c>
      <c r="N167" s="1" t="str">
        <f t="shared" si="3"/>
        <v>空白</v>
      </c>
    </row>
    <row r="168" spans="1:14">
      <c r="A168" s="573"/>
      <c r="B168" s="578"/>
      <c r="C168" s="25" t="s">
        <v>262</v>
      </c>
      <c r="D168" s="310" t="s">
        <v>2208</v>
      </c>
      <c r="E168" s="16">
        <v>2</v>
      </c>
      <c r="F168" s="9"/>
      <c r="G168" s="26"/>
      <c r="H168" s="27"/>
      <c r="I168" s="28"/>
      <c r="L168" s="1" t="str">
        <f t="shared" si="3"/>
        <v>空白</v>
      </c>
      <c r="M168" s="1" t="str">
        <f t="shared" si="3"/>
        <v>空白</v>
      </c>
      <c r="N168" s="1" t="str">
        <f t="shared" si="3"/>
        <v>空白</v>
      </c>
    </row>
    <row r="169" spans="1:14">
      <c r="A169" s="573"/>
      <c r="B169" s="578"/>
      <c r="C169" s="25" t="s">
        <v>263</v>
      </c>
      <c r="D169" s="314" t="s">
        <v>2209</v>
      </c>
      <c r="E169" s="16">
        <v>3</v>
      </c>
      <c r="F169" s="9"/>
      <c r="G169" s="26"/>
      <c r="H169" s="73"/>
      <c r="I169" s="28"/>
      <c r="L169" s="1" t="str">
        <f t="shared" si="3"/>
        <v>空白</v>
      </c>
      <c r="M169" s="1" t="str">
        <f t="shared" si="3"/>
        <v>空白</v>
      </c>
      <c r="N169" s="1" t="str">
        <f t="shared" si="3"/>
        <v>空白</v>
      </c>
    </row>
    <row r="170" spans="1:14">
      <c r="A170" s="573"/>
      <c r="B170" s="578"/>
      <c r="C170" s="25" t="s">
        <v>264</v>
      </c>
      <c r="D170" s="310" t="s">
        <v>2210</v>
      </c>
      <c r="E170" s="16">
        <v>3</v>
      </c>
      <c r="F170" s="9"/>
      <c r="G170" s="26"/>
      <c r="H170" s="27"/>
      <c r="I170" s="28"/>
      <c r="L170" s="1" t="str">
        <f t="shared" si="3"/>
        <v>空白</v>
      </c>
      <c r="M170" s="1" t="str">
        <f t="shared" si="3"/>
        <v>空白</v>
      </c>
      <c r="N170" s="1" t="str">
        <f t="shared" si="3"/>
        <v>空白</v>
      </c>
    </row>
    <row r="171" spans="1:14">
      <c r="A171" s="573"/>
      <c r="B171" s="578"/>
      <c r="C171" s="25" t="s">
        <v>265</v>
      </c>
      <c r="D171" s="310" t="s">
        <v>2211</v>
      </c>
      <c r="E171" s="16">
        <v>4</v>
      </c>
      <c r="F171" s="9"/>
      <c r="G171" s="26"/>
      <c r="H171" s="27"/>
      <c r="I171" s="28"/>
      <c r="L171" s="1" t="str">
        <f t="shared" si="3"/>
        <v>空白</v>
      </c>
      <c r="M171" s="1" t="str">
        <f t="shared" si="3"/>
        <v>空白</v>
      </c>
      <c r="N171" s="1" t="str">
        <f t="shared" si="3"/>
        <v>空白</v>
      </c>
    </row>
    <row r="172" spans="1:14">
      <c r="A172" s="573"/>
      <c r="B172" s="578"/>
      <c r="C172" s="25" t="s">
        <v>266</v>
      </c>
      <c r="D172" s="310" t="s">
        <v>2212</v>
      </c>
      <c r="E172" s="16">
        <v>4</v>
      </c>
      <c r="F172" s="9"/>
      <c r="G172" s="26"/>
      <c r="H172" s="27"/>
      <c r="I172" s="28"/>
      <c r="L172" s="1" t="str">
        <f t="shared" si="3"/>
        <v>空白</v>
      </c>
      <c r="M172" s="1" t="str">
        <f t="shared" si="3"/>
        <v>空白</v>
      </c>
      <c r="N172" s="1" t="str">
        <f t="shared" si="3"/>
        <v>空白</v>
      </c>
    </row>
    <row r="173" spans="1:14">
      <c r="A173" s="573"/>
      <c r="B173" s="578"/>
      <c r="C173" s="25" t="s">
        <v>267</v>
      </c>
      <c r="D173" s="310" t="s">
        <v>2213</v>
      </c>
      <c r="E173" s="16">
        <v>1</v>
      </c>
      <c r="F173" s="9"/>
      <c r="G173" s="26"/>
      <c r="H173" s="27"/>
      <c r="I173" s="28"/>
      <c r="L173" s="1" t="str">
        <f t="shared" si="3"/>
        <v>空白</v>
      </c>
      <c r="M173" s="1" t="str">
        <f t="shared" si="3"/>
        <v>空白</v>
      </c>
      <c r="N173" s="1" t="str">
        <f t="shared" si="3"/>
        <v>空白</v>
      </c>
    </row>
    <row r="174" spans="1:14">
      <c r="A174" s="573"/>
      <c r="B174" s="578"/>
      <c r="C174" s="25" t="s">
        <v>268</v>
      </c>
      <c r="D174" s="310" t="s">
        <v>2214</v>
      </c>
      <c r="E174" s="16">
        <v>1</v>
      </c>
      <c r="F174" s="9"/>
      <c r="G174" s="26"/>
      <c r="H174" s="27"/>
      <c r="I174" s="28"/>
      <c r="L174" s="1" t="str">
        <f t="shared" si="3"/>
        <v>空白</v>
      </c>
      <c r="M174" s="1" t="str">
        <f t="shared" si="3"/>
        <v>空白</v>
      </c>
      <c r="N174" s="1" t="str">
        <f t="shared" si="3"/>
        <v>空白</v>
      </c>
    </row>
    <row r="175" spans="1:14">
      <c r="A175" s="573"/>
      <c r="B175" s="578"/>
      <c r="C175" s="25" t="s">
        <v>269</v>
      </c>
      <c r="D175" s="310" t="s">
        <v>2215</v>
      </c>
      <c r="E175" s="16">
        <v>2</v>
      </c>
      <c r="F175" s="9"/>
      <c r="G175" s="26"/>
      <c r="H175" s="27"/>
      <c r="I175" s="28"/>
      <c r="L175" s="1" t="str">
        <f t="shared" si="3"/>
        <v>空白</v>
      </c>
      <c r="M175" s="1" t="str">
        <f>IF(ISBLANK(G175),"空白",IF(G175=D175,"對","錯"))</f>
        <v>空白</v>
      </c>
      <c r="N175" s="1" t="str">
        <f t="shared" si="3"/>
        <v>空白</v>
      </c>
    </row>
    <row r="176" spans="1:14">
      <c r="A176" s="573"/>
      <c r="B176" s="578"/>
      <c r="C176" s="25" t="s">
        <v>270</v>
      </c>
      <c r="D176" s="310" t="s">
        <v>2216</v>
      </c>
      <c r="E176" s="16">
        <v>3</v>
      </c>
      <c r="F176" s="9"/>
      <c r="G176" s="26"/>
      <c r="H176" s="27"/>
      <c r="I176" s="28"/>
      <c r="L176" s="1" t="str">
        <f t="shared" si="3"/>
        <v>空白</v>
      </c>
      <c r="M176" s="1" t="str">
        <f t="shared" si="3"/>
        <v>空白</v>
      </c>
      <c r="N176" s="1" t="str">
        <f t="shared" si="3"/>
        <v>空白</v>
      </c>
    </row>
    <row r="177" spans="1:14">
      <c r="A177" s="573"/>
      <c r="B177" s="578"/>
      <c r="C177" s="25" t="s">
        <v>271</v>
      </c>
      <c r="D177" s="310" t="s">
        <v>2217</v>
      </c>
      <c r="E177" s="16">
        <v>4</v>
      </c>
      <c r="F177" s="9"/>
      <c r="G177" s="26"/>
      <c r="H177" s="27"/>
      <c r="I177" s="28"/>
      <c r="L177" s="1" t="str">
        <f t="shared" si="3"/>
        <v>空白</v>
      </c>
      <c r="M177" s="1" t="str">
        <f t="shared" si="3"/>
        <v>空白</v>
      </c>
      <c r="N177" s="1" t="str">
        <f t="shared" si="3"/>
        <v>空白</v>
      </c>
    </row>
    <row r="178" spans="1:14">
      <c r="A178" s="573"/>
      <c r="B178" s="578"/>
      <c r="C178" s="25" t="s">
        <v>272</v>
      </c>
      <c r="D178" s="310" t="s">
        <v>2218</v>
      </c>
      <c r="E178" s="16">
        <v>4</v>
      </c>
      <c r="F178" s="9"/>
      <c r="G178" s="26"/>
      <c r="H178" s="27"/>
      <c r="I178" s="28"/>
      <c r="L178" s="1" t="str">
        <f t="shared" si="3"/>
        <v>空白</v>
      </c>
      <c r="M178" s="1" t="str">
        <f t="shared" si="3"/>
        <v>空白</v>
      </c>
      <c r="N178" s="1" t="str">
        <f t="shared" si="3"/>
        <v>空白</v>
      </c>
    </row>
    <row r="179" spans="1:14">
      <c r="A179" s="573"/>
      <c r="B179" s="578"/>
      <c r="C179" s="25" t="s">
        <v>273</v>
      </c>
      <c r="D179" s="310" t="s">
        <v>2219</v>
      </c>
      <c r="E179" s="16">
        <v>2</v>
      </c>
      <c r="F179" s="9"/>
      <c r="G179" s="26"/>
      <c r="H179" s="27"/>
      <c r="I179" s="28"/>
      <c r="L179" s="1" t="str">
        <f t="shared" si="3"/>
        <v>空白</v>
      </c>
      <c r="M179" s="1" t="str">
        <f>IF(ISBLANK(G179),"空白",IF(G179=D179,"對","錯"))</f>
        <v>空白</v>
      </c>
      <c r="N179" s="1" t="str">
        <f t="shared" si="3"/>
        <v>空白</v>
      </c>
    </row>
    <row r="180" spans="1:14">
      <c r="A180" s="573"/>
      <c r="B180" s="578"/>
      <c r="C180" s="25" t="s">
        <v>274</v>
      </c>
      <c r="D180" s="333" t="s">
        <v>2220</v>
      </c>
      <c r="E180" s="16">
        <v>3</v>
      </c>
      <c r="F180" s="9"/>
      <c r="G180" s="26"/>
      <c r="H180" s="27"/>
      <c r="I180" s="28"/>
      <c r="L180" s="1" t="str">
        <f t="shared" si="3"/>
        <v>空白</v>
      </c>
      <c r="M180" s="1" t="str">
        <f t="shared" si="3"/>
        <v>空白</v>
      </c>
      <c r="N180" s="1" t="str">
        <f t="shared" si="3"/>
        <v>空白</v>
      </c>
    </row>
    <row r="181" spans="1:14" ht="39">
      <c r="A181" s="573"/>
      <c r="B181" s="578"/>
      <c r="C181" s="25" t="s">
        <v>275</v>
      </c>
      <c r="D181" s="333" t="s">
        <v>2893</v>
      </c>
      <c r="E181" s="16">
        <v>4</v>
      </c>
      <c r="F181" s="9"/>
      <c r="G181" s="26" t="s">
        <v>276</v>
      </c>
      <c r="H181" s="27"/>
      <c r="I181" s="28" t="s">
        <v>61</v>
      </c>
      <c r="K181" s="2" t="s">
        <v>54</v>
      </c>
      <c r="L181" s="1" t="str">
        <f t="shared" si="3"/>
        <v>空白</v>
      </c>
      <c r="M181" s="1" t="str">
        <f t="shared" si="3"/>
        <v>對</v>
      </c>
      <c r="N181" s="1" t="str">
        <f t="shared" si="3"/>
        <v>空白</v>
      </c>
    </row>
    <row r="182" spans="1:14">
      <c r="A182" s="573"/>
      <c r="B182" s="578"/>
      <c r="C182" s="34" t="s">
        <v>277</v>
      </c>
      <c r="D182" s="334" t="s">
        <v>2221</v>
      </c>
      <c r="E182" s="16">
        <v>4</v>
      </c>
      <c r="F182" s="9"/>
      <c r="G182" s="26"/>
      <c r="H182" s="27"/>
      <c r="I182" s="28"/>
      <c r="L182" s="1" t="str">
        <f t="shared" si="3"/>
        <v>空白</v>
      </c>
      <c r="M182" s="1" t="str">
        <f t="shared" si="3"/>
        <v>空白</v>
      </c>
      <c r="N182" s="1" t="str">
        <f t="shared" si="3"/>
        <v>空白</v>
      </c>
    </row>
    <row r="183" spans="1:14" ht="58.5">
      <c r="A183" s="573"/>
      <c r="B183" s="578"/>
      <c r="C183" s="132" t="s">
        <v>2894</v>
      </c>
      <c r="D183" s="332" t="s">
        <v>2895</v>
      </c>
      <c r="E183" s="16">
        <v>2</v>
      </c>
      <c r="F183" s="9" t="s">
        <v>278</v>
      </c>
      <c r="G183" s="114" t="s">
        <v>279</v>
      </c>
      <c r="H183" s="112">
        <v>2</v>
      </c>
      <c r="I183" s="104" t="s">
        <v>280</v>
      </c>
      <c r="K183" s="2" t="s">
        <v>242</v>
      </c>
      <c r="L183" s="1" t="str">
        <f t="shared" si="3"/>
        <v>對</v>
      </c>
      <c r="M183" s="1" t="str">
        <f t="shared" si="3"/>
        <v>對</v>
      </c>
      <c r="N183" s="1" t="str">
        <f t="shared" si="3"/>
        <v>對</v>
      </c>
    </row>
    <row r="184" spans="1:14" ht="39">
      <c r="A184" s="573"/>
      <c r="B184" s="579"/>
      <c r="C184" s="47" t="s">
        <v>2896</v>
      </c>
      <c r="D184" s="388" t="s">
        <v>2897</v>
      </c>
      <c r="E184" s="48">
        <v>2</v>
      </c>
      <c r="F184" s="9" t="s">
        <v>281</v>
      </c>
      <c r="G184" s="115" t="s">
        <v>282</v>
      </c>
      <c r="H184" s="113">
        <v>2</v>
      </c>
      <c r="I184" s="39" t="s">
        <v>283</v>
      </c>
      <c r="K184" s="2" t="s">
        <v>242</v>
      </c>
      <c r="L184" s="1" t="str">
        <f t="shared" si="3"/>
        <v>對</v>
      </c>
      <c r="M184" s="1" t="str">
        <f t="shared" si="3"/>
        <v>對</v>
      </c>
      <c r="N184" s="1" t="str">
        <f t="shared" si="3"/>
        <v>對</v>
      </c>
    </row>
    <row r="185" spans="1:14">
      <c r="A185" s="573"/>
      <c r="B185" s="580" t="s">
        <v>284</v>
      </c>
      <c r="C185" s="71"/>
      <c r="D185" s="325" t="s">
        <v>2222</v>
      </c>
      <c r="E185" s="41"/>
      <c r="F185" s="42"/>
      <c r="G185" s="95"/>
      <c r="H185" s="43"/>
      <c r="I185" s="304"/>
      <c r="L185" s="1" t="str">
        <f t="shared" si="3"/>
        <v>空白</v>
      </c>
      <c r="M185" s="1" t="str">
        <f t="shared" si="3"/>
        <v>空白</v>
      </c>
      <c r="N185" s="1" t="str">
        <f t="shared" si="3"/>
        <v>空白</v>
      </c>
    </row>
    <row r="186" spans="1:14" ht="19.5">
      <c r="A186" s="573"/>
      <c r="B186" s="576"/>
      <c r="C186" s="25" t="s">
        <v>285</v>
      </c>
      <c r="D186" s="310" t="s">
        <v>2223</v>
      </c>
      <c r="E186" s="83" t="s">
        <v>2862</v>
      </c>
      <c r="F186" s="30"/>
      <c r="G186" s="26"/>
      <c r="H186" s="27"/>
      <c r="I186" s="28"/>
      <c r="L186" s="1" t="str">
        <f t="shared" si="3"/>
        <v>空白</v>
      </c>
      <c r="M186" s="1" t="str">
        <f t="shared" si="3"/>
        <v>空白</v>
      </c>
      <c r="N186" s="1" t="str">
        <f t="shared" si="3"/>
        <v>空白</v>
      </c>
    </row>
    <row r="187" spans="1:14" ht="19.5">
      <c r="A187" s="573"/>
      <c r="B187" s="576"/>
      <c r="C187" s="25" t="s">
        <v>286</v>
      </c>
      <c r="D187" s="310" t="s">
        <v>2224</v>
      </c>
      <c r="E187" s="83" t="s">
        <v>2862</v>
      </c>
      <c r="F187" s="30"/>
      <c r="G187" s="26"/>
      <c r="H187" s="27"/>
      <c r="I187" s="28"/>
      <c r="L187" s="1" t="str">
        <f t="shared" si="3"/>
        <v>空白</v>
      </c>
      <c r="M187" s="1" t="str">
        <f t="shared" si="3"/>
        <v>空白</v>
      </c>
      <c r="N187" s="1" t="str">
        <f t="shared" si="3"/>
        <v>空白</v>
      </c>
    </row>
    <row r="188" spans="1:14">
      <c r="A188" s="573"/>
      <c r="B188" s="576"/>
      <c r="C188" s="25"/>
      <c r="D188" s="310" t="s">
        <v>2225</v>
      </c>
      <c r="E188" s="16"/>
      <c r="F188" s="9"/>
      <c r="G188" s="26"/>
      <c r="H188" s="27"/>
      <c r="I188" s="28"/>
      <c r="L188" s="1" t="str">
        <f t="shared" si="3"/>
        <v>空白</v>
      </c>
      <c r="M188" s="1" t="str">
        <f t="shared" si="3"/>
        <v>空白</v>
      </c>
      <c r="N188" s="1" t="str">
        <f t="shared" si="3"/>
        <v>空白</v>
      </c>
    </row>
    <row r="189" spans="1:14" ht="19.5">
      <c r="A189" s="573"/>
      <c r="B189" s="576"/>
      <c r="C189" s="25" t="s">
        <v>287</v>
      </c>
      <c r="D189" s="310" t="s">
        <v>2226</v>
      </c>
      <c r="E189" s="83" t="s">
        <v>2862</v>
      </c>
      <c r="F189" s="30"/>
      <c r="G189" s="26"/>
      <c r="H189" s="27"/>
      <c r="I189" s="28"/>
      <c r="L189" s="1" t="str">
        <f t="shared" si="3"/>
        <v>空白</v>
      </c>
      <c r="M189" s="1" t="str">
        <f t="shared" si="3"/>
        <v>空白</v>
      </c>
      <c r="N189" s="1" t="str">
        <f t="shared" si="3"/>
        <v>空白</v>
      </c>
    </row>
    <row r="190" spans="1:14" ht="19.5">
      <c r="A190" s="573"/>
      <c r="B190" s="576"/>
      <c r="C190" s="25" t="s">
        <v>288</v>
      </c>
      <c r="D190" s="310" t="s">
        <v>2227</v>
      </c>
      <c r="E190" s="83" t="s">
        <v>2862</v>
      </c>
      <c r="F190" s="30"/>
      <c r="G190" s="26"/>
      <c r="H190" s="27"/>
      <c r="I190" s="28"/>
      <c r="L190" s="1" t="str">
        <f t="shared" si="3"/>
        <v>空白</v>
      </c>
      <c r="M190" s="1" t="str">
        <f t="shared" si="3"/>
        <v>空白</v>
      </c>
      <c r="N190" s="1" t="str">
        <f t="shared" si="3"/>
        <v>空白</v>
      </c>
    </row>
    <row r="191" spans="1:14" ht="19.5">
      <c r="A191" s="573"/>
      <c r="B191" s="576"/>
      <c r="C191" s="25" t="s">
        <v>289</v>
      </c>
      <c r="D191" s="310" t="s">
        <v>2228</v>
      </c>
      <c r="E191" s="83" t="s">
        <v>2862</v>
      </c>
      <c r="F191" s="30"/>
      <c r="G191" s="26"/>
      <c r="H191" s="27"/>
      <c r="I191" s="28"/>
      <c r="L191" s="1" t="str">
        <f t="shared" si="3"/>
        <v>空白</v>
      </c>
      <c r="M191" s="1" t="str">
        <f t="shared" si="3"/>
        <v>空白</v>
      </c>
      <c r="N191" s="1" t="str">
        <f t="shared" si="3"/>
        <v>空白</v>
      </c>
    </row>
    <row r="192" spans="1:14" ht="19.5">
      <c r="A192" s="573"/>
      <c r="B192" s="576"/>
      <c r="C192" s="25" t="s">
        <v>290</v>
      </c>
      <c r="D192" s="310" t="s">
        <v>2229</v>
      </c>
      <c r="E192" s="83" t="s">
        <v>2862</v>
      </c>
      <c r="F192" s="30"/>
      <c r="G192" s="26"/>
      <c r="H192" s="27"/>
      <c r="I192" s="28"/>
      <c r="L192" s="1" t="str">
        <f t="shared" si="3"/>
        <v>空白</v>
      </c>
      <c r="M192" s="1" t="str">
        <f>IF(ISBLANK(G192),"空白",IF(G192=D192,"對","錯"))</f>
        <v>空白</v>
      </c>
      <c r="N192" s="1" t="str">
        <f t="shared" si="3"/>
        <v>空白</v>
      </c>
    </row>
    <row r="193" spans="1:14" ht="19.5">
      <c r="A193" s="573"/>
      <c r="B193" s="576"/>
      <c r="C193" s="25" t="s">
        <v>291</v>
      </c>
      <c r="D193" s="310" t="s">
        <v>2230</v>
      </c>
      <c r="E193" s="83" t="s">
        <v>2862</v>
      </c>
      <c r="F193" s="30"/>
      <c r="G193" s="26"/>
      <c r="H193" s="27"/>
      <c r="I193" s="28"/>
      <c r="L193" s="1" t="str">
        <f t="shared" si="3"/>
        <v>空白</v>
      </c>
      <c r="M193" s="1" t="str">
        <f t="shared" si="3"/>
        <v>空白</v>
      </c>
      <c r="N193" s="1" t="str">
        <f t="shared" si="3"/>
        <v>空白</v>
      </c>
    </row>
    <row r="194" spans="1:14" ht="19.5">
      <c r="A194" s="573"/>
      <c r="B194" s="576"/>
      <c r="C194" s="25" t="s">
        <v>292</v>
      </c>
      <c r="D194" s="310" t="s">
        <v>2231</v>
      </c>
      <c r="E194" s="83" t="s">
        <v>2862</v>
      </c>
      <c r="F194" s="30"/>
      <c r="G194" s="26"/>
      <c r="H194" s="27"/>
      <c r="I194" s="28"/>
      <c r="L194" s="1" t="str">
        <f t="shared" si="3"/>
        <v>空白</v>
      </c>
      <c r="M194" s="1" t="str">
        <f t="shared" si="3"/>
        <v>空白</v>
      </c>
      <c r="N194" s="1" t="str">
        <f t="shared" si="3"/>
        <v>空白</v>
      </c>
    </row>
    <row r="195" spans="1:14" ht="19.5">
      <c r="A195" s="573"/>
      <c r="B195" s="576"/>
      <c r="C195" s="25" t="s">
        <v>293</v>
      </c>
      <c r="D195" s="310" t="s">
        <v>2232</v>
      </c>
      <c r="E195" s="83" t="s">
        <v>2862</v>
      </c>
      <c r="F195" s="30"/>
      <c r="G195" s="26"/>
      <c r="H195" s="27"/>
      <c r="I195" s="28"/>
      <c r="L195" s="1" t="str">
        <f t="shared" si="3"/>
        <v>空白</v>
      </c>
      <c r="M195" s="1" t="str">
        <f t="shared" si="3"/>
        <v>空白</v>
      </c>
      <c r="N195" s="1" t="str">
        <f t="shared" si="3"/>
        <v>空白</v>
      </c>
    </row>
    <row r="196" spans="1:14" ht="19.5">
      <c r="A196" s="573"/>
      <c r="B196" s="576"/>
      <c r="C196" s="25" t="s">
        <v>294</v>
      </c>
      <c r="D196" s="310" t="s">
        <v>2233</v>
      </c>
      <c r="E196" s="83" t="s">
        <v>2862</v>
      </c>
      <c r="F196" s="30"/>
      <c r="G196" s="26"/>
      <c r="H196" s="27"/>
      <c r="I196" s="28"/>
      <c r="L196" s="1" t="str">
        <f t="shared" si="3"/>
        <v>空白</v>
      </c>
      <c r="M196" s="1" t="str">
        <f t="shared" si="3"/>
        <v>空白</v>
      </c>
      <c r="N196" s="1" t="str">
        <f t="shared" si="3"/>
        <v>空白</v>
      </c>
    </row>
    <row r="197" spans="1:14" ht="19.5">
      <c r="A197" s="573"/>
      <c r="B197" s="576"/>
      <c r="C197" s="25" t="s">
        <v>295</v>
      </c>
      <c r="D197" s="310" t="s">
        <v>2234</v>
      </c>
      <c r="E197" s="83" t="s">
        <v>2862</v>
      </c>
      <c r="F197" s="30"/>
      <c r="G197" s="26"/>
      <c r="H197" s="27"/>
      <c r="I197" s="28"/>
      <c r="L197" s="1" t="str">
        <f t="shared" si="3"/>
        <v>空白</v>
      </c>
      <c r="M197" s="1" t="str">
        <f t="shared" si="3"/>
        <v>空白</v>
      </c>
      <c r="N197" s="1" t="str">
        <f t="shared" si="3"/>
        <v>空白</v>
      </c>
    </row>
    <row r="198" spans="1:14">
      <c r="A198" s="573"/>
      <c r="B198" s="576"/>
      <c r="C198" s="25"/>
      <c r="D198" s="310" t="s">
        <v>2235</v>
      </c>
      <c r="E198" s="16"/>
      <c r="F198" s="9"/>
      <c r="G198" s="26"/>
      <c r="H198" s="27"/>
      <c r="I198" s="28"/>
      <c r="L198" s="1" t="str">
        <f t="shared" ref="L198:N261" si="4">IF(ISBLANK(F198),"空白",IF(F198=C198,"對","錯"))</f>
        <v>空白</v>
      </c>
      <c r="M198" s="1" t="str">
        <f t="shared" si="4"/>
        <v>空白</v>
      </c>
      <c r="N198" s="1" t="str">
        <f t="shared" si="4"/>
        <v>空白</v>
      </c>
    </row>
    <row r="199" spans="1:14" ht="19.5">
      <c r="A199" s="573"/>
      <c r="B199" s="576"/>
      <c r="C199" s="25" t="s">
        <v>296</v>
      </c>
      <c r="D199" s="310" t="s">
        <v>2236</v>
      </c>
      <c r="E199" s="83" t="s">
        <v>2862</v>
      </c>
      <c r="F199" s="30"/>
      <c r="G199" s="26"/>
      <c r="H199" s="27"/>
      <c r="I199" s="28"/>
      <c r="L199" s="1" t="str">
        <f t="shared" si="4"/>
        <v>空白</v>
      </c>
      <c r="M199" s="1" t="str">
        <f t="shared" si="4"/>
        <v>空白</v>
      </c>
      <c r="N199" s="1" t="str">
        <f t="shared" si="4"/>
        <v>空白</v>
      </c>
    </row>
    <row r="200" spans="1:14" ht="19.5">
      <c r="A200" s="573"/>
      <c r="B200" s="576"/>
      <c r="C200" s="25" t="s">
        <v>297</v>
      </c>
      <c r="D200" s="310" t="s">
        <v>2237</v>
      </c>
      <c r="E200" s="83" t="s">
        <v>2862</v>
      </c>
      <c r="F200" s="30"/>
      <c r="G200" s="26"/>
      <c r="H200" s="27"/>
      <c r="I200" s="28"/>
      <c r="L200" s="1" t="str">
        <f t="shared" si="4"/>
        <v>空白</v>
      </c>
      <c r="M200" s="1" t="str">
        <f t="shared" si="4"/>
        <v>空白</v>
      </c>
      <c r="N200" s="1" t="str">
        <f t="shared" si="4"/>
        <v>空白</v>
      </c>
    </row>
    <row r="201" spans="1:14" ht="19.5">
      <c r="A201" s="573"/>
      <c r="B201" s="576"/>
      <c r="C201" s="25" t="s">
        <v>298</v>
      </c>
      <c r="D201" s="333" t="s">
        <v>2238</v>
      </c>
      <c r="E201" s="83" t="s">
        <v>2862</v>
      </c>
      <c r="F201" s="30"/>
      <c r="G201" s="26"/>
      <c r="H201" s="27"/>
      <c r="I201" s="28"/>
      <c r="L201" s="1" t="str">
        <f t="shared" si="4"/>
        <v>空白</v>
      </c>
      <c r="M201" s="1" t="str">
        <f t="shared" si="4"/>
        <v>空白</v>
      </c>
      <c r="N201" s="1" t="str">
        <f t="shared" si="4"/>
        <v>空白</v>
      </c>
    </row>
    <row r="202" spans="1:14" ht="19.5">
      <c r="A202" s="573"/>
      <c r="B202" s="576"/>
      <c r="C202" s="25" t="s">
        <v>299</v>
      </c>
      <c r="D202" s="310" t="s">
        <v>2239</v>
      </c>
      <c r="E202" s="83" t="s">
        <v>2862</v>
      </c>
      <c r="F202" s="30"/>
      <c r="G202" s="26"/>
      <c r="H202" s="27"/>
      <c r="I202" s="28"/>
      <c r="L202" s="1" t="str">
        <f t="shared" si="4"/>
        <v>空白</v>
      </c>
      <c r="M202" s="1" t="str">
        <f t="shared" si="4"/>
        <v>空白</v>
      </c>
      <c r="N202" s="1" t="str">
        <f t="shared" si="4"/>
        <v>空白</v>
      </c>
    </row>
    <row r="203" spans="1:14" ht="19.5">
      <c r="A203" s="573"/>
      <c r="B203" s="576"/>
      <c r="C203" s="25" t="s">
        <v>300</v>
      </c>
      <c r="D203" s="308" t="s">
        <v>2240</v>
      </c>
      <c r="E203" s="83" t="s">
        <v>2862</v>
      </c>
      <c r="F203" s="30"/>
      <c r="G203" s="26"/>
      <c r="H203" s="27"/>
      <c r="I203" s="28"/>
      <c r="L203" s="1" t="str">
        <f t="shared" si="4"/>
        <v>空白</v>
      </c>
      <c r="M203" s="1" t="str">
        <f t="shared" si="4"/>
        <v>空白</v>
      </c>
      <c r="N203" s="1" t="str">
        <f t="shared" si="4"/>
        <v>空白</v>
      </c>
    </row>
    <row r="204" spans="1:14" ht="19.5">
      <c r="A204" s="573"/>
      <c r="B204" s="576"/>
      <c r="C204" s="25" t="s">
        <v>301</v>
      </c>
      <c r="D204" s="310" t="s">
        <v>2241</v>
      </c>
      <c r="E204" s="83" t="s">
        <v>2862</v>
      </c>
      <c r="F204" s="30"/>
      <c r="G204" s="26"/>
      <c r="H204" s="27"/>
      <c r="I204" s="28"/>
      <c r="L204" s="1" t="str">
        <f t="shared" si="4"/>
        <v>空白</v>
      </c>
      <c r="M204" s="1" t="str">
        <f t="shared" si="4"/>
        <v>空白</v>
      </c>
      <c r="N204" s="1" t="str">
        <f t="shared" si="4"/>
        <v>空白</v>
      </c>
    </row>
    <row r="205" spans="1:14" ht="19.5">
      <c r="A205" s="573"/>
      <c r="B205" s="576"/>
      <c r="C205" s="25" t="s">
        <v>302</v>
      </c>
      <c r="D205" s="310" t="s">
        <v>2242</v>
      </c>
      <c r="E205" s="83" t="s">
        <v>2862</v>
      </c>
      <c r="F205" s="30"/>
      <c r="G205" s="26"/>
      <c r="H205" s="27"/>
      <c r="I205" s="28"/>
      <c r="L205" s="1" t="str">
        <f t="shared" si="4"/>
        <v>空白</v>
      </c>
      <c r="M205" s="1" t="str">
        <f t="shared" si="4"/>
        <v>空白</v>
      </c>
      <c r="N205" s="1" t="str">
        <f t="shared" si="4"/>
        <v>空白</v>
      </c>
    </row>
    <row r="206" spans="1:14" ht="19.5">
      <c r="A206" s="573"/>
      <c r="B206" s="576"/>
      <c r="C206" s="25" t="s">
        <v>303</v>
      </c>
      <c r="D206" s="310" t="s">
        <v>2243</v>
      </c>
      <c r="E206" s="83" t="s">
        <v>2862</v>
      </c>
      <c r="F206" s="30"/>
      <c r="G206" s="26"/>
      <c r="H206" s="27"/>
      <c r="I206" s="28"/>
      <c r="L206" s="1" t="str">
        <f t="shared" si="4"/>
        <v>空白</v>
      </c>
      <c r="M206" s="1" t="str">
        <f t="shared" si="4"/>
        <v>空白</v>
      </c>
      <c r="N206" s="1" t="str">
        <f t="shared" si="4"/>
        <v>空白</v>
      </c>
    </row>
    <row r="207" spans="1:14" ht="19.5">
      <c r="A207" s="573"/>
      <c r="B207" s="576"/>
      <c r="C207" s="25" t="s">
        <v>304</v>
      </c>
      <c r="D207" s="310" t="s">
        <v>2244</v>
      </c>
      <c r="E207" s="83" t="s">
        <v>2862</v>
      </c>
      <c r="F207" s="30"/>
      <c r="G207" s="26"/>
      <c r="H207" s="27"/>
      <c r="I207" s="28"/>
      <c r="L207" s="1" t="str">
        <f t="shared" si="4"/>
        <v>空白</v>
      </c>
      <c r="M207" s="1" t="str">
        <f>IF(ISBLANK(G207),"空白",IF(G207=D207,"對","錯"))</f>
        <v>空白</v>
      </c>
      <c r="N207" s="1" t="str">
        <f t="shared" si="4"/>
        <v>空白</v>
      </c>
    </row>
    <row r="208" spans="1:14">
      <c r="A208" s="573"/>
      <c r="B208" s="576"/>
      <c r="C208" s="25"/>
      <c r="D208" s="308" t="s">
        <v>2245</v>
      </c>
      <c r="E208" s="16"/>
      <c r="F208" s="9"/>
      <c r="G208" s="26"/>
      <c r="H208" s="27"/>
      <c r="I208" s="28"/>
      <c r="L208" s="1" t="str">
        <f t="shared" si="4"/>
        <v>空白</v>
      </c>
      <c r="M208" s="1" t="str">
        <f t="shared" si="4"/>
        <v>空白</v>
      </c>
      <c r="N208" s="1" t="str">
        <f t="shared" si="4"/>
        <v>空白</v>
      </c>
    </row>
    <row r="209" spans="1:14" ht="19.5">
      <c r="A209" s="573"/>
      <c r="B209" s="576"/>
      <c r="C209" s="25" t="s">
        <v>305</v>
      </c>
      <c r="D209" s="308" t="s">
        <v>2246</v>
      </c>
      <c r="E209" s="83" t="s">
        <v>2862</v>
      </c>
      <c r="F209" s="30"/>
      <c r="G209" s="26"/>
      <c r="H209" s="27"/>
      <c r="I209" s="28"/>
      <c r="L209" s="1" t="str">
        <f t="shared" si="4"/>
        <v>空白</v>
      </c>
      <c r="M209" s="1" t="str">
        <f>IF(ISBLANK(G209),"空白",IF(G209=D209,"對","錯"))</f>
        <v>空白</v>
      </c>
      <c r="N209" s="1" t="str">
        <f t="shared" si="4"/>
        <v>空白</v>
      </c>
    </row>
    <row r="210" spans="1:14" ht="19.5">
      <c r="A210" s="573"/>
      <c r="B210" s="576"/>
      <c r="C210" s="25" t="s">
        <v>306</v>
      </c>
      <c r="D210" s="308" t="s">
        <v>2247</v>
      </c>
      <c r="E210" s="83" t="s">
        <v>2862</v>
      </c>
      <c r="F210" s="30"/>
      <c r="G210" s="26"/>
      <c r="H210" s="27"/>
      <c r="I210" s="28"/>
      <c r="L210" s="1" t="str">
        <f t="shared" si="4"/>
        <v>空白</v>
      </c>
      <c r="M210" s="1" t="str">
        <f t="shared" si="4"/>
        <v>空白</v>
      </c>
      <c r="N210" s="1" t="str">
        <f t="shared" si="4"/>
        <v>空白</v>
      </c>
    </row>
    <row r="211" spans="1:14">
      <c r="A211" s="573"/>
      <c r="B211" s="576"/>
      <c r="C211" s="25"/>
      <c r="D211" s="308" t="s">
        <v>2248</v>
      </c>
      <c r="E211" s="16"/>
      <c r="F211" s="9"/>
      <c r="G211" s="26"/>
      <c r="H211" s="27"/>
      <c r="I211" s="28"/>
      <c r="L211" s="1" t="str">
        <f t="shared" si="4"/>
        <v>空白</v>
      </c>
      <c r="M211" s="1" t="str">
        <f t="shared" si="4"/>
        <v>空白</v>
      </c>
      <c r="N211" s="1" t="str">
        <f t="shared" si="4"/>
        <v>空白</v>
      </c>
    </row>
    <row r="212" spans="1:14">
      <c r="A212" s="573"/>
      <c r="B212" s="576"/>
      <c r="C212" s="25" t="s">
        <v>307</v>
      </c>
      <c r="D212" s="310" t="s">
        <v>2249</v>
      </c>
      <c r="E212" s="16">
        <v>4</v>
      </c>
      <c r="F212" s="9"/>
      <c r="G212" s="26"/>
      <c r="H212" s="27"/>
      <c r="I212" s="28"/>
      <c r="L212" s="1" t="str">
        <f t="shared" si="4"/>
        <v>空白</v>
      </c>
      <c r="M212" s="1" t="str">
        <f t="shared" si="4"/>
        <v>空白</v>
      </c>
      <c r="N212" s="1" t="str">
        <f t="shared" si="4"/>
        <v>空白</v>
      </c>
    </row>
    <row r="213" spans="1:14">
      <c r="A213" s="573"/>
      <c r="B213" s="576"/>
      <c r="C213" s="25" t="s">
        <v>308</v>
      </c>
      <c r="D213" s="310" t="s">
        <v>2250</v>
      </c>
      <c r="E213" s="16">
        <v>4</v>
      </c>
      <c r="F213" s="9"/>
      <c r="G213" s="26"/>
      <c r="H213" s="27"/>
      <c r="I213" s="28"/>
      <c r="L213" s="1" t="str">
        <f t="shared" si="4"/>
        <v>空白</v>
      </c>
      <c r="M213" s="1" t="str">
        <f t="shared" si="4"/>
        <v>空白</v>
      </c>
      <c r="N213" s="1" t="str">
        <f t="shared" si="4"/>
        <v>空白</v>
      </c>
    </row>
    <row r="214" spans="1:14">
      <c r="A214" s="573"/>
      <c r="B214" s="576"/>
      <c r="C214" s="25" t="s">
        <v>309</v>
      </c>
      <c r="D214" s="310" t="s">
        <v>2251</v>
      </c>
      <c r="E214" s="16">
        <v>3</v>
      </c>
      <c r="F214" s="9"/>
      <c r="G214" s="26"/>
      <c r="H214" s="27"/>
      <c r="I214" s="28"/>
      <c r="L214" s="1" t="str">
        <f t="shared" si="4"/>
        <v>空白</v>
      </c>
      <c r="M214" s="1" t="str">
        <f t="shared" si="4"/>
        <v>空白</v>
      </c>
      <c r="N214" s="1" t="str">
        <f t="shared" si="4"/>
        <v>空白</v>
      </c>
    </row>
    <row r="215" spans="1:14">
      <c r="A215" s="573"/>
      <c r="B215" s="576"/>
      <c r="C215" s="25" t="s">
        <v>310</v>
      </c>
      <c r="D215" s="310" t="s">
        <v>2252</v>
      </c>
      <c r="E215" s="16">
        <v>4</v>
      </c>
      <c r="F215" s="9"/>
      <c r="G215" s="26"/>
      <c r="H215" s="27"/>
      <c r="I215" s="28"/>
      <c r="L215" s="1" t="str">
        <f t="shared" si="4"/>
        <v>空白</v>
      </c>
      <c r="M215" s="1" t="str">
        <f t="shared" si="4"/>
        <v>空白</v>
      </c>
      <c r="N215" s="1" t="str">
        <f t="shared" si="4"/>
        <v>空白</v>
      </c>
    </row>
    <row r="216" spans="1:14">
      <c r="A216" s="573"/>
      <c r="B216" s="576"/>
      <c r="C216" s="25" t="s">
        <v>311</v>
      </c>
      <c r="D216" s="310" t="s">
        <v>2253</v>
      </c>
      <c r="E216" s="16">
        <v>4</v>
      </c>
      <c r="F216" s="9"/>
      <c r="G216" s="69"/>
      <c r="H216" s="116"/>
      <c r="I216" s="28"/>
      <c r="L216" s="1" t="str">
        <f t="shared" si="4"/>
        <v>空白</v>
      </c>
      <c r="M216" s="1" t="str">
        <f t="shared" si="4"/>
        <v>空白</v>
      </c>
      <c r="N216" s="1" t="str">
        <f t="shared" si="4"/>
        <v>空白</v>
      </c>
    </row>
    <row r="217" spans="1:14">
      <c r="A217" s="573"/>
      <c r="B217" s="576"/>
      <c r="C217" s="25" t="s">
        <v>312</v>
      </c>
      <c r="D217" s="310" t="s">
        <v>2254</v>
      </c>
      <c r="E217" s="16">
        <v>2</v>
      </c>
      <c r="F217" s="9"/>
      <c r="G217" s="26"/>
      <c r="H217" s="27"/>
      <c r="I217" s="28"/>
      <c r="L217" s="1" t="str">
        <f t="shared" si="4"/>
        <v>空白</v>
      </c>
      <c r="M217" s="1" t="str">
        <f t="shared" si="4"/>
        <v>空白</v>
      </c>
      <c r="N217" s="1" t="str">
        <f t="shared" si="4"/>
        <v>空白</v>
      </c>
    </row>
    <row r="218" spans="1:14">
      <c r="A218" s="573"/>
      <c r="B218" s="576"/>
      <c r="C218" s="25" t="s">
        <v>313</v>
      </c>
      <c r="D218" s="310" t="s">
        <v>2255</v>
      </c>
      <c r="E218" s="16">
        <v>3</v>
      </c>
      <c r="F218" s="9"/>
      <c r="G218" s="26"/>
      <c r="H218" s="27"/>
      <c r="I218" s="28"/>
      <c r="L218" s="1" t="str">
        <f t="shared" si="4"/>
        <v>空白</v>
      </c>
      <c r="M218" s="1" t="str">
        <f t="shared" si="4"/>
        <v>空白</v>
      </c>
      <c r="N218" s="1" t="str">
        <f t="shared" si="4"/>
        <v>空白</v>
      </c>
    </row>
    <row r="219" spans="1:14">
      <c r="A219" s="573"/>
      <c r="B219" s="576"/>
      <c r="C219" s="25" t="s">
        <v>314</v>
      </c>
      <c r="D219" s="310" t="s">
        <v>2256</v>
      </c>
      <c r="E219" s="16">
        <v>4</v>
      </c>
      <c r="F219" s="9"/>
      <c r="G219" s="26"/>
      <c r="H219" s="27"/>
      <c r="I219" s="28"/>
      <c r="L219" s="1" t="str">
        <f t="shared" si="4"/>
        <v>空白</v>
      </c>
      <c r="M219" s="1" t="str">
        <f t="shared" si="4"/>
        <v>空白</v>
      </c>
      <c r="N219" s="1" t="str">
        <f t="shared" si="4"/>
        <v>空白</v>
      </c>
    </row>
    <row r="220" spans="1:14">
      <c r="A220" s="573"/>
      <c r="B220" s="576"/>
      <c r="C220" s="25" t="s">
        <v>315</v>
      </c>
      <c r="D220" s="310" t="s">
        <v>2257</v>
      </c>
      <c r="E220" s="16">
        <v>4</v>
      </c>
      <c r="F220" s="9"/>
      <c r="G220" s="26"/>
      <c r="H220" s="27"/>
      <c r="I220" s="28"/>
      <c r="L220" s="1" t="str">
        <f t="shared" si="4"/>
        <v>空白</v>
      </c>
      <c r="M220" s="1" t="str">
        <f t="shared" si="4"/>
        <v>空白</v>
      </c>
      <c r="N220" s="1" t="str">
        <f t="shared" si="4"/>
        <v>空白</v>
      </c>
    </row>
    <row r="221" spans="1:14">
      <c r="A221" s="573"/>
      <c r="B221" s="576"/>
      <c r="C221" s="25" t="s">
        <v>316</v>
      </c>
      <c r="D221" s="310" t="s">
        <v>2258</v>
      </c>
      <c r="E221" s="16">
        <v>4</v>
      </c>
      <c r="F221" s="9"/>
      <c r="G221" s="26"/>
      <c r="H221" s="27"/>
      <c r="I221" s="28"/>
      <c r="L221" s="1" t="str">
        <f t="shared" si="4"/>
        <v>空白</v>
      </c>
      <c r="M221" s="1" t="str">
        <f t="shared" si="4"/>
        <v>空白</v>
      </c>
      <c r="N221" s="1" t="str">
        <f t="shared" si="4"/>
        <v>空白</v>
      </c>
    </row>
    <row r="222" spans="1:14">
      <c r="A222" s="573"/>
      <c r="B222" s="576"/>
      <c r="C222" s="25" t="s">
        <v>317</v>
      </c>
      <c r="D222" s="310" t="s">
        <v>2259</v>
      </c>
      <c r="E222" s="16">
        <v>6</v>
      </c>
      <c r="F222" s="9"/>
      <c r="G222" s="26"/>
      <c r="H222" s="27"/>
      <c r="I222" s="28"/>
      <c r="L222" s="1" t="str">
        <f t="shared" si="4"/>
        <v>空白</v>
      </c>
      <c r="M222" s="1" t="str">
        <f t="shared" si="4"/>
        <v>空白</v>
      </c>
      <c r="N222" s="1" t="str">
        <f t="shared" si="4"/>
        <v>空白</v>
      </c>
    </row>
    <row r="223" spans="1:14">
      <c r="A223" s="573"/>
      <c r="B223" s="576"/>
      <c r="C223" s="25" t="s">
        <v>318</v>
      </c>
      <c r="D223" s="310" t="s">
        <v>2260</v>
      </c>
      <c r="E223" s="16">
        <v>5</v>
      </c>
      <c r="F223" s="9"/>
      <c r="G223" s="26"/>
      <c r="H223" s="27"/>
      <c r="I223" s="28"/>
      <c r="L223" s="1" t="str">
        <f t="shared" si="4"/>
        <v>空白</v>
      </c>
      <c r="M223" s="1" t="str">
        <f t="shared" si="4"/>
        <v>空白</v>
      </c>
      <c r="N223" s="1" t="str">
        <f t="shared" si="4"/>
        <v>空白</v>
      </c>
    </row>
    <row r="224" spans="1:14">
      <c r="A224" s="573"/>
      <c r="B224" s="576"/>
      <c r="C224" s="25" t="s">
        <v>319</v>
      </c>
      <c r="D224" s="310" t="s">
        <v>2261</v>
      </c>
      <c r="E224" s="16">
        <v>6</v>
      </c>
      <c r="F224" s="9"/>
      <c r="G224" s="26"/>
      <c r="H224" s="27"/>
      <c r="I224" s="28"/>
      <c r="L224" s="1" t="str">
        <f t="shared" si="4"/>
        <v>空白</v>
      </c>
      <c r="M224" s="1" t="str">
        <f>IF(ISBLANK(G224),"空白",IF(G224=D224,"對","錯"))</f>
        <v>空白</v>
      </c>
      <c r="N224" s="1" t="str">
        <f t="shared" si="4"/>
        <v>空白</v>
      </c>
    </row>
    <row r="225" spans="1:14">
      <c r="A225" s="573"/>
      <c r="B225" s="576"/>
      <c r="C225" s="63" t="s">
        <v>320</v>
      </c>
      <c r="D225" s="335" t="s">
        <v>2262</v>
      </c>
      <c r="E225" s="117">
        <v>4</v>
      </c>
      <c r="F225" s="9"/>
      <c r="G225" s="26"/>
      <c r="H225" s="27"/>
      <c r="I225" s="28"/>
      <c r="L225" s="1" t="str">
        <f t="shared" si="4"/>
        <v>空白</v>
      </c>
      <c r="M225" s="1" t="str">
        <f t="shared" si="4"/>
        <v>空白</v>
      </c>
      <c r="N225" s="1" t="str">
        <f t="shared" si="4"/>
        <v>空白</v>
      </c>
    </row>
    <row r="226" spans="1:14" ht="39">
      <c r="A226" s="573"/>
      <c r="B226" s="581"/>
      <c r="C226" s="51" t="s">
        <v>2898</v>
      </c>
      <c r="D226" s="389" t="s">
        <v>2899</v>
      </c>
      <c r="E226" s="118">
        <v>1</v>
      </c>
      <c r="F226" s="58" t="s">
        <v>321</v>
      </c>
      <c r="G226" s="119" t="s">
        <v>322</v>
      </c>
      <c r="H226" s="75">
        <v>1</v>
      </c>
      <c r="I226" s="39" t="s">
        <v>323</v>
      </c>
      <c r="K226" s="2" t="s">
        <v>242</v>
      </c>
      <c r="L226" s="1" t="str">
        <f t="shared" si="4"/>
        <v>對</v>
      </c>
      <c r="M226" s="1" t="str">
        <f t="shared" si="4"/>
        <v>對</v>
      </c>
      <c r="N226" s="1" t="str">
        <f t="shared" si="4"/>
        <v>對</v>
      </c>
    </row>
    <row r="227" spans="1:14">
      <c r="A227" s="573"/>
      <c r="B227" s="580" t="s">
        <v>324</v>
      </c>
      <c r="C227" s="22"/>
      <c r="D227" s="313" t="s">
        <v>2263</v>
      </c>
      <c r="E227" s="48"/>
      <c r="F227" s="23"/>
      <c r="G227" s="95"/>
      <c r="H227" s="89"/>
      <c r="I227" s="304"/>
      <c r="L227" s="1" t="str">
        <f t="shared" si="4"/>
        <v>空白</v>
      </c>
      <c r="M227" s="1" t="str">
        <f>IF(ISBLANK(G227),"空白",IF(G227=D227,"對","錯"))</f>
        <v>空白</v>
      </c>
      <c r="N227" s="1" t="str">
        <f t="shared" si="4"/>
        <v>空白</v>
      </c>
    </row>
    <row r="228" spans="1:14">
      <c r="A228" s="573"/>
      <c r="B228" s="576"/>
      <c r="C228" s="25" t="s">
        <v>325</v>
      </c>
      <c r="D228" s="310" t="s">
        <v>2200</v>
      </c>
      <c r="E228" s="16">
        <v>1</v>
      </c>
      <c r="F228" s="9"/>
      <c r="G228" s="26"/>
      <c r="H228" s="27"/>
      <c r="I228" s="28"/>
      <c r="L228" s="1" t="str">
        <f t="shared" si="4"/>
        <v>空白</v>
      </c>
      <c r="M228" s="1" t="str">
        <f t="shared" si="4"/>
        <v>空白</v>
      </c>
      <c r="N228" s="1" t="str">
        <f t="shared" si="4"/>
        <v>空白</v>
      </c>
    </row>
    <row r="229" spans="1:14">
      <c r="A229" s="573"/>
      <c r="B229" s="576"/>
      <c r="C229" s="25" t="s">
        <v>326</v>
      </c>
      <c r="D229" s="310" t="s">
        <v>2202</v>
      </c>
      <c r="E229" s="16">
        <v>1</v>
      </c>
      <c r="F229" s="9"/>
      <c r="G229" s="26"/>
      <c r="H229" s="27"/>
      <c r="I229" s="28"/>
      <c r="L229" s="1" t="str">
        <f t="shared" si="4"/>
        <v>空白</v>
      </c>
      <c r="M229" s="1" t="str">
        <f t="shared" si="4"/>
        <v>空白</v>
      </c>
      <c r="N229" s="1" t="str">
        <f t="shared" si="4"/>
        <v>空白</v>
      </c>
    </row>
    <row r="230" spans="1:14">
      <c r="A230" s="573"/>
      <c r="B230" s="576"/>
      <c r="C230" s="25" t="s">
        <v>327</v>
      </c>
      <c r="D230" s="310" t="s">
        <v>2205</v>
      </c>
      <c r="E230" s="16">
        <v>1</v>
      </c>
      <c r="F230" s="9"/>
      <c r="G230" s="26"/>
      <c r="H230" s="27"/>
      <c r="I230" s="28"/>
      <c r="L230" s="1" t="str">
        <f t="shared" si="4"/>
        <v>空白</v>
      </c>
      <c r="M230" s="1" t="str">
        <f t="shared" si="4"/>
        <v>空白</v>
      </c>
      <c r="N230" s="1" t="str">
        <f t="shared" si="4"/>
        <v>空白</v>
      </c>
    </row>
    <row r="231" spans="1:14">
      <c r="A231" s="573"/>
      <c r="B231" s="576"/>
      <c r="C231" s="25" t="s">
        <v>328</v>
      </c>
      <c r="D231" s="310" t="s">
        <v>2203</v>
      </c>
      <c r="E231" s="16">
        <v>1</v>
      </c>
      <c r="F231" s="9"/>
      <c r="G231" s="26"/>
      <c r="H231" s="27"/>
      <c r="I231" s="28"/>
      <c r="L231" s="1" t="str">
        <f t="shared" si="4"/>
        <v>空白</v>
      </c>
      <c r="M231" s="1" t="str">
        <f t="shared" si="4"/>
        <v>空白</v>
      </c>
      <c r="N231" s="1" t="str">
        <f t="shared" si="4"/>
        <v>空白</v>
      </c>
    </row>
    <row r="232" spans="1:14">
      <c r="A232" s="573"/>
      <c r="B232" s="576"/>
      <c r="C232" s="25" t="s">
        <v>329</v>
      </c>
      <c r="D232" s="310" t="s">
        <v>2264</v>
      </c>
      <c r="E232" s="16">
        <v>1</v>
      </c>
      <c r="F232" s="9"/>
      <c r="G232" s="26"/>
      <c r="H232" s="27"/>
      <c r="I232" s="28"/>
      <c r="L232" s="1" t="str">
        <f t="shared" si="4"/>
        <v>空白</v>
      </c>
      <c r="M232" s="1" t="str">
        <f t="shared" si="4"/>
        <v>空白</v>
      </c>
      <c r="N232" s="1" t="str">
        <f t="shared" si="4"/>
        <v>空白</v>
      </c>
    </row>
    <row r="233" spans="1:14">
      <c r="A233" s="573"/>
      <c r="B233" s="576"/>
      <c r="C233" s="25" t="s">
        <v>330</v>
      </c>
      <c r="D233" s="310" t="s">
        <v>2254</v>
      </c>
      <c r="E233" s="16">
        <v>1</v>
      </c>
      <c r="F233" s="9"/>
      <c r="G233" s="26"/>
      <c r="H233" s="27"/>
      <c r="I233" s="28"/>
      <c r="L233" s="1" t="str">
        <f t="shared" si="4"/>
        <v>空白</v>
      </c>
      <c r="M233" s="1" t="str">
        <f t="shared" si="4"/>
        <v>空白</v>
      </c>
      <c r="N233" s="1" t="str">
        <f t="shared" si="4"/>
        <v>空白</v>
      </c>
    </row>
    <row r="234" spans="1:14">
      <c r="A234" s="573"/>
      <c r="B234" s="576"/>
      <c r="C234" s="25" t="s">
        <v>331</v>
      </c>
      <c r="D234" s="308" t="s">
        <v>2265</v>
      </c>
      <c r="E234" s="16">
        <v>1</v>
      </c>
      <c r="F234" s="9"/>
      <c r="G234" s="26"/>
      <c r="H234" s="27"/>
      <c r="I234" s="28"/>
      <c r="L234" s="1" t="str">
        <f t="shared" si="4"/>
        <v>空白</v>
      </c>
      <c r="M234" s="1" t="str">
        <f t="shared" si="4"/>
        <v>空白</v>
      </c>
      <c r="N234" s="1" t="str">
        <f t="shared" si="4"/>
        <v>空白</v>
      </c>
    </row>
    <row r="235" spans="1:14">
      <c r="A235" s="573"/>
      <c r="B235" s="576"/>
      <c r="C235" s="25" t="s">
        <v>332</v>
      </c>
      <c r="D235" s="310" t="s">
        <v>2266</v>
      </c>
      <c r="E235" s="16">
        <v>1</v>
      </c>
      <c r="F235" s="9"/>
      <c r="G235" s="26"/>
      <c r="H235" s="27"/>
      <c r="I235" s="28"/>
      <c r="L235" s="1" t="str">
        <f t="shared" si="4"/>
        <v>空白</v>
      </c>
      <c r="M235" s="1" t="str">
        <f t="shared" si="4"/>
        <v>空白</v>
      </c>
      <c r="N235" s="1" t="str">
        <f t="shared" si="4"/>
        <v>空白</v>
      </c>
    </row>
    <row r="236" spans="1:14">
      <c r="A236" s="573"/>
      <c r="B236" s="576"/>
      <c r="C236" s="25" t="s">
        <v>333</v>
      </c>
      <c r="D236" s="310" t="s">
        <v>2256</v>
      </c>
      <c r="E236" s="16">
        <v>2</v>
      </c>
      <c r="F236" s="9"/>
      <c r="G236" s="26"/>
      <c r="H236" s="27"/>
      <c r="I236" s="28"/>
      <c r="L236" s="1" t="str">
        <f t="shared" si="4"/>
        <v>空白</v>
      </c>
      <c r="M236" s="1" t="str">
        <f t="shared" si="4"/>
        <v>空白</v>
      </c>
      <c r="N236" s="1" t="str">
        <f t="shared" si="4"/>
        <v>空白</v>
      </c>
    </row>
    <row r="237" spans="1:14">
      <c r="A237" s="573"/>
      <c r="B237" s="576"/>
      <c r="C237" s="25" t="s">
        <v>334</v>
      </c>
      <c r="D237" s="333" t="s">
        <v>2267</v>
      </c>
      <c r="E237" s="16">
        <v>2</v>
      </c>
      <c r="F237" s="9"/>
      <c r="G237" s="26"/>
      <c r="H237" s="27"/>
      <c r="I237" s="28"/>
      <c r="L237" s="1" t="str">
        <f t="shared" si="4"/>
        <v>空白</v>
      </c>
      <c r="M237" s="1" t="str">
        <f t="shared" si="4"/>
        <v>空白</v>
      </c>
      <c r="N237" s="1" t="str">
        <f t="shared" si="4"/>
        <v>空白</v>
      </c>
    </row>
    <row r="238" spans="1:14">
      <c r="A238" s="573"/>
      <c r="B238" s="576"/>
      <c r="C238" s="25" t="s">
        <v>335</v>
      </c>
      <c r="D238" s="310" t="s">
        <v>2268</v>
      </c>
      <c r="E238" s="16">
        <v>3</v>
      </c>
      <c r="F238" s="9"/>
      <c r="G238" s="26"/>
      <c r="H238" s="27"/>
      <c r="I238" s="28"/>
      <c r="L238" s="1" t="str">
        <f t="shared" si="4"/>
        <v>空白</v>
      </c>
      <c r="M238" s="1" t="str">
        <f t="shared" si="4"/>
        <v>空白</v>
      </c>
      <c r="N238" s="1" t="str">
        <f t="shared" si="4"/>
        <v>空白</v>
      </c>
    </row>
    <row r="239" spans="1:14" ht="39">
      <c r="A239" s="573"/>
      <c r="B239" s="576"/>
      <c r="C239" s="25" t="s">
        <v>336</v>
      </c>
      <c r="D239" s="310" t="s">
        <v>2900</v>
      </c>
      <c r="E239" s="16">
        <v>3</v>
      </c>
      <c r="F239" s="9"/>
      <c r="G239" s="26" t="s">
        <v>337</v>
      </c>
      <c r="H239" s="27">
        <v>3</v>
      </c>
      <c r="I239" s="28" t="s">
        <v>61</v>
      </c>
      <c r="K239" s="2" t="s">
        <v>54</v>
      </c>
      <c r="L239" s="1" t="str">
        <f t="shared" si="4"/>
        <v>空白</v>
      </c>
      <c r="M239" s="1" t="str">
        <f t="shared" si="4"/>
        <v>對</v>
      </c>
      <c r="N239" s="1" t="str">
        <f t="shared" si="4"/>
        <v>對</v>
      </c>
    </row>
    <row r="240" spans="1:14">
      <c r="A240" s="573"/>
      <c r="B240" s="576"/>
      <c r="C240" s="25" t="s">
        <v>338</v>
      </c>
      <c r="D240" s="310" t="s">
        <v>2269</v>
      </c>
      <c r="E240" s="16">
        <v>4</v>
      </c>
      <c r="F240" s="9"/>
      <c r="G240" s="26"/>
      <c r="H240" s="27"/>
      <c r="I240" s="28"/>
      <c r="L240" s="1" t="str">
        <f t="shared" si="4"/>
        <v>空白</v>
      </c>
      <c r="M240" s="1" t="str">
        <f t="shared" si="4"/>
        <v>空白</v>
      </c>
      <c r="N240" s="1" t="str">
        <f t="shared" si="4"/>
        <v>空白</v>
      </c>
    </row>
    <row r="241" spans="1:14">
      <c r="A241" s="573"/>
      <c r="B241" s="576"/>
      <c r="C241" s="25" t="s">
        <v>339</v>
      </c>
      <c r="D241" s="310" t="s">
        <v>2270</v>
      </c>
      <c r="E241" s="16">
        <v>4</v>
      </c>
      <c r="F241" s="9"/>
      <c r="G241" s="26"/>
      <c r="H241" s="27"/>
      <c r="I241" s="28"/>
      <c r="L241" s="1" t="str">
        <f t="shared" si="4"/>
        <v>空白</v>
      </c>
      <c r="M241" s="1" t="str">
        <f t="shared" si="4"/>
        <v>空白</v>
      </c>
      <c r="N241" s="1" t="str">
        <f t="shared" si="4"/>
        <v>空白</v>
      </c>
    </row>
    <row r="242" spans="1:14" ht="19.5">
      <c r="A242" s="573"/>
      <c r="B242" s="576"/>
      <c r="C242" s="25" t="s">
        <v>340</v>
      </c>
      <c r="D242" s="310" t="s">
        <v>2901</v>
      </c>
      <c r="E242" s="16">
        <v>4</v>
      </c>
      <c r="F242" s="9"/>
      <c r="G242" s="26" t="s">
        <v>341</v>
      </c>
      <c r="H242" s="27">
        <v>4</v>
      </c>
      <c r="I242" s="620" t="s">
        <v>61</v>
      </c>
      <c r="K242" s="2" t="s">
        <v>54</v>
      </c>
      <c r="L242" s="1" t="str">
        <f t="shared" si="4"/>
        <v>空白</v>
      </c>
      <c r="M242" s="1" t="str">
        <f>IF(ISBLANK(G242),"空白",IF(G242=D242,"對","錯"))</f>
        <v>對</v>
      </c>
      <c r="N242" s="1" t="str">
        <f t="shared" si="4"/>
        <v>對</v>
      </c>
    </row>
    <row r="243" spans="1:14" ht="19.5">
      <c r="A243" s="573"/>
      <c r="B243" s="576"/>
      <c r="C243" s="25" t="s">
        <v>342</v>
      </c>
      <c r="D243" s="310" t="s">
        <v>2902</v>
      </c>
      <c r="E243" s="16">
        <v>4</v>
      </c>
      <c r="F243" s="9"/>
      <c r="G243" s="26" t="s">
        <v>343</v>
      </c>
      <c r="H243" s="27">
        <v>4</v>
      </c>
      <c r="I243" s="621"/>
      <c r="K243" s="2" t="s">
        <v>54</v>
      </c>
      <c r="L243" s="1" t="str">
        <f t="shared" si="4"/>
        <v>空白</v>
      </c>
      <c r="M243" s="1" t="str">
        <f t="shared" si="4"/>
        <v>對</v>
      </c>
      <c r="N243" s="1" t="str">
        <f t="shared" si="4"/>
        <v>對</v>
      </c>
    </row>
    <row r="244" spans="1:14">
      <c r="A244" s="573"/>
      <c r="B244" s="576"/>
      <c r="C244" s="25" t="s">
        <v>344</v>
      </c>
      <c r="D244" s="310" t="s">
        <v>2271</v>
      </c>
      <c r="E244" s="16">
        <v>4</v>
      </c>
      <c r="F244" s="9"/>
      <c r="G244" s="26"/>
      <c r="H244" s="27"/>
      <c r="I244" s="28"/>
      <c r="L244" s="1" t="str">
        <f t="shared" si="4"/>
        <v>空白</v>
      </c>
      <c r="M244" s="1" t="str">
        <f t="shared" si="4"/>
        <v>空白</v>
      </c>
      <c r="N244" s="1" t="str">
        <f t="shared" si="4"/>
        <v>空白</v>
      </c>
    </row>
    <row r="245" spans="1:14">
      <c r="A245" s="573"/>
      <c r="B245" s="576"/>
      <c r="C245" s="25" t="s">
        <v>345</v>
      </c>
      <c r="D245" s="310" t="s">
        <v>2272</v>
      </c>
      <c r="E245" s="16">
        <v>4</v>
      </c>
      <c r="F245" s="9"/>
      <c r="G245" s="26"/>
      <c r="H245" s="27"/>
      <c r="I245" s="28"/>
      <c r="L245" s="1" t="str">
        <f t="shared" si="4"/>
        <v>空白</v>
      </c>
      <c r="M245" s="1" t="str">
        <f t="shared" si="4"/>
        <v>空白</v>
      </c>
      <c r="N245" s="1" t="str">
        <f t="shared" si="4"/>
        <v>空白</v>
      </c>
    </row>
    <row r="246" spans="1:14">
      <c r="A246" s="573"/>
      <c r="B246" s="576"/>
      <c r="C246" s="25" t="s">
        <v>346</v>
      </c>
      <c r="D246" s="310" t="s">
        <v>2273</v>
      </c>
      <c r="E246" s="16">
        <v>3</v>
      </c>
      <c r="F246" s="9"/>
      <c r="G246" s="26"/>
      <c r="H246" s="27"/>
      <c r="I246" s="28"/>
      <c r="L246" s="1" t="str">
        <f t="shared" si="4"/>
        <v>空白</v>
      </c>
      <c r="M246" s="1" t="str">
        <f t="shared" si="4"/>
        <v>空白</v>
      </c>
      <c r="N246" s="1" t="str">
        <f t="shared" si="4"/>
        <v>空白</v>
      </c>
    </row>
    <row r="247" spans="1:14">
      <c r="A247" s="573"/>
      <c r="B247" s="576"/>
      <c r="C247" s="25"/>
      <c r="D247" s="310" t="s">
        <v>2274</v>
      </c>
      <c r="E247" s="16"/>
      <c r="F247" s="9"/>
      <c r="G247" s="26"/>
      <c r="H247" s="27"/>
      <c r="I247" s="28"/>
      <c r="L247" s="1" t="str">
        <f t="shared" si="4"/>
        <v>空白</v>
      </c>
      <c r="M247" s="1" t="str">
        <f t="shared" si="4"/>
        <v>空白</v>
      </c>
      <c r="N247" s="1" t="str">
        <f t="shared" si="4"/>
        <v>空白</v>
      </c>
    </row>
    <row r="248" spans="1:14">
      <c r="A248" s="573"/>
      <c r="B248" s="576"/>
      <c r="C248" s="25" t="s">
        <v>347</v>
      </c>
      <c r="D248" s="310" t="s">
        <v>2275</v>
      </c>
      <c r="E248" s="16">
        <v>1</v>
      </c>
      <c r="F248" s="9"/>
      <c r="G248" s="26"/>
      <c r="H248" s="27"/>
      <c r="I248" s="28"/>
      <c r="L248" s="1" t="str">
        <f t="shared" si="4"/>
        <v>空白</v>
      </c>
      <c r="M248" s="1" t="str">
        <f t="shared" si="4"/>
        <v>空白</v>
      </c>
      <c r="N248" s="1" t="str">
        <f t="shared" si="4"/>
        <v>空白</v>
      </c>
    </row>
    <row r="249" spans="1:14">
      <c r="A249" s="573"/>
      <c r="B249" s="576"/>
      <c r="C249" s="25" t="s">
        <v>348</v>
      </c>
      <c r="D249" s="310" t="s">
        <v>2276</v>
      </c>
      <c r="E249" s="16">
        <v>1</v>
      </c>
      <c r="F249" s="9"/>
      <c r="G249" s="26"/>
      <c r="H249" s="27"/>
      <c r="I249" s="28"/>
      <c r="L249" s="1" t="str">
        <f t="shared" si="4"/>
        <v>空白</v>
      </c>
      <c r="M249" s="1" t="str">
        <f t="shared" si="4"/>
        <v>空白</v>
      </c>
      <c r="N249" s="1" t="str">
        <f t="shared" si="4"/>
        <v>空白</v>
      </c>
    </row>
    <row r="250" spans="1:14" ht="19.5">
      <c r="A250" s="573"/>
      <c r="B250" s="576"/>
      <c r="C250" s="25" t="s">
        <v>349</v>
      </c>
      <c r="D250" s="310" t="s">
        <v>2903</v>
      </c>
      <c r="E250" s="16">
        <v>1</v>
      </c>
      <c r="F250" s="9"/>
      <c r="G250" s="26" t="s">
        <v>350</v>
      </c>
      <c r="H250" s="27">
        <v>1</v>
      </c>
      <c r="I250" s="28" t="s">
        <v>351</v>
      </c>
      <c r="K250" s="2" t="s">
        <v>13</v>
      </c>
      <c r="L250" s="1" t="str">
        <f t="shared" si="4"/>
        <v>空白</v>
      </c>
      <c r="M250" s="1" t="str">
        <f t="shared" si="4"/>
        <v>對</v>
      </c>
      <c r="N250" s="1" t="str">
        <f t="shared" si="4"/>
        <v>對</v>
      </c>
    </row>
    <row r="251" spans="1:14">
      <c r="A251" s="573"/>
      <c r="B251" s="576"/>
      <c r="C251" s="25" t="s">
        <v>352</v>
      </c>
      <c r="D251" s="310" t="s">
        <v>2277</v>
      </c>
      <c r="E251" s="16">
        <v>2</v>
      </c>
      <c r="F251" s="9"/>
      <c r="G251" s="26"/>
      <c r="H251" s="27"/>
      <c r="I251" s="28"/>
      <c r="L251" s="1" t="str">
        <f t="shared" si="4"/>
        <v>空白</v>
      </c>
      <c r="M251" s="1" t="str">
        <f>IF(ISBLANK(G251),"空白",IF(G251=D251,"對","錯"))</f>
        <v>空白</v>
      </c>
      <c r="N251" s="1" t="str">
        <f t="shared" si="4"/>
        <v>空白</v>
      </c>
    </row>
    <row r="252" spans="1:14">
      <c r="A252" s="573"/>
      <c r="B252" s="576"/>
      <c r="C252" s="25" t="s">
        <v>353</v>
      </c>
      <c r="D252" s="310" t="s">
        <v>2278</v>
      </c>
      <c r="E252" s="29">
        <v>2</v>
      </c>
      <c r="F252" s="30"/>
      <c r="G252" s="26"/>
      <c r="H252" s="27"/>
      <c r="I252" s="28"/>
      <c r="L252" s="1" t="str">
        <f t="shared" si="4"/>
        <v>空白</v>
      </c>
      <c r="M252" s="1" t="str">
        <f t="shared" si="4"/>
        <v>空白</v>
      </c>
      <c r="N252" s="1" t="str">
        <f t="shared" si="4"/>
        <v>空白</v>
      </c>
    </row>
    <row r="253" spans="1:14">
      <c r="A253" s="573"/>
      <c r="B253" s="576"/>
      <c r="C253" s="25"/>
      <c r="D253" s="310" t="s">
        <v>2279</v>
      </c>
      <c r="E253" s="16"/>
      <c r="F253" s="9"/>
      <c r="G253" s="26"/>
      <c r="H253" s="27"/>
      <c r="I253" s="28"/>
      <c r="L253" s="1" t="str">
        <f t="shared" si="4"/>
        <v>空白</v>
      </c>
      <c r="M253" s="1" t="str">
        <f t="shared" si="4"/>
        <v>空白</v>
      </c>
      <c r="N253" s="1" t="str">
        <f t="shared" si="4"/>
        <v>空白</v>
      </c>
    </row>
    <row r="254" spans="1:14">
      <c r="A254" s="573"/>
      <c r="B254" s="576"/>
      <c r="C254" s="25" t="s">
        <v>354</v>
      </c>
      <c r="D254" s="310" t="s">
        <v>2203</v>
      </c>
      <c r="E254" s="16">
        <v>1</v>
      </c>
      <c r="F254" s="9"/>
      <c r="G254" s="26"/>
      <c r="H254" s="27"/>
      <c r="I254" s="28"/>
      <c r="L254" s="1" t="str">
        <f t="shared" si="4"/>
        <v>空白</v>
      </c>
      <c r="M254" s="1" t="str">
        <f t="shared" si="4"/>
        <v>空白</v>
      </c>
      <c r="N254" s="1" t="str">
        <f t="shared" si="4"/>
        <v>空白</v>
      </c>
    </row>
    <row r="255" spans="1:14">
      <c r="A255" s="573"/>
      <c r="B255" s="576"/>
      <c r="C255" s="25" t="s">
        <v>355</v>
      </c>
      <c r="D255" s="310" t="s">
        <v>2172</v>
      </c>
      <c r="E255" s="16">
        <v>2</v>
      </c>
      <c r="F255" s="9"/>
      <c r="G255" s="26"/>
      <c r="H255" s="27"/>
      <c r="I255" s="28"/>
      <c r="L255" s="1" t="str">
        <f t="shared" si="4"/>
        <v>空白</v>
      </c>
      <c r="M255" s="1" t="str">
        <f t="shared" si="4"/>
        <v>空白</v>
      </c>
      <c r="N255" s="1" t="str">
        <f t="shared" si="4"/>
        <v>空白</v>
      </c>
    </row>
    <row r="256" spans="1:14">
      <c r="A256" s="573"/>
      <c r="B256" s="576"/>
      <c r="C256" s="25" t="s">
        <v>356</v>
      </c>
      <c r="D256" s="310" t="s">
        <v>2280</v>
      </c>
      <c r="E256" s="16">
        <v>2</v>
      </c>
      <c r="F256" s="9"/>
      <c r="G256" s="26"/>
      <c r="H256" s="27"/>
      <c r="I256" s="28"/>
      <c r="L256" s="1" t="str">
        <f t="shared" si="4"/>
        <v>空白</v>
      </c>
      <c r="M256" s="1" t="str">
        <f t="shared" si="4"/>
        <v>空白</v>
      </c>
      <c r="N256" s="1" t="str">
        <f t="shared" si="4"/>
        <v>空白</v>
      </c>
    </row>
    <row r="257" spans="1:14">
      <c r="A257" s="573"/>
      <c r="B257" s="576"/>
      <c r="C257" s="25" t="s">
        <v>357</v>
      </c>
      <c r="D257" s="310" t="s">
        <v>2281</v>
      </c>
      <c r="E257" s="16">
        <v>3</v>
      </c>
      <c r="F257" s="9"/>
      <c r="G257" s="26"/>
      <c r="H257" s="27"/>
      <c r="I257" s="28"/>
      <c r="L257" s="1" t="str">
        <f t="shared" si="4"/>
        <v>空白</v>
      </c>
      <c r="M257" s="1" t="str">
        <f t="shared" si="4"/>
        <v>空白</v>
      </c>
      <c r="N257" s="1" t="str">
        <f t="shared" si="4"/>
        <v>空白</v>
      </c>
    </row>
    <row r="258" spans="1:14">
      <c r="A258" s="573"/>
      <c r="B258" s="576"/>
      <c r="C258" s="25"/>
      <c r="D258" s="310" t="s">
        <v>2282</v>
      </c>
      <c r="E258" s="16"/>
      <c r="F258" s="9"/>
      <c r="G258" s="26"/>
      <c r="H258" s="27"/>
      <c r="I258" s="28"/>
      <c r="L258" s="1" t="str">
        <f t="shared" si="4"/>
        <v>空白</v>
      </c>
      <c r="M258" s="1" t="str">
        <f t="shared" si="4"/>
        <v>空白</v>
      </c>
      <c r="N258" s="1" t="str">
        <f t="shared" si="4"/>
        <v>空白</v>
      </c>
    </row>
    <row r="259" spans="1:14">
      <c r="A259" s="573"/>
      <c r="B259" s="576"/>
      <c r="C259" s="25" t="s">
        <v>358</v>
      </c>
      <c r="D259" s="310" t="s">
        <v>2283</v>
      </c>
      <c r="E259" s="16">
        <v>6</v>
      </c>
      <c r="F259" s="9"/>
      <c r="G259" s="26"/>
      <c r="H259" s="27"/>
      <c r="I259" s="28"/>
      <c r="L259" s="1" t="str">
        <f t="shared" si="4"/>
        <v>空白</v>
      </c>
      <c r="M259" s="1" t="str">
        <f t="shared" si="4"/>
        <v>空白</v>
      </c>
      <c r="N259" s="1" t="str">
        <f t="shared" si="4"/>
        <v>空白</v>
      </c>
    </row>
    <row r="260" spans="1:14">
      <c r="A260" s="573"/>
      <c r="B260" s="576"/>
      <c r="C260" s="25" t="s">
        <v>359</v>
      </c>
      <c r="D260" s="310" t="s">
        <v>2284</v>
      </c>
      <c r="E260" s="16">
        <v>6</v>
      </c>
      <c r="F260" s="9"/>
      <c r="G260" s="26"/>
      <c r="H260" s="27"/>
      <c r="I260" s="28"/>
      <c r="L260" s="1" t="str">
        <f t="shared" si="4"/>
        <v>空白</v>
      </c>
      <c r="M260" s="1" t="str">
        <f t="shared" si="4"/>
        <v>空白</v>
      </c>
      <c r="N260" s="1" t="str">
        <f t="shared" si="4"/>
        <v>空白</v>
      </c>
    </row>
    <row r="261" spans="1:14">
      <c r="A261" s="573"/>
      <c r="B261" s="576"/>
      <c r="C261" s="25" t="s">
        <v>360</v>
      </c>
      <c r="D261" s="310" t="s">
        <v>2285</v>
      </c>
      <c r="E261" s="16">
        <v>6</v>
      </c>
      <c r="F261" s="9"/>
      <c r="G261" s="26"/>
      <c r="H261" s="27"/>
      <c r="I261" s="28"/>
      <c r="L261" s="1" t="str">
        <f t="shared" si="4"/>
        <v>空白</v>
      </c>
      <c r="M261" s="1" t="str">
        <f t="shared" si="4"/>
        <v>空白</v>
      </c>
      <c r="N261" s="1" t="str">
        <f t="shared" si="4"/>
        <v>空白</v>
      </c>
    </row>
    <row r="262" spans="1:14">
      <c r="A262" s="573"/>
      <c r="B262" s="576"/>
      <c r="C262" s="25" t="s">
        <v>361</v>
      </c>
      <c r="D262" s="310" t="s">
        <v>2286</v>
      </c>
      <c r="E262" s="16">
        <v>6</v>
      </c>
      <c r="F262" s="9"/>
      <c r="G262" s="26"/>
      <c r="H262" s="27"/>
      <c r="I262" s="28"/>
      <c r="L262" s="1" t="str">
        <f t="shared" ref="L262:N325" si="5">IF(ISBLANK(F262),"空白",IF(F262=C262,"對","錯"))</f>
        <v>空白</v>
      </c>
      <c r="M262" s="1" t="str">
        <f t="shared" si="5"/>
        <v>空白</v>
      </c>
      <c r="N262" s="1" t="str">
        <f t="shared" si="5"/>
        <v>空白</v>
      </c>
    </row>
    <row r="263" spans="1:14">
      <c r="A263" s="573"/>
      <c r="B263" s="576"/>
      <c r="C263" s="25" t="s">
        <v>362</v>
      </c>
      <c r="D263" s="310" t="s">
        <v>2287</v>
      </c>
      <c r="E263" s="16">
        <v>6</v>
      </c>
      <c r="F263" s="9"/>
      <c r="G263" s="26"/>
      <c r="H263" s="27"/>
      <c r="I263" s="28"/>
      <c r="L263" s="1" t="str">
        <f t="shared" si="5"/>
        <v>空白</v>
      </c>
      <c r="M263" s="1" t="str">
        <f t="shared" si="5"/>
        <v>空白</v>
      </c>
      <c r="N263" s="1" t="str">
        <f t="shared" si="5"/>
        <v>空白</v>
      </c>
    </row>
    <row r="264" spans="1:14" ht="19.5">
      <c r="A264" s="573"/>
      <c r="B264" s="576"/>
      <c r="C264" s="51" t="s">
        <v>363</v>
      </c>
      <c r="D264" s="336" t="s">
        <v>2288</v>
      </c>
      <c r="E264" s="83" t="s">
        <v>2862</v>
      </c>
      <c r="F264" s="30"/>
      <c r="G264" s="26"/>
      <c r="H264" s="27"/>
      <c r="I264" s="28"/>
      <c r="L264" s="1" t="str">
        <f t="shared" si="5"/>
        <v>空白</v>
      </c>
      <c r="M264" s="1" t="str">
        <f t="shared" si="5"/>
        <v>空白</v>
      </c>
      <c r="N264" s="1" t="str">
        <f t="shared" si="5"/>
        <v>空白</v>
      </c>
    </row>
    <row r="265" spans="1:14" ht="39.75" thickBot="1">
      <c r="A265" s="574"/>
      <c r="B265" s="582"/>
      <c r="C265" s="77" t="s">
        <v>2904</v>
      </c>
      <c r="D265" s="387" t="s">
        <v>2905</v>
      </c>
      <c r="E265" s="381">
        <v>2</v>
      </c>
      <c r="F265" s="64" t="s">
        <v>364</v>
      </c>
      <c r="G265" s="120" t="s">
        <v>365</v>
      </c>
      <c r="H265" s="121">
        <v>2</v>
      </c>
      <c r="I265" s="122" t="s">
        <v>366</v>
      </c>
      <c r="K265" s="2" t="s">
        <v>242</v>
      </c>
      <c r="L265" s="1" t="str">
        <f t="shared" si="5"/>
        <v>對</v>
      </c>
      <c r="M265" s="1" t="str">
        <f t="shared" si="5"/>
        <v>對</v>
      </c>
      <c r="N265" s="1" t="str">
        <f t="shared" si="5"/>
        <v>對</v>
      </c>
    </row>
    <row r="266" spans="1:14" ht="19.5" thickTop="1">
      <c r="A266" s="572" t="s">
        <v>367</v>
      </c>
      <c r="B266" s="575" t="s">
        <v>368</v>
      </c>
      <c r="C266" s="7" t="s">
        <v>369</v>
      </c>
      <c r="D266" s="311" t="s">
        <v>2203</v>
      </c>
      <c r="E266" s="48">
        <v>1</v>
      </c>
      <c r="F266" s="66"/>
      <c r="G266" s="10"/>
      <c r="H266" s="43"/>
      <c r="I266" s="304"/>
      <c r="L266" s="1" t="str">
        <f t="shared" si="5"/>
        <v>空白</v>
      </c>
      <c r="M266" s="1" t="str">
        <f>IF(ISBLANK(G266),"空白",IF(G266=D266,"對","錯"))</f>
        <v>空白</v>
      </c>
      <c r="N266" s="1" t="str">
        <f t="shared" si="5"/>
        <v>空白</v>
      </c>
    </row>
    <row r="267" spans="1:14">
      <c r="A267" s="573"/>
      <c r="B267" s="576"/>
      <c r="C267" s="25" t="s">
        <v>370</v>
      </c>
      <c r="D267" s="310" t="s">
        <v>2172</v>
      </c>
      <c r="E267" s="16">
        <v>2</v>
      </c>
      <c r="F267" s="9"/>
      <c r="G267" s="26"/>
      <c r="H267" s="27"/>
      <c r="I267" s="28"/>
      <c r="L267" s="1" t="str">
        <f t="shared" si="5"/>
        <v>空白</v>
      </c>
      <c r="M267" s="1" t="str">
        <f>IF(ISBLANK(G267),"空白",IF(G267=D267,"對","錯"))</f>
        <v>空白</v>
      </c>
      <c r="N267" s="1" t="str">
        <f t="shared" si="5"/>
        <v>空白</v>
      </c>
    </row>
    <row r="268" spans="1:14">
      <c r="A268" s="573"/>
      <c r="B268" s="576"/>
      <c r="C268" s="25" t="s">
        <v>371</v>
      </c>
      <c r="D268" s="310" t="s">
        <v>2289</v>
      </c>
      <c r="E268" s="16">
        <v>2</v>
      </c>
      <c r="F268" s="9"/>
      <c r="G268" s="26"/>
      <c r="H268" s="27"/>
      <c r="I268" s="28"/>
      <c r="L268" s="1" t="str">
        <f t="shared" si="5"/>
        <v>空白</v>
      </c>
      <c r="M268" s="1" t="str">
        <f t="shared" si="5"/>
        <v>空白</v>
      </c>
      <c r="N268" s="1" t="str">
        <f t="shared" si="5"/>
        <v>空白</v>
      </c>
    </row>
    <row r="269" spans="1:14">
      <c r="A269" s="573"/>
      <c r="B269" s="576"/>
      <c r="C269" s="25" t="s">
        <v>372</v>
      </c>
      <c r="D269" s="308" t="s">
        <v>2290</v>
      </c>
      <c r="E269" s="16">
        <v>2</v>
      </c>
      <c r="F269" s="9"/>
      <c r="G269" s="26"/>
      <c r="H269" s="27"/>
      <c r="I269" s="28"/>
      <c r="L269" s="1" t="str">
        <f t="shared" si="5"/>
        <v>空白</v>
      </c>
      <c r="M269" s="1" t="str">
        <f t="shared" si="5"/>
        <v>空白</v>
      </c>
      <c r="N269" s="1" t="str">
        <f t="shared" si="5"/>
        <v>空白</v>
      </c>
    </row>
    <row r="270" spans="1:14">
      <c r="A270" s="573"/>
      <c r="B270" s="576"/>
      <c r="C270" s="25" t="s">
        <v>373</v>
      </c>
      <c r="D270" s="308" t="s">
        <v>2291</v>
      </c>
      <c r="E270" s="16">
        <v>2</v>
      </c>
      <c r="F270" s="9"/>
      <c r="G270" s="26"/>
      <c r="H270" s="27"/>
      <c r="I270" s="28"/>
      <c r="L270" s="1" t="str">
        <f t="shared" si="5"/>
        <v>空白</v>
      </c>
      <c r="M270" s="1" t="str">
        <f t="shared" si="5"/>
        <v>空白</v>
      </c>
      <c r="N270" s="1" t="str">
        <f t="shared" si="5"/>
        <v>空白</v>
      </c>
    </row>
    <row r="271" spans="1:14">
      <c r="A271" s="573"/>
      <c r="B271" s="576"/>
      <c r="C271" s="25" t="s">
        <v>374</v>
      </c>
      <c r="D271" s="308" t="s">
        <v>2292</v>
      </c>
      <c r="E271" s="16">
        <v>4</v>
      </c>
      <c r="F271" s="9"/>
      <c r="G271" s="26"/>
      <c r="H271" s="27"/>
      <c r="I271" s="28"/>
      <c r="L271" s="1" t="str">
        <f t="shared" si="5"/>
        <v>空白</v>
      </c>
      <c r="M271" s="1" t="str">
        <f t="shared" si="5"/>
        <v>空白</v>
      </c>
      <c r="N271" s="1" t="str">
        <f t="shared" si="5"/>
        <v>空白</v>
      </c>
    </row>
    <row r="272" spans="1:14">
      <c r="A272" s="573"/>
      <c r="B272" s="576"/>
      <c r="C272" s="25" t="s">
        <v>375</v>
      </c>
      <c r="D272" s="308" t="s">
        <v>2293</v>
      </c>
      <c r="E272" s="16">
        <v>4</v>
      </c>
      <c r="F272" s="9"/>
      <c r="G272" s="26"/>
      <c r="H272" s="27"/>
      <c r="I272" s="28"/>
      <c r="L272" s="1" t="str">
        <f t="shared" si="5"/>
        <v>空白</v>
      </c>
      <c r="M272" s="1" t="str">
        <f t="shared" si="5"/>
        <v>空白</v>
      </c>
      <c r="N272" s="1" t="str">
        <f t="shared" si="5"/>
        <v>空白</v>
      </c>
    </row>
    <row r="273" spans="1:14">
      <c r="A273" s="573"/>
      <c r="B273" s="576"/>
      <c r="C273" s="63" t="s">
        <v>376</v>
      </c>
      <c r="D273" s="337" t="s">
        <v>2147</v>
      </c>
      <c r="E273" s="67">
        <v>2</v>
      </c>
      <c r="F273" s="9"/>
      <c r="G273" s="26"/>
      <c r="H273" s="27"/>
      <c r="I273" s="28"/>
      <c r="L273" s="1" t="str">
        <f t="shared" si="5"/>
        <v>空白</v>
      </c>
      <c r="M273" s="1" t="str">
        <f t="shared" si="5"/>
        <v>空白</v>
      </c>
      <c r="N273" s="1" t="str">
        <f t="shared" si="5"/>
        <v>空白</v>
      </c>
    </row>
    <row r="274" spans="1:14" ht="39">
      <c r="A274" s="573"/>
      <c r="B274" s="576"/>
      <c r="C274" s="386" t="s">
        <v>2906</v>
      </c>
      <c r="D274" s="390" t="s">
        <v>2907</v>
      </c>
      <c r="E274" s="52">
        <v>1</v>
      </c>
      <c r="F274" s="123" t="s">
        <v>377</v>
      </c>
      <c r="G274" s="124" t="s">
        <v>378</v>
      </c>
      <c r="H274" s="113">
        <v>1</v>
      </c>
      <c r="I274" s="39" t="s">
        <v>379</v>
      </c>
      <c r="K274" s="2" t="s">
        <v>242</v>
      </c>
      <c r="L274" s="1" t="str">
        <f t="shared" si="5"/>
        <v>對</v>
      </c>
      <c r="M274" s="1" t="str">
        <f t="shared" si="5"/>
        <v>對</v>
      </c>
      <c r="N274" s="1" t="str">
        <f t="shared" si="5"/>
        <v>對</v>
      </c>
    </row>
    <row r="275" spans="1:14" ht="39">
      <c r="A275" s="573"/>
      <c r="B275" s="580" t="s">
        <v>380</v>
      </c>
      <c r="C275" s="77" t="s">
        <v>381</v>
      </c>
      <c r="D275" s="327" t="s">
        <v>2908</v>
      </c>
      <c r="E275" s="48">
        <v>1</v>
      </c>
      <c r="F275" s="42"/>
      <c r="G275" s="125" t="s">
        <v>382</v>
      </c>
      <c r="H275" s="126">
        <v>1</v>
      </c>
      <c r="I275" s="304" t="s">
        <v>383</v>
      </c>
      <c r="K275" s="2" t="s">
        <v>12</v>
      </c>
      <c r="L275" s="1" t="str">
        <f t="shared" si="5"/>
        <v>空白</v>
      </c>
      <c r="M275" s="1" t="str">
        <f t="shared" si="5"/>
        <v>對</v>
      </c>
      <c r="N275" s="1" t="str">
        <f t="shared" si="5"/>
        <v>對</v>
      </c>
    </row>
    <row r="276" spans="1:14" ht="33">
      <c r="A276" s="573"/>
      <c r="B276" s="576"/>
      <c r="C276" s="127" t="s">
        <v>384</v>
      </c>
      <c r="D276" s="338" t="s">
        <v>2294</v>
      </c>
      <c r="E276" s="16">
        <v>1</v>
      </c>
      <c r="F276" s="9"/>
      <c r="G276" s="26"/>
      <c r="H276" s="27"/>
      <c r="I276" s="28"/>
      <c r="L276" s="1" t="str">
        <f t="shared" si="5"/>
        <v>空白</v>
      </c>
      <c r="M276" s="1" t="str">
        <f t="shared" si="5"/>
        <v>空白</v>
      </c>
      <c r="N276" s="1" t="str">
        <f t="shared" si="5"/>
        <v>空白</v>
      </c>
    </row>
    <row r="277" spans="1:14">
      <c r="A277" s="573"/>
      <c r="B277" s="576"/>
      <c r="C277" s="25" t="s">
        <v>385</v>
      </c>
      <c r="D277" s="310" t="s">
        <v>2172</v>
      </c>
      <c r="E277" s="16">
        <v>2</v>
      </c>
      <c r="F277" s="9"/>
      <c r="G277" s="26"/>
      <c r="H277" s="27"/>
      <c r="I277" s="28"/>
      <c r="L277" s="1" t="str">
        <f t="shared" si="5"/>
        <v>空白</v>
      </c>
      <c r="M277" s="1" t="str">
        <f t="shared" si="5"/>
        <v>空白</v>
      </c>
      <c r="N277" s="1" t="str">
        <f t="shared" si="5"/>
        <v>空白</v>
      </c>
    </row>
    <row r="278" spans="1:14">
      <c r="A278" s="573"/>
      <c r="B278" s="576"/>
      <c r="C278" s="25" t="s">
        <v>386</v>
      </c>
      <c r="D278" s="310" t="s">
        <v>2295</v>
      </c>
      <c r="E278" s="16">
        <v>2</v>
      </c>
      <c r="F278" s="9"/>
      <c r="G278" s="26"/>
      <c r="H278" s="27"/>
      <c r="I278" s="28"/>
      <c r="L278" s="1" t="str">
        <f t="shared" si="5"/>
        <v>空白</v>
      </c>
      <c r="M278" s="1" t="str">
        <f>IF(ISBLANK(G278),"空白",IF(G278=D278,"對","錯"))</f>
        <v>空白</v>
      </c>
      <c r="N278" s="1" t="str">
        <f t="shared" si="5"/>
        <v>空白</v>
      </c>
    </row>
    <row r="279" spans="1:14" ht="33">
      <c r="A279" s="573"/>
      <c r="B279" s="576"/>
      <c r="C279" s="25" t="s">
        <v>387</v>
      </c>
      <c r="D279" s="310" t="s">
        <v>2296</v>
      </c>
      <c r="E279" s="16">
        <v>3</v>
      </c>
      <c r="F279" s="9"/>
      <c r="G279" s="26"/>
      <c r="H279" s="27"/>
      <c r="I279" s="28"/>
      <c r="L279" s="1" t="str">
        <f t="shared" si="5"/>
        <v>空白</v>
      </c>
      <c r="M279" s="1" t="str">
        <f t="shared" si="5"/>
        <v>空白</v>
      </c>
      <c r="N279" s="1" t="str">
        <f t="shared" si="5"/>
        <v>空白</v>
      </c>
    </row>
    <row r="280" spans="1:14">
      <c r="A280" s="573"/>
      <c r="B280" s="576"/>
      <c r="C280" s="25" t="s">
        <v>388</v>
      </c>
      <c r="D280" s="308" t="s">
        <v>2297</v>
      </c>
      <c r="E280" s="16">
        <v>2</v>
      </c>
      <c r="F280" s="9"/>
      <c r="G280" s="26"/>
      <c r="H280" s="27"/>
      <c r="I280" s="28"/>
      <c r="L280" s="1" t="str">
        <f t="shared" si="5"/>
        <v>空白</v>
      </c>
      <c r="M280" s="1" t="str">
        <f t="shared" si="5"/>
        <v>空白</v>
      </c>
      <c r="N280" s="1" t="str">
        <f t="shared" si="5"/>
        <v>空白</v>
      </c>
    </row>
    <row r="281" spans="1:14">
      <c r="A281" s="573"/>
      <c r="B281" s="576"/>
      <c r="C281" s="25" t="s">
        <v>389</v>
      </c>
      <c r="D281" s="308" t="s">
        <v>2298</v>
      </c>
      <c r="E281" s="16">
        <v>2</v>
      </c>
      <c r="F281" s="9"/>
      <c r="G281" s="26"/>
      <c r="H281" s="27"/>
      <c r="I281" s="28"/>
      <c r="L281" s="1" t="str">
        <f t="shared" si="5"/>
        <v>空白</v>
      </c>
      <c r="M281" s="1" t="str">
        <f t="shared" si="5"/>
        <v>空白</v>
      </c>
      <c r="N281" s="1" t="str">
        <f t="shared" si="5"/>
        <v>空白</v>
      </c>
    </row>
    <row r="282" spans="1:14" ht="39">
      <c r="A282" s="573"/>
      <c r="B282" s="576"/>
      <c r="C282" s="25" t="s">
        <v>390</v>
      </c>
      <c r="D282" s="308" t="s">
        <v>2909</v>
      </c>
      <c r="E282" s="16">
        <v>2</v>
      </c>
      <c r="F282" s="9"/>
      <c r="G282" s="26" t="s">
        <v>391</v>
      </c>
      <c r="H282" s="27">
        <v>2</v>
      </c>
      <c r="I282" s="28" t="s">
        <v>61</v>
      </c>
      <c r="K282" s="2" t="s">
        <v>54</v>
      </c>
      <c r="L282" s="1" t="str">
        <f t="shared" si="5"/>
        <v>空白</v>
      </c>
      <c r="M282" s="1" t="str">
        <f t="shared" si="5"/>
        <v>對</v>
      </c>
      <c r="N282" s="1" t="str">
        <f t="shared" si="5"/>
        <v>對</v>
      </c>
    </row>
    <row r="283" spans="1:14">
      <c r="A283" s="573"/>
      <c r="B283" s="576"/>
      <c r="C283" s="25" t="s">
        <v>392</v>
      </c>
      <c r="D283" s="308" t="s">
        <v>2299</v>
      </c>
      <c r="E283" s="16">
        <v>2</v>
      </c>
      <c r="F283" s="9"/>
      <c r="G283" s="26"/>
      <c r="H283" s="27"/>
      <c r="I283" s="28"/>
      <c r="L283" s="1" t="str">
        <f t="shared" si="5"/>
        <v>空白</v>
      </c>
      <c r="M283" s="1" t="str">
        <f t="shared" si="5"/>
        <v>空白</v>
      </c>
      <c r="N283" s="1" t="str">
        <f t="shared" si="5"/>
        <v>空白</v>
      </c>
    </row>
    <row r="284" spans="1:14">
      <c r="A284" s="573"/>
      <c r="B284" s="576"/>
      <c r="C284" s="25" t="s">
        <v>393</v>
      </c>
      <c r="D284" s="308" t="s">
        <v>2300</v>
      </c>
      <c r="E284" s="16">
        <v>4</v>
      </c>
      <c r="F284" s="9"/>
      <c r="G284" s="26"/>
      <c r="H284" s="27"/>
      <c r="I284" s="28"/>
      <c r="L284" s="1" t="str">
        <f t="shared" si="5"/>
        <v>空白</v>
      </c>
      <c r="M284" s="1" t="str">
        <f t="shared" si="5"/>
        <v>空白</v>
      </c>
      <c r="N284" s="1" t="str">
        <f t="shared" si="5"/>
        <v>空白</v>
      </c>
    </row>
    <row r="285" spans="1:14">
      <c r="A285" s="573"/>
      <c r="B285" s="576"/>
      <c r="C285" s="25" t="s">
        <v>394</v>
      </c>
      <c r="D285" s="308" t="s">
        <v>2301</v>
      </c>
      <c r="E285" s="16">
        <v>2</v>
      </c>
      <c r="F285" s="9"/>
      <c r="G285" s="26"/>
      <c r="H285" s="27"/>
      <c r="I285" s="28"/>
      <c r="L285" s="1" t="str">
        <f t="shared" si="5"/>
        <v>空白</v>
      </c>
      <c r="M285" s="1" t="str">
        <f t="shared" si="5"/>
        <v>空白</v>
      </c>
      <c r="N285" s="1" t="str">
        <f t="shared" si="5"/>
        <v>空白</v>
      </c>
    </row>
    <row r="286" spans="1:14">
      <c r="A286" s="573"/>
      <c r="B286" s="576"/>
      <c r="C286" s="51" t="s">
        <v>395</v>
      </c>
      <c r="D286" s="319" t="s">
        <v>2302</v>
      </c>
      <c r="E286" s="52">
        <v>2</v>
      </c>
      <c r="F286" s="36"/>
      <c r="G286" s="53"/>
      <c r="H286" s="54"/>
      <c r="I286" s="55"/>
      <c r="L286" s="1" t="str">
        <f t="shared" si="5"/>
        <v>空白</v>
      </c>
      <c r="M286" s="1" t="str">
        <f t="shared" si="5"/>
        <v>空白</v>
      </c>
      <c r="N286" s="1" t="str">
        <f t="shared" si="5"/>
        <v>空白</v>
      </c>
    </row>
    <row r="287" spans="1:14" ht="39">
      <c r="A287" s="573"/>
      <c r="B287" s="580" t="s">
        <v>396</v>
      </c>
      <c r="C287" s="22" t="s">
        <v>397</v>
      </c>
      <c r="D287" s="313" t="s">
        <v>2910</v>
      </c>
      <c r="E287" s="48">
        <v>1</v>
      </c>
      <c r="F287" s="42"/>
      <c r="G287" s="128" t="s">
        <v>398</v>
      </c>
      <c r="H287" s="43">
        <v>1</v>
      </c>
      <c r="I287" s="129" t="s">
        <v>399</v>
      </c>
      <c r="K287" s="2" t="s">
        <v>35</v>
      </c>
      <c r="L287" s="1" t="str">
        <f t="shared" si="5"/>
        <v>空白</v>
      </c>
      <c r="M287" s="1" t="str">
        <f t="shared" si="5"/>
        <v>對</v>
      </c>
      <c r="N287" s="1" t="str">
        <f t="shared" si="5"/>
        <v>對</v>
      </c>
    </row>
    <row r="288" spans="1:14">
      <c r="A288" s="573"/>
      <c r="B288" s="576"/>
      <c r="C288" s="25" t="s">
        <v>400</v>
      </c>
      <c r="D288" s="310" t="s">
        <v>2303</v>
      </c>
      <c r="E288" s="16">
        <v>1</v>
      </c>
      <c r="F288" s="9"/>
      <c r="G288" s="26"/>
      <c r="H288" s="27"/>
      <c r="I288" s="28"/>
      <c r="L288" s="1" t="str">
        <f t="shared" si="5"/>
        <v>空白</v>
      </c>
      <c r="M288" s="1" t="str">
        <f>IF(ISBLANK(G288),"空白",IF(G288=D288,"對","錯"))</f>
        <v>空白</v>
      </c>
      <c r="N288" s="1" t="str">
        <f t="shared" si="5"/>
        <v>空白</v>
      </c>
    </row>
    <row r="289" spans="1:14" ht="19.5">
      <c r="A289" s="573"/>
      <c r="B289" s="576"/>
      <c r="C289" s="25" t="s">
        <v>401</v>
      </c>
      <c r="D289" s="308" t="s">
        <v>2911</v>
      </c>
      <c r="E289" s="16">
        <v>1</v>
      </c>
      <c r="F289" s="9"/>
      <c r="G289" s="26" t="s">
        <v>402</v>
      </c>
      <c r="H289" s="27"/>
      <c r="I289" s="28" t="s">
        <v>351</v>
      </c>
      <c r="K289" s="2" t="s">
        <v>13</v>
      </c>
      <c r="L289" s="1" t="str">
        <f t="shared" si="5"/>
        <v>空白</v>
      </c>
      <c r="M289" s="1" t="str">
        <f t="shared" si="5"/>
        <v>對</v>
      </c>
      <c r="N289" s="1" t="str">
        <f t="shared" si="5"/>
        <v>空白</v>
      </c>
    </row>
    <row r="290" spans="1:14">
      <c r="A290" s="573"/>
      <c r="B290" s="576"/>
      <c r="C290" s="25" t="s">
        <v>403</v>
      </c>
      <c r="D290" s="308" t="s">
        <v>2295</v>
      </c>
      <c r="E290" s="16">
        <v>2</v>
      </c>
      <c r="F290" s="9"/>
      <c r="G290" s="26"/>
      <c r="H290" s="27"/>
      <c r="I290" s="28"/>
      <c r="L290" s="1" t="str">
        <f t="shared" si="5"/>
        <v>空白</v>
      </c>
      <c r="M290" s="1" t="str">
        <f t="shared" si="5"/>
        <v>空白</v>
      </c>
      <c r="N290" s="1" t="str">
        <f t="shared" si="5"/>
        <v>空白</v>
      </c>
    </row>
    <row r="291" spans="1:14">
      <c r="A291" s="573"/>
      <c r="B291" s="576"/>
      <c r="C291" s="25" t="s">
        <v>404</v>
      </c>
      <c r="D291" s="308" t="s">
        <v>2304</v>
      </c>
      <c r="E291" s="16">
        <v>2</v>
      </c>
      <c r="F291" s="9"/>
      <c r="G291" s="26"/>
      <c r="H291" s="27"/>
      <c r="I291" s="28"/>
      <c r="L291" s="1" t="str">
        <f t="shared" si="5"/>
        <v>空白</v>
      </c>
      <c r="M291" s="1" t="str">
        <f t="shared" si="5"/>
        <v>空白</v>
      </c>
      <c r="N291" s="1" t="str">
        <f t="shared" si="5"/>
        <v>空白</v>
      </c>
    </row>
    <row r="292" spans="1:14">
      <c r="A292" s="573"/>
      <c r="B292" s="576"/>
      <c r="C292" s="25" t="s">
        <v>405</v>
      </c>
      <c r="D292" s="308" t="s">
        <v>2242</v>
      </c>
      <c r="E292" s="16">
        <v>2</v>
      </c>
      <c r="F292" s="9"/>
      <c r="G292" s="26"/>
      <c r="H292" s="27"/>
      <c r="I292" s="28"/>
      <c r="L292" s="1" t="str">
        <f t="shared" si="5"/>
        <v>空白</v>
      </c>
      <c r="M292" s="1" t="str">
        <f t="shared" si="5"/>
        <v>空白</v>
      </c>
      <c r="N292" s="1" t="str">
        <f t="shared" si="5"/>
        <v>空白</v>
      </c>
    </row>
    <row r="293" spans="1:14">
      <c r="A293" s="573"/>
      <c r="B293" s="576"/>
      <c r="C293" s="25" t="s">
        <v>406</v>
      </c>
      <c r="D293" s="308" t="s">
        <v>2305</v>
      </c>
      <c r="E293" s="16">
        <v>2</v>
      </c>
      <c r="F293" s="9"/>
      <c r="G293" s="26"/>
      <c r="H293" s="27"/>
      <c r="I293" s="28"/>
      <c r="L293" s="1" t="str">
        <f t="shared" si="5"/>
        <v>空白</v>
      </c>
      <c r="M293" s="1" t="str">
        <f t="shared" si="5"/>
        <v>空白</v>
      </c>
      <c r="N293" s="1" t="str">
        <f t="shared" si="5"/>
        <v>空白</v>
      </c>
    </row>
    <row r="294" spans="1:14" ht="19.5">
      <c r="A294" s="573"/>
      <c r="B294" s="576"/>
      <c r="C294" s="25" t="s">
        <v>407</v>
      </c>
      <c r="D294" s="308" t="s">
        <v>2912</v>
      </c>
      <c r="E294" s="16">
        <v>2</v>
      </c>
      <c r="F294" s="9"/>
      <c r="G294" s="26" t="s">
        <v>408</v>
      </c>
      <c r="H294" s="27">
        <v>2</v>
      </c>
      <c r="I294" s="625" t="s">
        <v>53</v>
      </c>
      <c r="K294" s="2" t="s">
        <v>54</v>
      </c>
      <c r="L294" s="1" t="str">
        <f t="shared" si="5"/>
        <v>空白</v>
      </c>
      <c r="M294" s="1" t="str">
        <f t="shared" si="5"/>
        <v>對</v>
      </c>
      <c r="N294" s="1" t="str">
        <f t="shared" si="5"/>
        <v>對</v>
      </c>
    </row>
    <row r="295" spans="1:14" ht="19.5">
      <c r="A295" s="573"/>
      <c r="B295" s="576"/>
      <c r="C295" s="25" t="s">
        <v>409</v>
      </c>
      <c r="D295" s="308" t="s">
        <v>2909</v>
      </c>
      <c r="E295" s="16">
        <v>2</v>
      </c>
      <c r="F295" s="9"/>
      <c r="G295" s="26" t="s">
        <v>391</v>
      </c>
      <c r="H295" s="27">
        <v>2</v>
      </c>
      <c r="I295" s="626"/>
      <c r="K295" s="2" t="s">
        <v>54</v>
      </c>
      <c r="L295" s="1" t="str">
        <f t="shared" si="5"/>
        <v>空白</v>
      </c>
      <c r="M295" s="1" t="str">
        <f t="shared" si="5"/>
        <v>對</v>
      </c>
      <c r="N295" s="1" t="str">
        <f t="shared" si="5"/>
        <v>對</v>
      </c>
    </row>
    <row r="296" spans="1:14" ht="39">
      <c r="A296" s="573"/>
      <c r="B296" s="576"/>
      <c r="C296" s="25" t="s">
        <v>410</v>
      </c>
      <c r="D296" s="308" t="s">
        <v>2913</v>
      </c>
      <c r="E296" s="16">
        <v>2</v>
      </c>
      <c r="F296" s="9"/>
      <c r="G296" s="92" t="s">
        <v>411</v>
      </c>
      <c r="H296" s="130">
        <v>2</v>
      </c>
      <c r="I296" s="28" t="s">
        <v>412</v>
      </c>
      <c r="K296" s="2" t="s">
        <v>35</v>
      </c>
      <c r="L296" s="1" t="str">
        <f t="shared" si="5"/>
        <v>空白</v>
      </c>
      <c r="M296" s="1" t="str">
        <f t="shared" si="5"/>
        <v>對</v>
      </c>
      <c r="N296" s="1" t="str">
        <f t="shared" si="5"/>
        <v>對</v>
      </c>
    </row>
    <row r="297" spans="1:14">
      <c r="A297" s="573"/>
      <c r="B297" s="576"/>
      <c r="C297" s="25" t="s">
        <v>413</v>
      </c>
      <c r="D297" s="308" t="s">
        <v>2172</v>
      </c>
      <c r="E297" s="16">
        <v>2</v>
      </c>
      <c r="F297" s="9"/>
      <c r="G297" s="26"/>
      <c r="H297" s="27"/>
      <c r="I297" s="28"/>
      <c r="L297" s="1" t="str">
        <f t="shared" si="5"/>
        <v>空白</v>
      </c>
      <c r="M297" s="1" t="str">
        <f t="shared" si="5"/>
        <v>空白</v>
      </c>
      <c r="N297" s="1" t="str">
        <f t="shared" si="5"/>
        <v>空白</v>
      </c>
    </row>
    <row r="298" spans="1:14">
      <c r="A298" s="573"/>
      <c r="B298" s="576"/>
      <c r="C298" s="25" t="s">
        <v>414</v>
      </c>
      <c r="D298" s="308" t="s">
        <v>2306</v>
      </c>
      <c r="E298" s="16">
        <v>2</v>
      </c>
      <c r="F298" s="9"/>
      <c r="G298" s="26"/>
      <c r="H298" s="27"/>
      <c r="I298" s="28"/>
      <c r="L298" s="1" t="str">
        <f t="shared" si="5"/>
        <v>空白</v>
      </c>
      <c r="M298" s="1" t="str">
        <f t="shared" si="5"/>
        <v>空白</v>
      </c>
      <c r="N298" s="1" t="str">
        <f t="shared" si="5"/>
        <v>空白</v>
      </c>
    </row>
    <row r="299" spans="1:14">
      <c r="A299" s="573"/>
      <c r="B299" s="576"/>
      <c r="C299" s="25" t="s">
        <v>415</v>
      </c>
      <c r="D299" s="308" t="s">
        <v>2307</v>
      </c>
      <c r="E299" s="16">
        <v>2</v>
      </c>
      <c r="F299" s="9"/>
      <c r="G299" s="26"/>
      <c r="H299" s="27"/>
      <c r="I299" s="28"/>
      <c r="L299" s="1" t="str">
        <f t="shared" si="5"/>
        <v>空白</v>
      </c>
      <c r="M299" s="1" t="str">
        <f t="shared" si="5"/>
        <v>空白</v>
      </c>
      <c r="N299" s="1" t="str">
        <f t="shared" si="5"/>
        <v>空白</v>
      </c>
    </row>
    <row r="300" spans="1:14">
      <c r="A300" s="573"/>
      <c r="B300" s="576"/>
      <c r="C300" s="25" t="s">
        <v>416</v>
      </c>
      <c r="D300" s="308" t="s">
        <v>2308</v>
      </c>
      <c r="E300" s="16">
        <v>1</v>
      </c>
      <c r="F300" s="9"/>
      <c r="G300" s="26"/>
      <c r="H300" s="27"/>
      <c r="I300" s="28"/>
      <c r="L300" s="1" t="str">
        <f t="shared" si="5"/>
        <v>空白</v>
      </c>
      <c r="M300" s="1" t="str">
        <f>IF(ISBLANK(G300),"空白",IF(G300=D300,"對","錯"))</f>
        <v>空白</v>
      </c>
      <c r="N300" s="1" t="str">
        <f t="shared" si="5"/>
        <v>空白</v>
      </c>
    </row>
    <row r="301" spans="1:14">
      <c r="A301" s="573"/>
      <c r="B301" s="576"/>
      <c r="C301" s="25" t="s">
        <v>417</v>
      </c>
      <c r="D301" s="308" t="s">
        <v>2309</v>
      </c>
      <c r="E301" s="16">
        <v>2</v>
      </c>
      <c r="F301" s="9"/>
      <c r="G301" s="26"/>
      <c r="H301" s="27"/>
      <c r="I301" s="28"/>
      <c r="L301" s="1" t="str">
        <f t="shared" si="5"/>
        <v>空白</v>
      </c>
      <c r="M301" s="1" t="str">
        <f t="shared" si="5"/>
        <v>空白</v>
      </c>
      <c r="N301" s="1" t="str">
        <f t="shared" si="5"/>
        <v>空白</v>
      </c>
    </row>
    <row r="302" spans="1:14">
      <c r="A302" s="573"/>
      <c r="B302" s="576"/>
      <c r="C302" s="25" t="s">
        <v>418</v>
      </c>
      <c r="D302" s="308" t="s">
        <v>2310</v>
      </c>
      <c r="E302" s="16">
        <v>2</v>
      </c>
      <c r="F302" s="9"/>
      <c r="G302" s="26"/>
      <c r="H302" s="27"/>
      <c r="I302" s="28"/>
      <c r="L302" s="1" t="str">
        <f t="shared" si="5"/>
        <v>空白</v>
      </c>
      <c r="M302" s="1" t="str">
        <f t="shared" si="5"/>
        <v>空白</v>
      </c>
      <c r="N302" s="1" t="str">
        <f t="shared" si="5"/>
        <v>空白</v>
      </c>
    </row>
    <row r="303" spans="1:14">
      <c r="A303" s="573"/>
      <c r="B303" s="576"/>
      <c r="C303" s="25" t="s">
        <v>419</v>
      </c>
      <c r="D303" s="308" t="s">
        <v>2311</v>
      </c>
      <c r="E303" s="16">
        <v>2</v>
      </c>
      <c r="F303" s="9"/>
      <c r="G303" s="26"/>
      <c r="H303" s="27"/>
      <c r="I303" s="28"/>
      <c r="L303" s="1" t="str">
        <f t="shared" si="5"/>
        <v>空白</v>
      </c>
      <c r="M303" s="1" t="str">
        <f t="shared" si="5"/>
        <v>空白</v>
      </c>
      <c r="N303" s="1" t="str">
        <f t="shared" si="5"/>
        <v>空白</v>
      </c>
    </row>
    <row r="304" spans="1:14">
      <c r="A304" s="573"/>
      <c r="B304" s="576"/>
      <c r="C304" s="25" t="s">
        <v>420</v>
      </c>
      <c r="D304" s="308" t="s">
        <v>2312</v>
      </c>
      <c r="E304" s="16">
        <v>2</v>
      </c>
      <c r="F304" s="9"/>
      <c r="G304" s="26"/>
      <c r="H304" s="27"/>
      <c r="I304" s="28"/>
      <c r="L304" s="1" t="str">
        <f t="shared" si="5"/>
        <v>空白</v>
      </c>
      <c r="M304" s="1" t="str">
        <f t="shared" si="5"/>
        <v>空白</v>
      </c>
      <c r="N304" s="1" t="str">
        <f t="shared" si="5"/>
        <v>空白</v>
      </c>
    </row>
    <row r="305" spans="1:14">
      <c r="A305" s="573"/>
      <c r="B305" s="576"/>
      <c r="C305" s="25" t="s">
        <v>421</v>
      </c>
      <c r="D305" s="308" t="s">
        <v>2313</v>
      </c>
      <c r="E305" s="16">
        <v>2</v>
      </c>
      <c r="F305" s="9"/>
      <c r="G305" s="26"/>
      <c r="H305" s="27"/>
      <c r="I305" s="28"/>
      <c r="L305" s="1" t="str">
        <f t="shared" si="5"/>
        <v>空白</v>
      </c>
      <c r="M305" s="1" t="str">
        <f t="shared" si="5"/>
        <v>空白</v>
      </c>
      <c r="N305" s="1" t="str">
        <f t="shared" si="5"/>
        <v>空白</v>
      </c>
    </row>
    <row r="306" spans="1:14">
      <c r="A306" s="573"/>
      <c r="B306" s="576"/>
      <c r="C306" s="25" t="s">
        <v>422</v>
      </c>
      <c r="D306" s="332" t="s">
        <v>2314</v>
      </c>
      <c r="E306" s="16">
        <v>2</v>
      </c>
      <c r="F306" s="9"/>
      <c r="G306" s="26"/>
      <c r="H306" s="27"/>
      <c r="I306" s="28"/>
      <c r="L306" s="1" t="str">
        <f t="shared" si="5"/>
        <v>空白</v>
      </c>
      <c r="M306" s="1" t="str">
        <f t="shared" si="5"/>
        <v>空白</v>
      </c>
      <c r="N306" s="1" t="str">
        <f t="shared" si="5"/>
        <v>空白</v>
      </c>
    </row>
    <row r="307" spans="1:14">
      <c r="A307" s="573"/>
      <c r="B307" s="576"/>
      <c r="C307" s="63" t="s">
        <v>423</v>
      </c>
      <c r="D307" s="326" t="s">
        <v>2315</v>
      </c>
      <c r="E307" s="67">
        <v>2</v>
      </c>
      <c r="F307" s="9"/>
      <c r="G307" s="26"/>
      <c r="H307" s="27"/>
      <c r="I307" s="28"/>
      <c r="L307" s="1" t="str">
        <f t="shared" si="5"/>
        <v>空白</v>
      </c>
      <c r="M307" s="1" t="str">
        <f t="shared" si="5"/>
        <v>空白</v>
      </c>
      <c r="N307" s="1" t="str">
        <f t="shared" si="5"/>
        <v>空白</v>
      </c>
    </row>
    <row r="308" spans="1:14" ht="58.5">
      <c r="A308" s="573"/>
      <c r="B308" s="576"/>
      <c r="C308" s="63" t="s">
        <v>2914</v>
      </c>
      <c r="D308" s="391" t="s">
        <v>2915</v>
      </c>
      <c r="E308" s="67">
        <v>1</v>
      </c>
      <c r="F308" s="9" t="s">
        <v>424</v>
      </c>
      <c r="G308" s="111" t="s">
        <v>425</v>
      </c>
      <c r="H308" s="112">
        <v>1</v>
      </c>
      <c r="I308" s="104" t="s">
        <v>426</v>
      </c>
      <c r="K308" s="2" t="s">
        <v>242</v>
      </c>
      <c r="L308" s="1" t="str">
        <f t="shared" si="5"/>
        <v>對</v>
      </c>
      <c r="M308" s="1" t="str">
        <f>IF(ISBLANK(G308),"空白",IF(G308=D308,"對","錯"))</f>
        <v>對</v>
      </c>
      <c r="N308" s="1" t="str">
        <f t="shared" si="5"/>
        <v>對</v>
      </c>
    </row>
    <row r="309" spans="1:14" ht="59.25" thickBot="1">
      <c r="A309" s="573"/>
      <c r="B309" s="576"/>
      <c r="C309" s="63" t="s">
        <v>2916</v>
      </c>
      <c r="D309" s="392" t="s">
        <v>2917</v>
      </c>
      <c r="E309" s="16">
        <v>3</v>
      </c>
      <c r="F309" s="36" t="s">
        <v>427</v>
      </c>
      <c r="G309" s="131" t="s">
        <v>428</v>
      </c>
      <c r="H309" s="112">
        <v>3</v>
      </c>
      <c r="I309" s="122" t="s">
        <v>429</v>
      </c>
      <c r="K309" s="2" t="s">
        <v>242</v>
      </c>
      <c r="L309" s="1" t="str">
        <f t="shared" si="5"/>
        <v>對</v>
      </c>
      <c r="M309" s="1" t="str">
        <f t="shared" si="5"/>
        <v>對</v>
      </c>
      <c r="N309" s="1" t="str">
        <f t="shared" si="5"/>
        <v>對</v>
      </c>
    </row>
    <row r="310" spans="1:14" ht="19.5" thickTop="1">
      <c r="A310" s="572" t="s">
        <v>430</v>
      </c>
      <c r="B310" s="575" t="s">
        <v>431</v>
      </c>
      <c r="C310" s="7" t="s">
        <v>432</v>
      </c>
      <c r="D310" s="311" t="s">
        <v>2316</v>
      </c>
      <c r="E310" s="8">
        <v>1</v>
      </c>
      <c r="F310" s="66"/>
      <c r="G310" s="10"/>
      <c r="H310" s="11"/>
      <c r="I310" s="304"/>
      <c r="L310" s="1" t="str">
        <f t="shared" si="5"/>
        <v>空白</v>
      </c>
      <c r="M310" s="1" t="str">
        <f>IF(ISBLANK(G310),"空白",IF(G310=D310,"對","錯"))</f>
        <v>空白</v>
      </c>
      <c r="N310" s="1" t="str">
        <f t="shared" si="5"/>
        <v>空白</v>
      </c>
    </row>
    <row r="311" spans="1:14">
      <c r="A311" s="573"/>
      <c r="B311" s="576"/>
      <c r="C311" s="25" t="s">
        <v>433</v>
      </c>
      <c r="D311" s="310" t="s">
        <v>2317</v>
      </c>
      <c r="E311" s="16">
        <v>1</v>
      </c>
      <c r="F311" s="9"/>
      <c r="G311" s="26"/>
      <c r="H311" s="27"/>
      <c r="I311" s="28"/>
      <c r="L311" s="1" t="str">
        <f t="shared" si="5"/>
        <v>空白</v>
      </c>
      <c r="M311" s="1" t="str">
        <f t="shared" si="5"/>
        <v>空白</v>
      </c>
      <c r="N311" s="1" t="str">
        <f t="shared" si="5"/>
        <v>空白</v>
      </c>
    </row>
    <row r="312" spans="1:14" ht="39">
      <c r="A312" s="573"/>
      <c r="B312" s="576"/>
      <c r="C312" s="132" t="s">
        <v>434</v>
      </c>
      <c r="D312" s="314" t="s">
        <v>2918</v>
      </c>
      <c r="E312" s="16">
        <v>1</v>
      </c>
      <c r="F312" s="9"/>
      <c r="G312" s="69" t="s">
        <v>435</v>
      </c>
      <c r="H312" s="73">
        <v>1</v>
      </c>
      <c r="I312" s="28" t="s">
        <v>436</v>
      </c>
      <c r="K312" s="2" t="s">
        <v>35</v>
      </c>
      <c r="L312" s="1" t="str">
        <f t="shared" si="5"/>
        <v>空白</v>
      </c>
      <c r="M312" s="1" t="str">
        <f t="shared" si="5"/>
        <v>對</v>
      </c>
      <c r="N312" s="1" t="str">
        <f t="shared" si="5"/>
        <v>對</v>
      </c>
    </row>
    <row r="313" spans="1:14">
      <c r="A313" s="573"/>
      <c r="B313" s="576"/>
      <c r="C313" s="25" t="s">
        <v>437</v>
      </c>
      <c r="D313" s="310" t="s">
        <v>2318</v>
      </c>
      <c r="E313" s="16">
        <v>3</v>
      </c>
      <c r="F313" s="9"/>
      <c r="G313" s="26"/>
      <c r="H313" s="27"/>
      <c r="I313" s="28"/>
      <c r="L313" s="1" t="str">
        <f t="shared" si="5"/>
        <v>空白</v>
      </c>
      <c r="M313" s="1" t="str">
        <f t="shared" si="5"/>
        <v>空白</v>
      </c>
      <c r="N313" s="1" t="str">
        <f t="shared" si="5"/>
        <v>空白</v>
      </c>
    </row>
    <row r="314" spans="1:14">
      <c r="A314" s="573"/>
      <c r="B314" s="576"/>
      <c r="C314" s="25" t="s">
        <v>438</v>
      </c>
      <c r="D314" s="310" t="s">
        <v>2319</v>
      </c>
      <c r="E314" s="16">
        <v>3</v>
      </c>
      <c r="F314" s="9"/>
      <c r="G314" s="26"/>
      <c r="H314" s="27"/>
      <c r="I314" s="28"/>
      <c r="L314" s="1" t="str">
        <f t="shared" si="5"/>
        <v>空白</v>
      </c>
      <c r="M314" s="1" t="str">
        <f t="shared" si="5"/>
        <v>空白</v>
      </c>
      <c r="N314" s="1" t="str">
        <f t="shared" si="5"/>
        <v>空白</v>
      </c>
    </row>
    <row r="315" spans="1:14">
      <c r="A315" s="573"/>
      <c r="B315" s="576"/>
      <c r="C315" s="25" t="s">
        <v>439</v>
      </c>
      <c r="D315" s="310" t="s">
        <v>2122</v>
      </c>
      <c r="E315" s="16">
        <v>3</v>
      </c>
      <c r="F315" s="9"/>
      <c r="G315" s="26"/>
      <c r="H315" s="27"/>
      <c r="I315" s="28"/>
      <c r="L315" s="1" t="str">
        <f t="shared" si="5"/>
        <v>空白</v>
      </c>
      <c r="M315" s="1" t="str">
        <f t="shared" si="5"/>
        <v>空白</v>
      </c>
      <c r="N315" s="1" t="str">
        <f t="shared" si="5"/>
        <v>空白</v>
      </c>
    </row>
    <row r="316" spans="1:14">
      <c r="A316" s="573"/>
      <c r="B316" s="576"/>
      <c r="C316" s="25" t="s">
        <v>440</v>
      </c>
      <c r="D316" s="310" t="s">
        <v>2320</v>
      </c>
      <c r="E316" s="16">
        <v>2</v>
      </c>
      <c r="F316" s="9"/>
      <c r="G316" s="26"/>
      <c r="H316" s="27"/>
      <c r="I316" s="28"/>
      <c r="L316" s="1" t="str">
        <f t="shared" si="5"/>
        <v>空白</v>
      </c>
      <c r="M316" s="1" t="str">
        <f t="shared" si="5"/>
        <v>空白</v>
      </c>
      <c r="N316" s="1" t="str">
        <f t="shared" si="5"/>
        <v>空白</v>
      </c>
    </row>
    <row r="317" spans="1:14">
      <c r="A317" s="573"/>
      <c r="B317" s="576"/>
      <c r="C317" s="25" t="s">
        <v>441</v>
      </c>
      <c r="D317" s="310" t="s">
        <v>2321</v>
      </c>
      <c r="E317" s="16">
        <v>2</v>
      </c>
      <c r="F317" s="9"/>
      <c r="G317" s="26"/>
      <c r="H317" s="27"/>
      <c r="I317" s="28"/>
      <c r="L317" s="1" t="str">
        <f t="shared" si="5"/>
        <v>空白</v>
      </c>
      <c r="M317" s="1" t="str">
        <f t="shared" si="5"/>
        <v>空白</v>
      </c>
      <c r="N317" s="1" t="str">
        <f t="shared" si="5"/>
        <v>空白</v>
      </c>
    </row>
    <row r="318" spans="1:14">
      <c r="A318" s="573"/>
      <c r="B318" s="576"/>
      <c r="C318" s="25" t="s">
        <v>442</v>
      </c>
      <c r="D318" s="310" t="s">
        <v>2121</v>
      </c>
      <c r="E318" s="16">
        <v>3</v>
      </c>
      <c r="F318" s="9"/>
      <c r="G318" s="26"/>
      <c r="H318" s="27"/>
      <c r="I318" s="28"/>
      <c r="L318" s="1" t="str">
        <f t="shared" si="5"/>
        <v>空白</v>
      </c>
      <c r="M318" s="1" t="str">
        <f t="shared" si="5"/>
        <v>空白</v>
      </c>
      <c r="N318" s="1" t="str">
        <f t="shared" si="5"/>
        <v>空白</v>
      </c>
    </row>
    <row r="319" spans="1:14">
      <c r="A319" s="573"/>
      <c r="B319" s="576"/>
      <c r="C319" s="25" t="s">
        <v>443</v>
      </c>
      <c r="D319" s="310" t="s">
        <v>2322</v>
      </c>
      <c r="E319" s="16">
        <v>4</v>
      </c>
      <c r="F319" s="9"/>
      <c r="G319" s="26"/>
      <c r="H319" s="27"/>
      <c r="I319" s="28"/>
      <c r="L319" s="1" t="str">
        <f t="shared" si="5"/>
        <v>空白</v>
      </c>
      <c r="M319" s="1" t="str">
        <f t="shared" si="5"/>
        <v>空白</v>
      </c>
      <c r="N319" s="1" t="str">
        <f t="shared" si="5"/>
        <v>空白</v>
      </c>
    </row>
    <row r="320" spans="1:14">
      <c r="A320" s="573"/>
      <c r="B320" s="576"/>
      <c r="C320" s="25" t="s">
        <v>444</v>
      </c>
      <c r="D320" s="310" t="s">
        <v>2239</v>
      </c>
      <c r="E320" s="16">
        <v>3</v>
      </c>
      <c r="F320" s="9"/>
      <c r="G320" s="26"/>
      <c r="H320" s="27"/>
      <c r="I320" s="28"/>
      <c r="L320" s="1" t="str">
        <f t="shared" si="5"/>
        <v>空白</v>
      </c>
      <c r="M320" s="1" t="str">
        <f t="shared" si="5"/>
        <v>空白</v>
      </c>
      <c r="N320" s="1" t="str">
        <f t="shared" si="5"/>
        <v>空白</v>
      </c>
    </row>
    <row r="321" spans="1:14" ht="39">
      <c r="A321" s="573"/>
      <c r="B321" s="576"/>
      <c r="C321" s="132" t="s">
        <v>445</v>
      </c>
      <c r="D321" s="314" t="s">
        <v>2919</v>
      </c>
      <c r="E321" s="16">
        <v>4</v>
      </c>
      <c r="F321" s="9"/>
      <c r="G321" s="107" t="s">
        <v>446</v>
      </c>
      <c r="H321" s="73">
        <v>4</v>
      </c>
      <c r="I321" s="33" t="s">
        <v>447</v>
      </c>
      <c r="K321" s="2" t="s">
        <v>35</v>
      </c>
      <c r="L321" s="1" t="str">
        <f t="shared" si="5"/>
        <v>空白</v>
      </c>
      <c r="M321" s="1" t="str">
        <f t="shared" si="5"/>
        <v>對</v>
      </c>
      <c r="N321" s="1" t="str">
        <f t="shared" si="5"/>
        <v>對</v>
      </c>
    </row>
    <row r="322" spans="1:14">
      <c r="A322" s="573"/>
      <c r="B322" s="576"/>
      <c r="C322" s="25" t="s">
        <v>448</v>
      </c>
      <c r="D322" s="310" t="s">
        <v>2323</v>
      </c>
      <c r="E322" s="16">
        <v>4</v>
      </c>
      <c r="F322" s="9"/>
      <c r="G322" s="26"/>
      <c r="H322" s="27"/>
      <c r="I322" s="28"/>
      <c r="L322" s="1" t="str">
        <f t="shared" si="5"/>
        <v>空白</v>
      </c>
      <c r="M322" s="1" t="str">
        <f t="shared" si="5"/>
        <v>空白</v>
      </c>
      <c r="N322" s="1" t="str">
        <f t="shared" si="5"/>
        <v>空白</v>
      </c>
    </row>
    <row r="323" spans="1:14">
      <c r="A323" s="573"/>
      <c r="B323" s="576"/>
      <c r="C323" s="25" t="s">
        <v>449</v>
      </c>
      <c r="D323" s="310" t="s">
        <v>2324</v>
      </c>
      <c r="E323" s="16">
        <v>4</v>
      </c>
      <c r="F323" s="9"/>
      <c r="G323" s="26"/>
      <c r="H323" s="27"/>
      <c r="I323" s="28"/>
      <c r="L323" s="1" t="str">
        <f t="shared" si="5"/>
        <v>空白</v>
      </c>
      <c r="M323" s="1" t="str">
        <f t="shared" si="5"/>
        <v>空白</v>
      </c>
      <c r="N323" s="1" t="str">
        <f t="shared" si="5"/>
        <v>空白</v>
      </c>
    </row>
    <row r="324" spans="1:14">
      <c r="A324" s="573"/>
      <c r="B324" s="576"/>
      <c r="C324" s="25" t="s">
        <v>450</v>
      </c>
      <c r="D324" s="310" t="s">
        <v>2325</v>
      </c>
      <c r="E324" s="16">
        <v>5</v>
      </c>
      <c r="F324" s="9"/>
      <c r="G324" s="26"/>
      <c r="H324" s="27"/>
      <c r="I324" s="28"/>
      <c r="L324" s="1" t="str">
        <f t="shared" si="5"/>
        <v>空白</v>
      </c>
      <c r="M324" s="1" t="str">
        <f t="shared" si="5"/>
        <v>空白</v>
      </c>
      <c r="N324" s="1" t="str">
        <f t="shared" si="5"/>
        <v>空白</v>
      </c>
    </row>
    <row r="325" spans="1:14">
      <c r="A325" s="573"/>
      <c r="B325" s="576"/>
      <c r="C325" s="25" t="s">
        <v>451</v>
      </c>
      <c r="D325" s="310" t="s">
        <v>2326</v>
      </c>
      <c r="E325" s="16">
        <v>5</v>
      </c>
      <c r="F325" s="9"/>
      <c r="G325" s="26"/>
      <c r="H325" s="27"/>
      <c r="I325" s="28"/>
      <c r="L325" s="1" t="str">
        <f t="shared" si="5"/>
        <v>空白</v>
      </c>
      <c r="M325" s="1" t="str">
        <f>IF(ISBLANK(G325),"空白",IF(G325=D325,"對","錯"))</f>
        <v>空白</v>
      </c>
      <c r="N325" s="1" t="str">
        <f t="shared" si="5"/>
        <v>空白</v>
      </c>
    </row>
    <row r="326" spans="1:14">
      <c r="A326" s="573"/>
      <c r="B326" s="576"/>
      <c r="C326" s="25" t="s">
        <v>452</v>
      </c>
      <c r="D326" s="308" t="s">
        <v>2327</v>
      </c>
      <c r="E326" s="16">
        <v>5</v>
      </c>
      <c r="F326" s="9"/>
      <c r="G326" s="26"/>
      <c r="H326" s="27"/>
      <c r="I326" s="28"/>
      <c r="L326" s="1" t="str">
        <f t="shared" ref="L326:N389" si="6">IF(ISBLANK(F326),"空白",IF(F326=C326,"對","錯"))</f>
        <v>空白</v>
      </c>
      <c r="M326" s="1" t="str">
        <f t="shared" si="6"/>
        <v>空白</v>
      </c>
      <c r="N326" s="1" t="str">
        <f t="shared" si="6"/>
        <v>空白</v>
      </c>
    </row>
    <row r="327" spans="1:14">
      <c r="A327" s="573"/>
      <c r="B327" s="576"/>
      <c r="C327" s="25" t="s">
        <v>453</v>
      </c>
      <c r="D327" s="310" t="s">
        <v>2328</v>
      </c>
      <c r="E327" s="16">
        <v>5</v>
      </c>
      <c r="F327" s="9"/>
      <c r="G327" s="26"/>
      <c r="H327" s="27"/>
      <c r="I327" s="28"/>
      <c r="L327" s="1" t="str">
        <f t="shared" si="6"/>
        <v>空白</v>
      </c>
      <c r="M327" s="1" t="str">
        <f t="shared" si="6"/>
        <v>空白</v>
      </c>
      <c r="N327" s="1" t="str">
        <f t="shared" si="6"/>
        <v>空白</v>
      </c>
    </row>
    <row r="328" spans="1:14">
      <c r="A328" s="573"/>
      <c r="B328" s="576"/>
      <c r="C328" s="25" t="s">
        <v>454</v>
      </c>
      <c r="D328" s="310" t="s">
        <v>2329</v>
      </c>
      <c r="E328" s="16">
        <v>5</v>
      </c>
      <c r="F328" s="9"/>
      <c r="G328" s="26"/>
      <c r="H328" s="27"/>
      <c r="I328" s="28"/>
      <c r="L328" s="1" t="str">
        <f t="shared" si="6"/>
        <v>空白</v>
      </c>
      <c r="M328" s="1" t="str">
        <f t="shared" si="6"/>
        <v>空白</v>
      </c>
      <c r="N328" s="1" t="str">
        <f t="shared" si="6"/>
        <v>空白</v>
      </c>
    </row>
    <row r="329" spans="1:14">
      <c r="A329" s="573"/>
      <c r="B329" s="576"/>
      <c r="C329" s="25" t="s">
        <v>455</v>
      </c>
      <c r="D329" s="308" t="s">
        <v>2330</v>
      </c>
      <c r="E329" s="16">
        <v>3</v>
      </c>
      <c r="F329" s="9"/>
      <c r="G329" s="26"/>
      <c r="H329" s="27"/>
      <c r="I329" s="28"/>
      <c r="L329" s="1" t="str">
        <f t="shared" si="6"/>
        <v>空白</v>
      </c>
      <c r="M329" s="1" t="str">
        <f t="shared" si="6"/>
        <v>空白</v>
      </c>
      <c r="N329" s="1" t="str">
        <f t="shared" si="6"/>
        <v>空白</v>
      </c>
    </row>
    <row r="330" spans="1:14">
      <c r="A330" s="573"/>
      <c r="B330" s="576"/>
      <c r="C330" s="25" t="s">
        <v>456</v>
      </c>
      <c r="D330" s="308" t="s">
        <v>2331</v>
      </c>
      <c r="E330" s="16">
        <v>3</v>
      </c>
      <c r="F330" s="9"/>
      <c r="G330" s="26"/>
      <c r="H330" s="27"/>
      <c r="I330" s="28"/>
      <c r="L330" s="1" t="str">
        <f t="shared" si="6"/>
        <v>空白</v>
      </c>
      <c r="M330" s="1" t="str">
        <f t="shared" si="6"/>
        <v>空白</v>
      </c>
      <c r="N330" s="1" t="str">
        <f t="shared" si="6"/>
        <v>空白</v>
      </c>
    </row>
    <row r="331" spans="1:14">
      <c r="A331" s="573"/>
      <c r="B331" s="576"/>
      <c r="C331" s="25" t="s">
        <v>457</v>
      </c>
      <c r="D331" s="308" t="s">
        <v>2332</v>
      </c>
      <c r="E331" s="16">
        <v>4</v>
      </c>
      <c r="F331" s="9"/>
      <c r="G331" s="26"/>
      <c r="H331" s="27"/>
      <c r="I331" s="28"/>
      <c r="L331" s="1" t="str">
        <f t="shared" si="6"/>
        <v>空白</v>
      </c>
      <c r="M331" s="1" t="str">
        <f t="shared" si="6"/>
        <v>空白</v>
      </c>
      <c r="N331" s="1" t="str">
        <f t="shared" si="6"/>
        <v>空白</v>
      </c>
    </row>
    <row r="332" spans="1:14">
      <c r="A332" s="573"/>
      <c r="B332" s="576"/>
      <c r="C332" s="25" t="s">
        <v>458</v>
      </c>
      <c r="D332" s="308" t="s">
        <v>2333</v>
      </c>
      <c r="E332" s="16">
        <v>4</v>
      </c>
      <c r="F332" s="9"/>
      <c r="G332" s="92"/>
      <c r="H332" s="112"/>
      <c r="I332" s="28"/>
      <c r="L332" s="1" t="str">
        <f t="shared" si="6"/>
        <v>空白</v>
      </c>
      <c r="M332" s="1" t="str">
        <f t="shared" si="6"/>
        <v>空白</v>
      </c>
      <c r="N332" s="1" t="str">
        <f t="shared" si="6"/>
        <v>空白</v>
      </c>
    </row>
    <row r="333" spans="1:14" ht="19.5">
      <c r="A333" s="573"/>
      <c r="B333" s="576"/>
      <c r="C333" s="132" t="s">
        <v>459</v>
      </c>
      <c r="D333" s="332" t="s">
        <v>2920</v>
      </c>
      <c r="E333" s="16">
        <v>4</v>
      </c>
      <c r="F333" s="9"/>
      <c r="G333" s="31" t="s">
        <v>460</v>
      </c>
      <c r="H333" s="73">
        <v>4</v>
      </c>
      <c r="I333" s="28" t="s">
        <v>461</v>
      </c>
      <c r="K333" s="2" t="s">
        <v>35</v>
      </c>
      <c r="L333" s="1" t="str">
        <f t="shared" si="6"/>
        <v>空白</v>
      </c>
      <c r="M333" s="1" t="str">
        <f t="shared" si="6"/>
        <v>對</v>
      </c>
      <c r="N333" s="1" t="str">
        <f t="shared" si="6"/>
        <v>對</v>
      </c>
    </row>
    <row r="334" spans="1:14">
      <c r="A334" s="573"/>
      <c r="B334" s="576"/>
      <c r="C334" s="25" t="s">
        <v>462</v>
      </c>
      <c r="D334" s="308" t="s">
        <v>2334</v>
      </c>
      <c r="E334" s="16">
        <v>4</v>
      </c>
      <c r="F334" s="9"/>
      <c r="G334" s="26"/>
      <c r="H334" s="27"/>
      <c r="I334" s="28"/>
      <c r="L334" s="1" t="str">
        <f t="shared" si="6"/>
        <v>空白</v>
      </c>
      <c r="M334" s="1" t="str">
        <f t="shared" si="6"/>
        <v>空白</v>
      </c>
      <c r="N334" s="1" t="str">
        <f t="shared" si="6"/>
        <v>空白</v>
      </c>
    </row>
    <row r="335" spans="1:14">
      <c r="A335" s="573"/>
      <c r="B335" s="576"/>
      <c r="C335" s="25" t="s">
        <v>463</v>
      </c>
      <c r="D335" s="308" t="s">
        <v>2335</v>
      </c>
      <c r="E335" s="16">
        <v>4</v>
      </c>
      <c r="F335" s="9"/>
      <c r="G335" s="26"/>
      <c r="H335" s="27"/>
      <c r="I335" s="28"/>
      <c r="L335" s="1" t="str">
        <f t="shared" si="6"/>
        <v>空白</v>
      </c>
      <c r="M335" s="1" t="str">
        <f t="shared" si="6"/>
        <v>空白</v>
      </c>
      <c r="N335" s="1" t="str">
        <f t="shared" si="6"/>
        <v>空白</v>
      </c>
    </row>
    <row r="336" spans="1:14">
      <c r="A336" s="573"/>
      <c r="B336" s="576"/>
      <c r="C336" s="25" t="s">
        <v>464</v>
      </c>
      <c r="D336" s="308" t="s">
        <v>2336</v>
      </c>
      <c r="E336" s="16">
        <v>4</v>
      </c>
      <c r="F336" s="9"/>
      <c r="G336" s="26"/>
      <c r="H336" s="27"/>
      <c r="I336" s="28"/>
      <c r="L336" s="1" t="str">
        <f t="shared" si="6"/>
        <v>空白</v>
      </c>
      <c r="M336" s="1" t="str">
        <f t="shared" si="6"/>
        <v>空白</v>
      </c>
      <c r="N336" s="1" t="str">
        <f t="shared" si="6"/>
        <v>空白</v>
      </c>
    </row>
    <row r="337" spans="1:14">
      <c r="A337" s="573"/>
      <c r="B337" s="576"/>
      <c r="C337" s="25" t="s">
        <v>465</v>
      </c>
      <c r="D337" s="308" t="s">
        <v>2337</v>
      </c>
      <c r="E337" s="16">
        <v>2</v>
      </c>
      <c r="F337" s="9"/>
      <c r="G337" s="26"/>
      <c r="H337" s="27"/>
      <c r="I337" s="28"/>
      <c r="L337" s="1" t="str">
        <f t="shared" si="6"/>
        <v>空白</v>
      </c>
      <c r="M337" s="1" t="str">
        <f>IF(ISBLANK(G337),"空白",IF(G337=D337,"對","錯"))</f>
        <v>空白</v>
      </c>
      <c r="N337" s="1" t="str">
        <f t="shared" si="6"/>
        <v>空白</v>
      </c>
    </row>
    <row r="338" spans="1:14">
      <c r="A338" s="573"/>
      <c r="B338" s="576"/>
      <c r="C338" s="25" t="s">
        <v>466</v>
      </c>
      <c r="D338" s="308" t="s">
        <v>2338</v>
      </c>
      <c r="E338" s="16">
        <v>4</v>
      </c>
      <c r="F338" s="9"/>
      <c r="G338" s="26"/>
      <c r="H338" s="27"/>
      <c r="I338" s="28"/>
      <c r="L338" s="1" t="str">
        <f t="shared" si="6"/>
        <v>空白</v>
      </c>
      <c r="M338" s="1" t="str">
        <f t="shared" si="6"/>
        <v>空白</v>
      </c>
      <c r="N338" s="1" t="str">
        <f t="shared" si="6"/>
        <v>空白</v>
      </c>
    </row>
    <row r="339" spans="1:14">
      <c r="A339" s="573"/>
      <c r="B339" s="576"/>
      <c r="C339" s="25" t="s">
        <v>467</v>
      </c>
      <c r="D339" s="308" t="s">
        <v>2339</v>
      </c>
      <c r="E339" s="16">
        <v>3</v>
      </c>
      <c r="F339" s="9"/>
      <c r="G339" s="26"/>
      <c r="H339" s="27"/>
      <c r="I339" s="28"/>
      <c r="L339" s="1" t="str">
        <f t="shared" si="6"/>
        <v>空白</v>
      </c>
      <c r="M339" s="1" t="str">
        <f t="shared" si="6"/>
        <v>空白</v>
      </c>
      <c r="N339" s="1" t="str">
        <f t="shared" si="6"/>
        <v>空白</v>
      </c>
    </row>
    <row r="340" spans="1:14">
      <c r="A340" s="573"/>
      <c r="B340" s="576"/>
      <c r="C340" s="25" t="s">
        <v>468</v>
      </c>
      <c r="D340" s="310" t="s">
        <v>2340</v>
      </c>
      <c r="E340" s="16">
        <v>5</v>
      </c>
      <c r="F340" s="9"/>
      <c r="G340" s="26"/>
      <c r="H340" s="27"/>
      <c r="I340" s="28"/>
      <c r="L340" s="1" t="str">
        <f t="shared" si="6"/>
        <v>空白</v>
      </c>
      <c r="M340" s="1" t="str">
        <f t="shared" si="6"/>
        <v>空白</v>
      </c>
      <c r="N340" s="1" t="str">
        <f t="shared" si="6"/>
        <v>空白</v>
      </c>
    </row>
    <row r="341" spans="1:14">
      <c r="A341" s="573"/>
      <c r="B341" s="576"/>
      <c r="C341" s="25" t="s">
        <v>469</v>
      </c>
      <c r="D341" s="308" t="s">
        <v>2341</v>
      </c>
      <c r="E341" s="16">
        <v>4</v>
      </c>
      <c r="F341" s="9"/>
      <c r="G341" s="26"/>
      <c r="H341" s="27"/>
      <c r="I341" s="28"/>
      <c r="L341" s="1" t="str">
        <f t="shared" si="6"/>
        <v>空白</v>
      </c>
      <c r="M341" s="1" t="str">
        <f t="shared" si="6"/>
        <v>空白</v>
      </c>
      <c r="N341" s="1" t="str">
        <f t="shared" si="6"/>
        <v>空白</v>
      </c>
    </row>
    <row r="342" spans="1:14">
      <c r="A342" s="573"/>
      <c r="B342" s="576"/>
      <c r="C342" s="25" t="s">
        <v>470</v>
      </c>
      <c r="D342" s="310" t="s">
        <v>2342</v>
      </c>
      <c r="E342" s="16">
        <v>4</v>
      </c>
      <c r="F342" s="9"/>
      <c r="G342" s="26"/>
      <c r="H342" s="27"/>
      <c r="I342" s="28"/>
      <c r="L342" s="1" t="str">
        <f t="shared" si="6"/>
        <v>空白</v>
      </c>
      <c r="M342" s="1" t="str">
        <f t="shared" si="6"/>
        <v>空白</v>
      </c>
      <c r="N342" s="1" t="str">
        <f t="shared" si="6"/>
        <v>空白</v>
      </c>
    </row>
    <row r="343" spans="1:14" ht="19.5">
      <c r="A343" s="573"/>
      <c r="B343" s="576"/>
      <c r="C343" s="132" t="s">
        <v>471</v>
      </c>
      <c r="D343" s="314" t="s">
        <v>2921</v>
      </c>
      <c r="E343" s="16">
        <v>4</v>
      </c>
      <c r="F343" s="9"/>
      <c r="G343" s="107" t="s">
        <v>472</v>
      </c>
      <c r="H343" s="73">
        <v>4</v>
      </c>
      <c r="I343" s="28" t="s">
        <v>461</v>
      </c>
      <c r="K343" s="2" t="s">
        <v>35</v>
      </c>
      <c r="L343" s="1" t="str">
        <f t="shared" si="6"/>
        <v>空白</v>
      </c>
      <c r="M343" s="1" t="str">
        <f t="shared" si="6"/>
        <v>對</v>
      </c>
      <c r="N343" s="1" t="str">
        <f t="shared" si="6"/>
        <v>對</v>
      </c>
    </row>
    <row r="344" spans="1:14">
      <c r="A344" s="573"/>
      <c r="B344" s="576"/>
      <c r="C344" s="25" t="s">
        <v>473</v>
      </c>
      <c r="D344" s="310" t="s">
        <v>2343</v>
      </c>
      <c r="E344" s="16">
        <v>4</v>
      </c>
      <c r="F344" s="9"/>
      <c r="G344" s="26"/>
      <c r="H344" s="27"/>
      <c r="I344" s="28"/>
      <c r="L344" s="1" t="str">
        <f t="shared" si="6"/>
        <v>空白</v>
      </c>
      <c r="M344" s="1" t="str">
        <f t="shared" si="6"/>
        <v>空白</v>
      </c>
      <c r="N344" s="1" t="str">
        <f t="shared" si="6"/>
        <v>空白</v>
      </c>
    </row>
    <row r="345" spans="1:14">
      <c r="A345" s="573"/>
      <c r="B345" s="576"/>
      <c r="C345" s="25" t="s">
        <v>474</v>
      </c>
      <c r="D345" s="310" t="s">
        <v>2344</v>
      </c>
      <c r="E345" s="16">
        <v>5</v>
      </c>
      <c r="F345" s="9"/>
      <c r="G345" s="26"/>
      <c r="H345" s="27"/>
      <c r="I345" s="28"/>
      <c r="L345" s="1" t="str">
        <f t="shared" si="6"/>
        <v>空白</v>
      </c>
      <c r="M345" s="1" t="str">
        <f t="shared" si="6"/>
        <v>空白</v>
      </c>
      <c r="N345" s="1" t="str">
        <f t="shared" si="6"/>
        <v>空白</v>
      </c>
    </row>
    <row r="346" spans="1:14">
      <c r="A346" s="573"/>
      <c r="B346" s="576"/>
      <c r="C346" s="25" t="s">
        <v>475</v>
      </c>
      <c r="D346" s="310" t="s">
        <v>2345</v>
      </c>
      <c r="E346" s="16">
        <v>5</v>
      </c>
      <c r="F346" s="9"/>
      <c r="G346" s="26"/>
      <c r="H346" s="27"/>
      <c r="I346" s="28"/>
      <c r="L346" s="1" t="str">
        <f t="shared" si="6"/>
        <v>空白</v>
      </c>
      <c r="M346" s="1" t="str">
        <f t="shared" si="6"/>
        <v>空白</v>
      </c>
      <c r="N346" s="1" t="str">
        <f t="shared" si="6"/>
        <v>空白</v>
      </c>
    </row>
    <row r="347" spans="1:14" ht="19.5">
      <c r="A347" s="573"/>
      <c r="B347" s="576"/>
      <c r="C347" s="25" t="s">
        <v>476</v>
      </c>
      <c r="D347" s="310" t="s">
        <v>2922</v>
      </c>
      <c r="E347" s="16">
        <v>4</v>
      </c>
      <c r="F347" s="9"/>
      <c r="G347" s="69" t="s">
        <v>477</v>
      </c>
      <c r="H347" s="73">
        <v>4</v>
      </c>
      <c r="I347" s="28" t="s">
        <v>461</v>
      </c>
      <c r="K347" s="2" t="s">
        <v>35</v>
      </c>
      <c r="L347" s="1" t="str">
        <f t="shared" si="6"/>
        <v>空白</v>
      </c>
      <c r="M347" s="1" t="str">
        <f t="shared" si="6"/>
        <v>對</v>
      </c>
      <c r="N347" s="1" t="str">
        <f t="shared" si="6"/>
        <v>對</v>
      </c>
    </row>
    <row r="348" spans="1:14" ht="58.5">
      <c r="A348" s="573"/>
      <c r="B348" s="576"/>
      <c r="C348" s="132" t="s">
        <v>478</v>
      </c>
      <c r="D348" s="314" t="s">
        <v>2923</v>
      </c>
      <c r="E348" s="16">
        <v>5</v>
      </c>
      <c r="F348" s="9"/>
      <c r="G348" s="107" t="s">
        <v>479</v>
      </c>
      <c r="H348" s="73">
        <v>5</v>
      </c>
      <c r="I348" s="28" t="s">
        <v>480</v>
      </c>
      <c r="K348" s="2" t="s">
        <v>35</v>
      </c>
      <c r="L348" s="1" t="str">
        <f t="shared" si="6"/>
        <v>空白</v>
      </c>
      <c r="M348" s="1" t="str">
        <f t="shared" si="6"/>
        <v>對</v>
      </c>
      <c r="N348" s="1" t="str">
        <f t="shared" si="6"/>
        <v>對</v>
      </c>
    </row>
    <row r="349" spans="1:14">
      <c r="A349" s="573"/>
      <c r="B349" s="576"/>
      <c r="C349" s="25" t="s">
        <v>481</v>
      </c>
      <c r="D349" s="310" t="s">
        <v>2346</v>
      </c>
      <c r="E349" s="16">
        <v>4</v>
      </c>
      <c r="F349" s="9"/>
      <c r="G349" s="26"/>
      <c r="H349" s="27"/>
      <c r="I349" s="28"/>
      <c r="L349" s="1" t="str">
        <f t="shared" si="6"/>
        <v>空白</v>
      </c>
      <c r="M349" s="1" t="str">
        <f>IF(ISBLANK(G349),"空白",IF(G349=D349,"對","錯"))</f>
        <v>空白</v>
      </c>
      <c r="N349" s="1" t="str">
        <f t="shared" si="6"/>
        <v>空白</v>
      </c>
    </row>
    <row r="350" spans="1:14">
      <c r="A350" s="573"/>
      <c r="B350" s="576"/>
      <c r="C350" s="25" t="s">
        <v>482</v>
      </c>
      <c r="D350" s="310" t="s">
        <v>2347</v>
      </c>
      <c r="E350" s="16">
        <v>4</v>
      </c>
      <c r="F350" s="9"/>
      <c r="G350" s="26"/>
      <c r="H350" s="27"/>
      <c r="I350" s="28"/>
      <c r="L350" s="1" t="str">
        <f t="shared" si="6"/>
        <v>空白</v>
      </c>
      <c r="M350" s="1" t="str">
        <f t="shared" si="6"/>
        <v>空白</v>
      </c>
      <c r="N350" s="1" t="str">
        <f t="shared" si="6"/>
        <v>空白</v>
      </c>
    </row>
    <row r="351" spans="1:14">
      <c r="A351" s="573"/>
      <c r="B351" s="576"/>
      <c r="C351" s="25" t="s">
        <v>483</v>
      </c>
      <c r="D351" s="310" t="s">
        <v>2348</v>
      </c>
      <c r="E351" s="16">
        <v>4</v>
      </c>
      <c r="F351" s="9"/>
      <c r="G351" s="26"/>
      <c r="H351" s="27"/>
      <c r="I351" s="28"/>
      <c r="L351" s="1" t="str">
        <f t="shared" si="6"/>
        <v>空白</v>
      </c>
      <c r="M351" s="1" t="str">
        <f t="shared" si="6"/>
        <v>空白</v>
      </c>
      <c r="N351" s="1" t="str">
        <f t="shared" si="6"/>
        <v>空白</v>
      </c>
    </row>
    <row r="352" spans="1:14" ht="39">
      <c r="A352" s="573"/>
      <c r="B352" s="576"/>
      <c r="C352" s="25" t="s">
        <v>484</v>
      </c>
      <c r="D352" s="310" t="s">
        <v>2924</v>
      </c>
      <c r="E352" s="16">
        <v>4</v>
      </c>
      <c r="F352" s="9"/>
      <c r="G352" s="26" t="s">
        <v>485</v>
      </c>
      <c r="H352" s="27">
        <v>4</v>
      </c>
      <c r="I352" s="28" t="s">
        <v>61</v>
      </c>
      <c r="K352" s="2" t="s">
        <v>54</v>
      </c>
      <c r="L352" s="1" t="str">
        <f t="shared" si="6"/>
        <v>空白</v>
      </c>
      <c r="M352" s="1" t="str">
        <f t="shared" si="6"/>
        <v>對</v>
      </c>
      <c r="N352" s="1" t="str">
        <f t="shared" si="6"/>
        <v>對</v>
      </c>
    </row>
    <row r="353" spans="1:14">
      <c r="A353" s="573"/>
      <c r="B353" s="576"/>
      <c r="C353" s="25" t="s">
        <v>486</v>
      </c>
      <c r="D353" s="310" t="s">
        <v>2349</v>
      </c>
      <c r="E353" s="16">
        <v>5</v>
      </c>
      <c r="F353" s="9"/>
      <c r="G353" s="26"/>
      <c r="H353" s="27"/>
      <c r="I353" s="28"/>
      <c r="L353" s="1" t="str">
        <f t="shared" si="6"/>
        <v>空白</v>
      </c>
      <c r="M353" s="1" t="str">
        <f t="shared" si="6"/>
        <v>空白</v>
      </c>
      <c r="N353" s="1" t="str">
        <f t="shared" si="6"/>
        <v>空白</v>
      </c>
    </row>
    <row r="354" spans="1:14">
      <c r="A354" s="573"/>
      <c r="B354" s="576"/>
      <c r="C354" s="133" t="s">
        <v>487</v>
      </c>
      <c r="D354" s="310" t="s">
        <v>2350</v>
      </c>
      <c r="E354" s="16">
        <v>4</v>
      </c>
      <c r="F354" s="9"/>
      <c r="G354" s="26"/>
      <c r="H354" s="27"/>
      <c r="I354" s="28"/>
      <c r="L354" s="1" t="str">
        <f t="shared" si="6"/>
        <v>空白</v>
      </c>
      <c r="M354" s="1" t="str">
        <f t="shared" si="6"/>
        <v>空白</v>
      </c>
      <c r="N354" s="1" t="str">
        <f t="shared" si="6"/>
        <v>空白</v>
      </c>
    </row>
    <row r="355" spans="1:14">
      <c r="A355" s="573"/>
      <c r="B355" s="576"/>
      <c r="C355" s="25" t="s">
        <v>488</v>
      </c>
      <c r="D355" s="310" t="s">
        <v>2351</v>
      </c>
      <c r="E355" s="16">
        <v>4</v>
      </c>
      <c r="F355" s="9"/>
      <c r="G355" s="26"/>
      <c r="H355" s="27"/>
      <c r="I355" s="28"/>
      <c r="L355" s="1" t="str">
        <f t="shared" si="6"/>
        <v>空白</v>
      </c>
      <c r="M355" s="1" t="str">
        <f t="shared" si="6"/>
        <v>空白</v>
      </c>
      <c r="N355" s="1" t="str">
        <f t="shared" si="6"/>
        <v>空白</v>
      </c>
    </row>
    <row r="356" spans="1:14">
      <c r="A356" s="573"/>
      <c r="B356" s="576"/>
      <c r="C356" s="25" t="s">
        <v>489</v>
      </c>
      <c r="D356" s="310" t="s">
        <v>2352</v>
      </c>
      <c r="E356" s="16">
        <v>4</v>
      </c>
      <c r="F356" s="9"/>
      <c r="G356" s="26"/>
      <c r="H356" s="27"/>
      <c r="I356" s="28"/>
      <c r="L356" s="1" t="str">
        <f t="shared" si="6"/>
        <v>空白</v>
      </c>
      <c r="M356" s="1" t="str">
        <f t="shared" si="6"/>
        <v>空白</v>
      </c>
      <c r="N356" s="1" t="str">
        <f t="shared" si="6"/>
        <v>空白</v>
      </c>
    </row>
    <row r="357" spans="1:14">
      <c r="A357" s="573"/>
      <c r="B357" s="576"/>
      <c r="C357" s="63" t="s">
        <v>490</v>
      </c>
      <c r="D357" s="322" t="s">
        <v>2353</v>
      </c>
      <c r="E357" s="67">
        <v>3</v>
      </c>
      <c r="F357" s="9"/>
      <c r="G357" s="26"/>
      <c r="H357" s="27"/>
      <c r="I357" s="28"/>
      <c r="L357" s="1" t="str">
        <f t="shared" si="6"/>
        <v>空白</v>
      </c>
      <c r="M357" s="1" t="str">
        <f t="shared" si="6"/>
        <v>空白</v>
      </c>
      <c r="N357" s="1" t="str">
        <f t="shared" si="6"/>
        <v>空白</v>
      </c>
    </row>
    <row r="358" spans="1:14" ht="39">
      <c r="A358" s="573"/>
      <c r="B358" s="576"/>
      <c r="C358" s="266" t="s">
        <v>2925</v>
      </c>
      <c r="D358" s="336" t="s">
        <v>2926</v>
      </c>
      <c r="E358" s="16">
        <v>2</v>
      </c>
      <c r="F358" s="9" t="s">
        <v>491</v>
      </c>
      <c r="G358" s="134" t="s">
        <v>492</v>
      </c>
      <c r="H358" s="112">
        <v>2</v>
      </c>
      <c r="I358" s="104" t="s">
        <v>493</v>
      </c>
      <c r="K358" s="2" t="s">
        <v>242</v>
      </c>
      <c r="L358" s="1" t="str">
        <f t="shared" si="6"/>
        <v>對</v>
      </c>
      <c r="M358" s="1" t="str">
        <f>IF(ISBLANK(G358),"空白",IF(G358=D358,"對","錯"))</f>
        <v>對</v>
      </c>
      <c r="N358" s="1" t="str">
        <f t="shared" si="6"/>
        <v>對</v>
      </c>
    </row>
    <row r="359" spans="1:14" ht="78">
      <c r="A359" s="573"/>
      <c r="B359" s="576"/>
      <c r="C359" s="393" t="s">
        <v>2927</v>
      </c>
      <c r="D359" s="435" t="s">
        <v>2928</v>
      </c>
      <c r="E359" s="16">
        <v>6</v>
      </c>
      <c r="F359" s="9" t="s">
        <v>494</v>
      </c>
      <c r="G359" s="135" t="s">
        <v>495</v>
      </c>
      <c r="H359" s="112">
        <v>6</v>
      </c>
      <c r="I359" s="104" t="s">
        <v>496</v>
      </c>
      <c r="K359" s="2" t="s">
        <v>242</v>
      </c>
      <c r="L359" s="1" t="str">
        <f t="shared" si="6"/>
        <v>對</v>
      </c>
      <c r="M359" s="1" t="str">
        <f t="shared" si="6"/>
        <v>對</v>
      </c>
      <c r="N359" s="1" t="str">
        <f t="shared" si="6"/>
        <v>對</v>
      </c>
    </row>
    <row r="360" spans="1:14" ht="58.5">
      <c r="A360" s="573"/>
      <c r="B360" s="576"/>
      <c r="C360" s="283" t="s">
        <v>2929</v>
      </c>
      <c r="D360" s="329" t="s">
        <v>2930</v>
      </c>
      <c r="E360" s="16">
        <v>3</v>
      </c>
      <c r="F360" s="9" t="s">
        <v>497</v>
      </c>
      <c r="G360" s="109" t="s">
        <v>498</v>
      </c>
      <c r="H360" s="112">
        <v>3</v>
      </c>
      <c r="I360" s="104" t="s">
        <v>499</v>
      </c>
      <c r="K360" s="2" t="s">
        <v>242</v>
      </c>
      <c r="L360" s="1" t="str">
        <f t="shared" si="6"/>
        <v>對</v>
      </c>
      <c r="M360" s="1" t="str">
        <f t="shared" si="6"/>
        <v>對</v>
      </c>
      <c r="N360" s="1" t="str">
        <f t="shared" si="6"/>
        <v>對</v>
      </c>
    </row>
    <row r="361" spans="1:14" ht="39">
      <c r="A361" s="573"/>
      <c r="B361" s="576"/>
      <c r="C361" s="283" t="s">
        <v>2931</v>
      </c>
      <c r="D361" s="396" t="s">
        <v>2932</v>
      </c>
      <c r="E361" s="16">
        <v>4</v>
      </c>
      <c r="F361" s="9" t="s">
        <v>500</v>
      </c>
      <c r="G361" s="111" t="s">
        <v>501</v>
      </c>
      <c r="H361" s="112">
        <v>4</v>
      </c>
      <c r="I361" s="104" t="s">
        <v>502</v>
      </c>
      <c r="K361" s="2" t="s">
        <v>242</v>
      </c>
      <c r="L361" s="1" t="str">
        <f t="shared" si="6"/>
        <v>對</v>
      </c>
      <c r="M361" s="1" t="str">
        <f t="shared" si="6"/>
        <v>對</v>
      </c>
      <c r="N361" s="1" t="str">
        <f t="shared" si="6"/>
        <v>對</v>
      </c>
    </row>
    <row r="362" spans="1:14" ht="19.5">
      <c r="A362" s="573"/>
      <c r="B362" s="576"/>
      <c r="C362" s="283" t="s">
        <v>2933</v>
      </c>
      <c r="D362" s="396" t="s">
        <v>2934</v>
      </c>
      <c r="E362" s="16">
        <v>4</v>
      </c>
      <c r="F362" s="9" t="s">
        <v>503</v>
      </c>
      <c r="G362" s="111" t="s">
        <v>504</v>
      </c>
      <c r="H362" s="112">
        <v>4</v>
      </c>
      <c r="I362" s="622" t="s">
        <v>505</v>
      </c>
      <c r="K362" s="2" t="s">
        <v>242</v>
      </c>
      <c r="L362" s="1" t="str">
        <f t="shared" si="6"/>
        <v>對</v>
      </c>
      <c r="M362" s="1" t="str">
        <f>IF(ISBLANK(G362),"空白",IF(G362=D362,"對","錯"))</f>
        <v>對</v>
      </c>
      <c r="N362" s="1" t="str">
        <f t="shared" si="6"/>
        <v>對</v>
      </c>
    </row>
    <row r="363" spans="1:14" ht="19.5">
      <c r="A363" s="573"/>
      <c r="B363" s="581"/>
      <c r="C363" s="136" t="s">
        <v>2935</v>
      </c>
      <c r="D363" s="436" t="s">
        <v>2936</v>
      </c>
      <c r="E363" s="395">
        <v>5</v>
      </c>
      <c r="F363" s="36" t="s">
        <v>506</v>
      </c>
      <c r="G363" s="37" t="s">
        <v>507</v>
      </c>
      <c r="H363" s="113">
        <v>5</v>
      </c>
      <c r="I363" s="619"/>
      <c r="K363" s="2" t="s">
        <v>242</v>
      </c>
      <c r="L363" s="1" t="str">
        <f t="shared" si="6"/>
        <v>對</v>
      </c>
      <c r="M363" s="1" t="str">
        <f t="shared" si="6"/>
        <v>對</v>
      </c>
      <c r="N363" s="1" t="str">
        <f t="shared" si="6"/>
        <v>對</v>
      </c>
    </row>
    <row r="364" spans="1:14">
      <c r="A364" s="573"/>
      <c r="B364" s="580" t="s">
        <v>508</v>
      </c>
      <c r="C364" s="22" t="s">
        <v>509</v>
      </c>
      <c r="D364" s="313" t="s">
        <v>2319</v>
      </c>
      <c r="E364" s="48">
        <v>3</v>
      </c>
      <c r="F364" s="42"/>
      <c r="G364" s="10"/>
      <c r="H364" s="43"/>
      <c r="I364" s="304"/>
      <c r="L364" s="1" t="str">
        <f t="shared" si="6"/>
        <v>空白</v>
      </c>
      <c r="M364" s="1" t="str">
        <f t="shared" si="6"/>
        <v>空白</v>
      </c>
      <c r="N364" s="1" t="str">
        <f t="shared" si="6"/>
        <v>空白</v>
      </c>
    </row>
    <row r="365" spans="1:14">
      <c r="A365" s="573"/>
      <c r="B365" s="576"/>
      <c r="C365" s="25" t="s">
        <v>510</v>
      </c>
      <c r="D365" s="310" t="s">
        <v>2354</v>
      </c>
      <c r="E365" s="16">
        <v>3</v>
      </c>
      <c r="F365" s="9"/>
      <c r="G365" s="26"/>
      <c r="H365" s="27"/>
      <c r="I365" s="28"/>
      <c r="L365" s="1" t="str">
        <f t="shared" si="6"/>
        <v>空白</v>
      </c>
      <c r="M365" s="1" t="str">
        <f t="shared" si="6"/>
        <v>空白</v>
      </c>
      <c r="N365" s="1" t="str">
        <f t="shared" si="6"/>
        <v>空白</v>
      </c>
    </row>
    <row r="366" spans="1:14">
      <c r="A366" s="573"/>
      <c r="B366" s="576"/>
      <c r="C366" s="25" t="s">
        <v>511</v>
      </c>
      <c r="D366" s="310" t="s">
        <v>2355</v>
      </c>
      <c r="E366" s="16">
        <v>5</v>
      </c>
      <c r="F366" s="9"/>
      <c r="G366" s="26"/>
      <c r="H366" s="27"/>
      <c r="I366" s="28"/>
      <c r="L366" s="1" t="str">
        <f t="shared" si="6"/>
        <v>空白</v>
      </c>
      <c r="M366" s="1" t="str">
        <f t="shared" si="6"/>
        <v>空白</v>
      </c>
      <c r="N366" s="1" t="str">
        <f t="shared" si="6"/>
        <v>空白</v>
      </c>
    </row>
    <row r="367" spans="1:14">
      <c r="A367" s="573"/>
      <c r="B367" s="576"/>
      <c r="C367" s="25" t="s">
        <v>512</v>
      </c>
      <c r="D367" s="310" t="s">
        <v>2356</v>
      </c>
      <c r="E367" s="16">
        <v>4</v>
      </c>
      <c r="F367" s="9"/>
      <c r="G367" s="26"/>
      <c r="H367" s="27"/>
      <c r="I367" s="28"/>
      <c r="L367" s="1" t="str">
        <f t="shared" si="6"/>
        <v>空白</v>
      </c>
      <c r="M367" s="1" t="str">
        <f t="shared" si="6"/>
        <v>空白</v>
      </c>
      <c r="N367" s="1" t="str">
        <f t="shared" si="6"/>
        <v>空白</v>
      </c>
    </row>
    <row r="368" spans="1:14" ht="39">
      <c r="A368" s="573"/>
      <c r="B368" s="576"/>
      <c r="C368" s="132" t="s">
        <v>513</v>
      </c>
      <c r="D368" s="314" t="s">
        <v>2937</v>
      </c>
      <c r="E368" s="16">
        <v>4</v>
      </c>
      <c r="F368" s="9"/>
      <c r="G368" s="107" t="s">
        <v>514</v>
      </c>
      <c r="H368" s="73">
        <v>4</v>
      </c>
      <c r="I368" s="28" t="s">
        <v>515</v>
      </c>
      <c r="K368" s="2" t="s">
        <v>35</v>
      </c>
      <c r="L368" s="1" t="str">
        <f t="shared" si="6"/>
        <v>空白</v>
      </c>
      <c r="M368" s="1" t="str">
        <f t="shared" si="6"/>
        <v>對</v>
      </c>
      <c r="N368" s="1" t="str">
        <f t="shared" si="6"/>
        <v>對</v>
      </c>
    </row>
    <row r="369" spans="1:14">
      <c r="A369" s="573"/>
      <c r="B369" s="576"/>
      <c r="C369" s="25" t="s">
        <v>516</v>
      </c>
      <c r="D369" s="310" t="s">
        <v>2357</v>
      </c>
      <c r="E369" s="16">
        <v>5</v>
      </c>
      <c r="F369" s="9"/>
      <c r="G369" s="26"/>
      <c r="H369" s="27"/>
      <c r="I369" s="28"/>
      <c r="L369" s="1" t="str">
        <f t="shared" si="6"/>
        <v>空白</v>
      </c>
      <c r="M369" s="1" t="str">
        <f t="shared" si="6"/>
        <v>空白</v>
      </c>
      <c r="N369" s="1" t="str">
        <f t="shared" si="6"/>
        <v>空白</v>
      </c>
    </row>
    <row r="370" spans="1:14">
      <c r="A370" s="573"/>
      <c r="B370" s="576"/>
      <c r="C370" s="25" t="s">
        <v>517</v>
      </c>
      <c r="D370" s="308" t="s">
        <v>2358</v>
      </c>
      <c r="E370" s="16">
        <v>4</v>
      </c>
      <c r="F370" s="9"/>
      <c r="G370" s="26"/>
      <c r="H370" s="27"/>
      <c r="I370" s="28"/>
      <c r="L370" s="1" t="str">
        <f t="shared" si="6"/>
        <v>空白</v>
      </c>
      <c r="M370" s="1" t="str">
        <f t="shared" si="6"/>
        <v>空白</v>
      </c>
      <c r="N370" s="1" t="str">
        <f t="shared" si="6"/>
        <v>空白</v>
      </c>
    </row>
    <row r="371" spans="1:14">
      <c r="A371" s="573"/>
      <c r="B371" s="576"/>
      <c r="C371" s="25" t="s">
        <v>518</v>
      </c>
      <c r="D371" s="308" t="s">
        <v>2359</v>
      </c>
      <c r="E371" s="16">
        <v>5</v>
      </c>
      <c r="F371" s="9"/>
      <c r="G371" s="26"/>
      <c r="H371" s="27"/>
      <c r="I371" s="28"/>
      <c r="L371" s="1" t="str">
        <f t="shared" si="6"/>
        <v>空白</v>
      </c>
      <c r="M371" s="1" t="str">
        <f t="shared" si="6"/>
        <v>空白</v>
      </c>
      <c r="N371" s="1" t="str">
        <f t="shared" si="6"/>
        <v>空白</v>
      </c>
    </row>
    <row r="372" spans="1:14">
      <c r="A372" s="573"/>
      <c r="B372" s="576"/>
      <c r="C372" s="25" t="s">
        <v>519</v>
      </c>
      <c r="D372" s="308" t="s">
        <v>2360</v>
      </c>
      <c r="E372" s="16">
        <v>3</v>
      </c>
      <c r="F372" s="9"/>
      <c r="G372" s="26"/>
      <c r="H372" s="27"/>
      <c r="I372" s="28"/>
      <c r="L372" s="1" t="str">
        <f t="shared" si="6"/>
        <v>空白</v>
      </c>
      <c r="M372" s="1" t="str">
        <f t="shared" si="6"/>
        <v>空白</v>
      </c>
      <c r="N372" s="1" t="str">
        <f t="shared" si="6"/>
        <v>空白</v>
      </c>
    </row>
    <row r="373" spans="1:14">
      <c r="A373" s="573"/>
      <c r="B373" s="576"/>
      <c r="C373" s="25" t="s">
        <v>520</v>
      </c>
      <c r="D373" s="332" t="s">
        <v>2361</v>
      </c>
      <c r="E373" s="16">
        <v>3</v>
      </c>
      <c r="F373" s="9"/>
      <c r="G373" s="26"/>
      <c r="H373" s="27"/>
      <c r="I373" s="28"/>
      <c r="L373" s="1" t="str">
        <f t="shared" si="6"/>
        <v>空白</v>
      </c>
      <c r="M373" s="1" t="str">
        <f t="shared" si="6"/>
        <v>空白</v>
      </c>
      <c r="N373" s="1" t="str">
        <f t="shared" si="6"/>
        <v>空白</v>
      </c>
    </row>
    <row r="374" spans="1:14">
      <c r="A374" s="573"/>
      <c r="B374" s="576"/>
      <c r="C374" s="132" t="s">
        <v>521</v>
      </c>
      <c r="D374" s="332" t="s">
        <v>2362</v>
      </c>
      <c r="E374" s="52">
        <v>5</v>
      </c>
      <c r="F374" s="36"/>
      <c r="G374" s="53"/>
      <c r="H374" s="54"/>
      <c r="I374" s="55"/>
      <c r="L374" s="1" t="str">
        <f t="shared" si="6"/>
        <v>空白</v>
      </c>
      <c r="M374" s="1" t="str">
        <f t="shared" si="6"/>
        <v>空白</v>
      </c>
      <c r="N374" s="1" t="str">
        <f t="shared" si="6"/>
        <v>空白</v>
      </c>
    </row>
    <row r="375" spans="1:14">
      <c r="A375" s="573"/>
      <c r="B375" s="580" t="s">
        <v>522</v>
      </c>
      <c r="C375" s="71" t="s">
        <v>523</v>
      </c>
      <c r="D375" s="339" t="s">
        <v>2319</v>
      </c>
      <c r="E375" s="48">
        <v>3</v>
      </c>
      <c r="F375" s="42"/>
      <c r="G375" s="10"/>
      <c r="H375" s="43"/>
      <c r="I375" s="304"/>
      <c r="L375" s="1" t="str">
        <f t="shared" si="6"/>
        <v>空白</v>
      </c>
      <c r="M375" s="1" t="str">
        <f t="shared" si="6"/>
        <v>空白</v>
      </c>
      <c r="N375" s="1" t="str">
        <f t="shared" si="6"/>
        <v>空白</v>
      </c>
    </row>
    <row r="376" spans="1:14">
      <c r="A376" s="573"/>
      <c r="B376" s="576"/>
      <c r="C376" s="25" t="s">
        <v>524</v>
      </c>
      <c r="D376" s="308" t="s">
        <v>2354</v>
      </c>
      <c r="E376" s="16">
        <v>4</v>
      </c>
      <c r="F376" s="9"/>
      <c r="G376" s="26"/>
      <c r="H376" s="27"/>
      <c r="I376" s="28"/>
      <c r="L376" s="1" t="str">
        <f t="shared" si="6"/>
        <v>空白</v>
      </c>
      <c r="M376" s="1" t="str">
        <f t="shared" si="6"/>
        <v>空白</v>
      </c>
      <c r="N376" s="1" t="str">
        <f t="shared" si="6"/>
        <v>空白</v>
      </c>
    </row>
    <row r="377" spans="1:14">
      <c r="A377" s="573"/>
      <c r="B377" s="576"/>
      <c r="C377" s="25" t="s">
        <v>525</v>
      </c>
      <c r="D377" s="308" t="s">
        <v>2363</v>
      </c>
      <c r="E377" s="16">
        <v>5</v>
      </c>
      <c r="F377" s="9"/>
      <c r="G377" s="26"/>
      <c r="H377" s="27"/>
      <c r="I377" s="28"/>
      <c r="L377" s="1" t="str">
        <f t="shared" si="6"/>
        <v>空白</v>
      </c>
      <c r="M377" s="1" t="str">
        <f t="shared" si="6"/>
        <v>空白</v>
      </c>
      <c r="N377" s="1" t="str">
        <f t="shared" si="6"/>
        <v>空白</v>
      </c>
    </row>
    <row r="378" spans="1:14">
      <c r="A378" s="573"/>
      <c r="B378" s="576"/>
      <c r="C378" s="25" t="s">
        <v>526</v>
      </c>
      <c r="D378" s="314" t="s">
        <v>2364</v>
      </c>
      <c r="E378" s="16">
        <v>4</v>
      </c>
      <c r="F378" s="9"/>
      <c r="G378" s="26"/>
      <c r="H378" s="27"/>
      <c r="I378" s="28"/>
      <c r="L378" s="1" t="str">
        <f t="shared" si="6"/>
        <v>空白</v>
      </c>
      <c r="M378" s="1" t="str">
        <f t="shared" si="6"/>
        <v>空白</v>
      </c>
      <c r="N378" s="1" t="str">
        <f t="shared" si="6"/>
        <v>空白</v>
      </c>
    </row>
    <row r="379" spans="1:14">
      <c r="A379" s="573"/>
      <c r="B379" s="576"/>
      <c r="C379" s="25" t="s">
        <v>527</v>
      </c>
      <c r="D379" s="308" t="s">
        <v>2365</v>
      </c>
      <c r="E379" s="16">
        <v>6</v>
      </c>
      <c r="F379" s="9"/>
      <c r="G379" s="26"/>
      <c r="H379" s="27"/>
      <c r="I379" s="28"/>
      <c r="L379" s="1" t="str">
        <f t="shared" si="6"/>
        <v>空白</v>
      </c>
      <c r="M379" s="1" t="str">
        <f t="shared" si="6"/>
        <v>空白</v>
      </c>
      <c r="N379" s="1" t="str">
        <f t="shared" si="6"/>
        <v>空白</v>
      </c>
    </row>
    <row r="380" spans="1:14" ht="19.5">
      <c r="A380" s="573"/>
      <c r="B380" s="576"/>
      <c r="C380" s="25" t="s">
        <v>528</v>
      </c>
      <c r="D380" s="308" t="s">
        <v>2366</v>
      </c>
      <c r="E380" s="16" t="s">
        <v>120</v>
      </c>
      <c r="F380" s="9"/>
      <c r="G380" s="26"/>
      <c r="H380" s="27"/>
      <c r="I380" s="28"/>
      <c r="L380" s="1" t="str">
        <f t="shared" si="6"/>
        <v>空白</v>
      </c>
      <c r="M380" s="1" t="str">
        <f t="shared" si="6"/>
        <v>空白</v>
      </c>
      <c r="N380" s="1" t="str">
        <f t="shared" si="6"/>
        <v>空白</v>
      </c>
    </row>
    <row r="381" spans="1:14">
      <c r="A381" s="573"/>
      <c r="B381" s="576"/>
      <c r="C381" s="25" t="s">
        <v>529</v>
      </c>
      <c r="D381" s="308" t="s">
        <v>2367</v>
      </c>
      <c r="E381" s="16">
        <v>6</v>
      </c>
      <c r="F381" s="9"/>
      <c r="G381" s="26"/>
      <c r="H381" s="27"/>
      <c r="I381" s="28"/>
      <c r="L381" s="1" t="str">
        <f t="shared" si="6"/>
        <v>空白</v>
      </c>
      <c r="M381" s="1" t="str">
        <f t="shared" si="6"/>
        <v>空白</v>
      </c>
      <c r="N381" s="1" t="str">
        <f t="shared" si="6"/>
        <v>空白</v>
      </c>
    </row>
    <row r="382" spans="1:14">
      <c r="A382" s="573"/>
      <c r="B382" s="576"/>
      <c r="C382" s="34" t="s">
        <v>530</v>
      </c>
      <c r="D382" s="341" t="s">
        <v>2368</v>
      </c>
      <c r="E382" s="16">
        <v>3</v>
      </c>
      <c r="F382" s="9"/>
      <c r="G382" s="26"/>
      <c r="H382" s="27"/>
      <c r="I382" s="28"/>
      <c r="L382" s="1" t="str">
        <f t="shared" si="6"/>
        <v>空白</v>
      </c>
      <c r="M382" s="1" t="str">
        <f t="shared" si="6"/>
        <v>空白</v>
      </c>
      <c r="N382" s="1" t="str">
        <f t="shared" si="6"/>
        <v>空白</v>
      </c>
    </row>
    <row r="383" spans="1:14" ht="39">
      <c r="A383" s="573"/>
      <c r="B383" s="581"/>
      <c r="C383" s="136" t="s">
        <v>2938</v>
      </c>
      <c r="D383" s="437" t="s">
        <v>2939</v>
      </c>
      <c r="E383" s="52">
        <v>1</v>
      </c>
      <c r="F383" s="36" t="s">
        <v>531</v>
      </c>
      <c r="G383" s="137" t="s">
        <v>532</v>
      </c>
      <c r="H383" s="113">
        <v>1</v>
      </c>
      <c r="I383" s="39" t="s">
        <v>533</v>
      </c>
      <c r="K383" s="2" t="s">
        <v>242</v>
      </c>
      <c r="L383" s="1" t="str">
        <f t="shared" si="6"/>
        <v>對</v>
      </c>
      <c r="M383" s="1" t="str">
        <f t="shared" si="6"/>
        <v>對</v>
      </c>
      <c r="N383" s="1" t="str">
        <f t="shared" si="6"/>
        <v>對</v>
      </c>
    </row>
    <row r="384" spans="1:14" ht="19.5">
      <c r="A384" s="573"/>
      <c r="B384" s="580" t="s">
        <v>534</v>
      </c>
      <c r="C384" s="22" t="s">
        <v>535</v>
      </c>
      <c r="D384" s="313" t="s">
        <v>2940</v>
      </c>
      <c r="E384" s="48">
        <v>4</v>
      </c>
      <c r="F384" s="42"/>
      <c r="G384" s="138" t="s">
        <v>536</v>
      </c>
      <c r="H384" s="43">
        <v>4</v>
      </c>
      <c r="I384" s="304" t="s">
        <v>537</v>
      </c>
      <c r="K384" s="2" t="s">
        <v>13</v>
      </c>
      <c r="L384" s="1" t="str">
        <f t="shared" si="6"/>
        <v>空白</v>
      </c>
      <c r="M384" s="1" t="str">
        <f t="shared" si="6"/>
        <v>對</v>
      </c>
      <c r="N384" s="1" t="str">
        <f t="shared" si="6"/>
        <v>對</v>
      </c>
    </row>
    <row r="385" spans="1:14">
      <c r="A385" s="573"/>
      <c r="B385" s="576"/>
      <c r="C385" s="25" t="s">
        <v>538</v>
      </c>
      <c r="D385" s="310" t="s">
        <v>2369</v>
      </c>
      <c r="E385" s="16">
        <v>4</v>
      </c>
      <c r="F385" s="9"/>
      <c r="G385" s="111"/>
      <c r="H385" s="27"/>
      <c r="I385" s="28"/>
      <c r="L385" s="1" t="str">
        <f t="shared" si="6"/>
        <v>空白</v>
      </c>
      <c r="M385" s="1" t="str">
        <f t="shared" si="6"/>
        <v>空白</v>
      </c>
      <c r="N385" s="1" t="str">
        <f t="shared" si="6"/>
        <v>空白</v>
      </c>
    </row>
    <row r="386" spans="1:14">
      <c r="A386" s="573"/>
      <c r="B386" s="581"/>
      <c r="C386" s="63" t="s">
        <v>539</v>
      </c>
      <c r="D386" s="322" t="s">
        <v>2370</v>
      </c>
      <c r="E386" s="52">
        <v>2</v>
      </c>
      <c r="F386" s="36"/>
      <c r="G386" s="18"/>
      <c r="H386" s="19"/>
      <c r="I386" s="55"/>
      <c r="L386" s="1" t="str">
        <f t="shared" si="6"/>
        <v>空白</v>
      </c>
      <c r="M386" s="1" t="str">
        <f t="shared" si="6"/>
        <v>空白</v>
      </c>
      <c r="N386" s="1" t="str">
        <f t="shared" si="6"/>
        <v>空白</v>
      </c>
    </row>
    <row r="387" spans="1:14">
      <c r="A387" s="573"/>
      <c r="B387" s="580" t="s">
        <v>2943</v>
      </c>
      <c r="C387" s="71" t="s">
        <v>540</v>
      </c>
      <c r="D387" s="325" t="s">
        <v>2371</v>
      </c>
      <c r="E387" s="118">
        <v>1</v>
      </c>
      <c r="F387" s="42"/>
      <c r="G387" s="95"/>
      <c r="H387" s="86"/>
      <c r="I387" s="304"/>
      <c r="L387" s="1" t="str">
        <f t="shared" si="6"/>
        <v>空白</v>
      </c>
      <c r="M387" s="1" t="str">
        <f t="shared" si="6"/>
        <v>空白</v>
      </c>
      <c r="N387" s="1" t="str">
        <f t="shared" si="6"/>
        <v>空白</v>
      </c>
    </row>
    <row r="388" spans="1:14">
      <c r="A388" s="573"/>
      <c r="B388" s="576"/>
      <c r="C388" s="25" t="s">
        <v>541</v>
      </c>
      <c r="D388" s="310" t="s">
        <v>2372</v>
      </c>
      <c r="E388" s="48">
        <v>2</v>
      </c>
      <c r="F388" s="9"/>
      <c r="G388" s="26"/>
      <c r="H388" s="27"/>
      <c r="I388" s="28"/>
      <c r="L388" s="1" t="str">
        <f t="shared" si="6"/>
        <v>空白</v>
      </c>
      <c r="M388" s="1" t="str">
        <f t="shared" si="6"/>
        <v>空白</v>
      </c>
      <c r="N388" s="1" t="str">
        <f t="shared" si="6"/>
        <v>空白</v>
      </c>
    </row>
    <row r="389" spans="1:14" ht="19.5">
      <c r="A389" s="573"/>
      <c r="B389" s="576"/>
      <c r="C389" s="25" t="s">
        <v>542</v>
      </c>
      <c r="D389" s="310" t="s">
        <v>2941</v>
      </c>
      <c r="E389" s="16">
        <v>3</v>
      </c>
      <c r="F389" s="9"/>
      <c r="G389" s="26" t="s">
        <v>543</v>
      </c>
      <c r="H389" s="27">
        <v>3</v>
      </c>
      <c r="I389" s="304" t="s">
        <v>537</v>
      </c>
      <c r="K389" s="2" t="s">
        <v>13</v>
      </c>
      <c r="L389" s="1" t="str">
        <f t="shared" si="6"/>
        <v>空白</v>
      </c>
      <c r="M389" s="1" t="str">
        <f t="shared" si="6"/>
        <v>對</v>
      </c>
      <c r="N389" s="1" t="str">
        <f t="shared" si="6"/>
        <v>對</v>
      </c>
    </row>
    <row r="390" spans="1:14" ht="19.5">
      <c r="A390" s="573"/>
      <c r="B390" s="576"/>
      <c r="C390" s="25" t="s">
        <v>544</v>
      </c>
      <c r="D390" s="310" t="s">
        <v>2942</v>
      </c>
      <c r="E390" s="16">
        <v>4</v>
      </c>
      <c r="F390" s="9"/>
      <c r="G390" s="26" t="s">
        <v>545</v>
      </c>
      <c r="H390" s="27">
        <v>4</v>
      </c>
      <c r="I390" s="304" t="s">
        <v>537</v>
      </c>
      <c r="K390" s="2" t="s">
        <v>13</v>
      </c>
      <c r="L390" s="1" t="str">
        <f t="shared" ref="L390:N453" si="7">IF(ISBLANK(F390),"空白",IF(F390=C390,"對","錯"))</f>
        <v>空白</v>
      </c>
      <c r="M390" s="1" t="str">
        <f t="shared" si="7"/>
        <v>對</v>
      </c>
      <c r="N390" s="1" t="str">
        <f t="shared" si="7"/>
        <v>對</v>
      </c>
    </row>
    <row r="391" spans="1:14">
      <c r="A391" s="573"/>
      <c r="B391" s="576"/>
      <c r="C391" s="51" t="s">
        <v>546</v>
      </c>
      <c r="D391" s="323" t="s">
        <v>2373</v>
      </c>
      <c r="E391" s="52">
        <v>2</v>
      </c>
      <c r="F391" s="36"/>
      <c r="G391" s="53"/>
      <c r="H391" s="54"/>
      <c r="I391" s="55"/>
      <c r="L391" s="1" t="str">
        <f t="shared" si="7"/>
        <v>空白</v>
      </c>
      <c r="M391" s="1" t="str">
        <f t="shared" si="7"/>
        <v>空白</v>
      </c>
      <c r="N391" s="1" t="str">
        <f t="shared" si="7"/>
        <v>空白</v>
      </c>
    </row>
    <row r="392" spans="1:14">
      <c r="A392" s="573"/>
      <c r="B392" s="580" t="s">
        <v>547</v>
      </c>
      <c r="C392" s="22" t="s">
        <v>548</v>
      </c>
      <c r="D392" s="313" t="s">
        <v>2374</v>
      </c>
      <c r="E392" s="48">
        <v>4</v>
      </c>
      <c r="F392" s="42"/>
      <c r="G392" s="10"/>
      <c r="H392" s="43"/>
      <c r="I392" s="304"/>
      <c r="L392" s="1" t="str">
        <f t="shared" si="7"/>
        <v>空白</v>
      </c>
      <c r="M392" s="1" t="str">
        <f t="shared" si="7"/>
        <v>空白</v>
      </c>
      <c r="N392" s="1" t="str">
        <f t="shared" si="7"/>
        <v>空白</v>
      </c>
    </row>
    <row r="393" spans="1:14">
      <c r="A393" s="573"/>
      <c r="B393" s="576"/>
      <c r="C393" s="25" t="s">
        <v>549</v>
      </c>
      <c r="D393" s="310" t="s">
        <v>2375</v>
      </c>
      <c r="E393" s="16">
        <v>2</v>
      </c>
      <c r="F393" s="9"/>
      <c r="G393" s="26"/>
      <c r="H393" s="27"/>
      <c r="I393" s="28"/>
      <c r="L393" s="1" t="str">
        <f t="shared" si="7"/>
        <v>空白</v>
      </c>
      <c r="M393" s="1" t="str">
        <f t="shared" si="7"/>
        <v>空白</v>
      </c>
      <c r="N393" s="1" t="str">
        <f t="shared" si="7"/>
        <v>空白</v>
      </c>
    </row>
    <row r="394" spans="1:14">
      <c r="A394" s="573"/>
      <c r="B394" s="576"/>
      <c r="C394" s="25" t="s">
        <v>550</v>
      </c>
      <c r="D394" s="310" t="s">
        <v>2376</v>
      </c>
      <c r="E394" s="16">
        <v>4</v>
      </c>
      <c r="F394" s="9"/>
      <c r="G394" s="26"/>
      <c r="H394" s="27"/>
      <c r="I394" s="28"/>
      <c r="L394" s="1" t="str">
        <f t="shared" si="7"/>
        <v>空白</v>
      </c>
      <c r="M394" s="1" t="str">
        <f t="shared" si="7"/>
        <v>空白</v>
      </c>
      <c r="N394" s="1" t="str">
        <f t="shared" si="7"/>
        <v>空白</v>
      </c>
    </row>
    <row r="395" spans="1:14">
      <c r="A395" s="573"/>
      <c r="B395" s="576"/>
      <c r="C395" s="25" t="s">
        <v>551</v>
      </c>
      <c r="D395" s="310" t="s">
        <v>2377</v>
      </c>
      <c r="E395" s="16">
        <v>5</v>
      </c>
      <c r="F395" s="9"/>
      <c r="G395" s="26"/>
      <c r="H395" s="27"/>
      <c r="I395" s="28"/>
      <c r="L395" s="1" t="str">
        <f t="shared" si="7"/>
        <v>空白</v>
      </c>
      <c r="M395" s="1" t="str">
        <f t="shared" si="7"/>
        <v>空白</v>
      </c>
      <c r="N395" s="1" t="str">
        <f t="shared" si="7"/>
        <v>空白</v>
      </c>
    </row>
    <row r="396" spans="1:14">
      <c r="A396" s="573"/>
      <c r="B396" s="576"/>
      <c r="C396" s="25" t="s">
        <v>552</v>
      </c>
      <c r="D396" s="310" t="s">
        <v>2378</v>
      </c>
      <c r="E396" s="16">
        <v>5</v>
      </c>
      <c r="F396" s="9"/>
      <c r="G396" s="26"/>
      <c r="H396" s="27"/>
      <c r="I396" s="28"/>
      <c r="L396" s="1" t="str">
        <f t="shared" si="7"/>
        <v>空白</v>
      </c>
      <c r="M396" s="1" t="str">
        <f t="shared" si="7"/>
        <v>空白</v>
      </c>
      <c r="N396" s="1" t="str">
        <f t="shared" si="7"/>
        <v>空白</v>
      </c>
    </row>
    <row r="397" spans="1:14">
      <c r="A397" s="573"/>
      <c r="B397" s="576"/>
      <c r="C397" s="25" t="s">
        <v>553</v>
      </c>
      <c r="D397" s="310" t="s">
        <v>2379</v>
      </c>
      <c r="E397" s="16">
        <v>5</v>
      </c>
      <c r="F397" s="9"/>
      <c r="G397" s="26"/>
      <c r="H397" s="27"/>
      <c r="I397" s="28"/>
      <c r="L397" s="1" t="str">
        <f t="shared" si="7"/>
        <v>空白</v>
      </c>
      <c r="M397" s="1" t="str">
        <f t="shared" si="7"/>
        <v>空白</v>
      </c>
      <c r="N397" s="1" t="str">
        <f t="shared" si="7"/>
        <v>空白</v>
      </c>
    </row>
    <row r="398" spans="1:14">
      <c r="A398" s="573"/>
      <c r="B398" s="576"/>
      <c r="C398" s="25" t="s">
        <v>554</v>
      </c>
      <c r="D398" s="310" t="s">
        <v>2380</v>
      </c>
      <c r="E398" s="16">
        <v>6</v>
      </c>
      <c r="F398" s="9"/>
      <c r="G398" s="26"/>
      <c r="H398" s="27"/>
      <c r="I398" s="28"/>
      <c r="L398" s="1" t="str">
        <f t="shared" si="7"/>
        <v>空白</v>
      </c>
      <c r="M398" s="1" t="str">
        <f t="shared" si="7"/>
        <v>空白</v>
      </c>
      <c r="N398" s="1" t="str">
        <f t="shared" si="7"/>
        <v>空白</v>
      </c>
    </row>
    <row r="399" spans="1:14" ht="19.5">
      <c r="A399" s="573"/>
      <c r="B399" s="576"/>
      <c r="C399" s="25" t="s">
        <v>555</v>
      </c>
      <c r="D399" s="310" t="s">
        <v>2381</v>
      </c>
      <c r="E399" s="29" t="s">
        <v>120</v>
      </c>
      <c r="F399" s="30"/>
      <c r="G399" s="26"/>
      <c r="H399" s="27"/>
      <c r="I399" s="28"/>
      <c r="L399" s="1" t="str">
        <f t="shared" si="7"/>
        <v>空白</v>
      </c>
      <c r="M399" s="1" t="str">
        <f t="shared" si="7"/>
        <v>空白</v>
      </c>
      <c r="N399" s="1" t="str">
        <f t="shared" si="7"/>
        <v>空白</v>
      </c>
    </row>
    <row r="400" spans="1:14" ht="19.5">
      <c r="A400" s="573"/>
      <c r="B400" s="576"/>
      <c r="C400" s="25" t="s">
        <v>556</v>
      </c>
      <c r="D400" s="310" t="s">
        <v>2382</v>
      </c>
      <c r="E400" s="29" t="s">
        <v>120</v>
      </c>
      <c r="F400" s="30"/>
      <c r="G400" s="26"/>
      <c r="H400" s="27"/>
      <c r="I400" s="28"/>
      <c r="L400" s="1" t="str">
        <f t="shared" si="7"/>
        <v>空白</v>
      </c>
      <c r="M400" s="1" t="str">
        <f t="shared" si="7"/>
        <v>空白</v>
      </c>
      <c r="N400" s="1" t="str">
        <f t="shared" si="7"/>
        <v>空白</v>
      </c>
    </row>
    <row r="401" spans="1:14" ht="19.5" thickBot="1">
      <c r="A401" s="574"/>
      <c r="B401" s="582"/>
      <c r="C401" s="15" t="s">
        <v>557</v>
      </c>
      <c r="D401" s="340" t="s">
        <v>2383</v>
      </c>
      <c r="E401" s="139">
        <v>5</v>
      </c>
      <c r="F401" s="36"/>
      <c r="G401" s="18"/>
      <c r="H401" s="19"/>
      <c r="I401" s="65"/>
      <c r="L401" s="1" t="str">
        <f t="shared" si="7"/>
        <v>空白</v>
      </c>
      <c r="M401" s="1" t="str">
        <f t="shared" si="7"/>
        <v>空白</v>
      </c>
      <c r="N401" s="1" t="str">
        <f t="shared" si="7"/>
        <v>空白</v>
      </c>
    </row>
    <row r="402" spans="1:14" ht="20.25" thickTop="1">
      <c r="A402" s="572" t="s">
        <v>558</v>
      </c>
      <c r="B402" s="575" t="s">
        <v>559</v>
      </c>
      <c r="C402" s="7" t="s">
        <v>560</v>
      </c>
      <c r="D402" s="311" t="s">
        <v>2944</v>
      </c>
      <c r="E402" s="8">
        <v>3</v>
      </c>
      <c r="F402" s="66"/>
      <c r="G402" s="140" t="s">
        <v>561</v>
      </c>
      <c r="H402" s="141">
        <v>3</v>
      </c>
      <c r="I402" s="628" t="s">
        <v>562</v>
      </c>
      <c r="K402" s="2" t="s">
        <v>12</v>
      </c>
      <c r="L402" s="1" t="str">
        <f t="shared" si="7"/>
        <v>空白</v>
      </c>
      <c r="M402" s="1" t="str">
        <f t="shared" si="7"/>
        <v>對</v>
      </c>
      <c r="N402" s="1" t="str">
        <f t="shared" si="7"/>
        <v>對</v>
      </c>
    </row>
    <row r="403" spans="1:14" ht="19.5">
      <c r="A403" s="573"/>
      <c r="B403" s="576"/>
      <c r="C403" s="25" t="s">
        <v>563</v>
      </c>
      <c r="D403" s="310" t="s">
        <v>2945</v>
      </c>
      <c r="E403" s="16">
        <v>3</v>
      </c>
      <c r="F403" s="9"/>
      <c r="G403" s="69" t="s">
        <v>564</v>
      </c>
      <c r="H403" s="73">
        <v>3</v>
      </c>
      <c r="I403" s="621"/>
      <c r="K403" s="2" t="s">
        <v>12</v>
      </c>
      <c r="L403" s="1" t="str">
        <f t="shared" si="7"/>
        <v>空白</v>
      </c>
      <c r="M403" s="1" t="str">
        <f t="shared" si="7"/>
        <v>對</v>
      </c>
      <c r="N403" s="1" t="str">
        <f t="shared" si="7"/>
        <v>對</v>
      </c>
    </row>
    <row r="404" spans="1:14">
      <c r="A404" s="573"/>
      <c r="B404" s="576"/>
      <c r="C404" s="25" t="s">
        <v>565</v>
      </c>
      <c r="D404" s="310" t="s">
        <v>2354</v>
      </c>
      <c r="E404" s="16">
        <v>3</v>
      </c>
      <c r="F404" s="9"/>
      <c r="G404" s="26"/>
      <c r="H404" s="27"/>
      <c r="I404" s="28"/>
      <c r="L404" s="1" t="str">
        <f t="shared" si="7"/>
        <v>空白</v>
      </c>
      <c r="M404" s="1" t="str">
        <f t="shared" si="7"/>
        <v>空白</v>
      </c>
      <c r="N404" s="1" t="str">
        <f t="shared" si="7"/>
        <v>空白</v>
      </c>
    </row>
    <row r="405" spans="1:14">
      <c r="A405" s="573"/>
      <c r="B405" s="576"/>
      <c r="C405" s="25" t="s">
        <v>566</v>
      </c>
      <c r="D405" s="310" t="s">
        <v>2153</v>
      </c>
      <c r="E405" s="16">
        <v>5</v>
      </c>
      <c r="F405" s="9"/>
      <c r="G405" s="26"/>
      <c r="H405" s="27"/>
      <c r="I405" s="28"/>
      <c r="L405" s="1" t="str">
        <f t="shared" si="7"/>
        <v>空白</v>
      </c>
      <c r="M405" s="1" t="str">
        <f t="shared" si="7"/>
        <v>空白</v>
      </c>
      <c r="N405" s="1" t="str">
        <f t="shared" si="7"/>
        <v>空白</v>
      </c>
    </row>
    <row r="406" spans="1:14" ht="19.5">
      <c r="A406" s="573"/>
      <c r="B406" s="576"/>
      <c r="C406" s="25" t="s">
        <v>567</v>
      </c>
      <c r="D406" s="310" t="s">
        <v>2946</v>
      </c>
      <c r="E406" s="16">
        <v>1</v>
      </c>
      <c r="F406" s="9"/>
      <c r="G406" s="69" t="s">
        <v>568</v>
      </c>
      <c r="H406" s="73">
        <v>1</v>
      </c>
      <c r="I406" s="620" t="s">
        <v>383</v>
      </c>
      <c r="K406" s="2" t="s">
        <v>12</v>
      </c>
      <c r="L406" s="1" t="str">
        <f t="shared" si="7"/>
        <v>空白</v>
      </c>
      <c r="M406" s="1" t="str">
        <f t="shared" si="7"/>
        <v>對</v>
      </c>
      <c r="N406" s="1" t="str">
        <f t="shared" si="7"/>
        <v>對</v>
      </c>
    </row>
    <row r="407" spans="1:14" ht="39">
      <c r="A407" s="573"/>
      <c r="B407" s="576"/>
      <c r="C407" s="25" t="s">
        <v>569</v>
      </c>
      <c r="D407" s="310" t="s">
        <v>2947</v>
      </c>
      <c r="E407" s="16">
        <v>3</v>
      </c>
      <c r="F407" s="9"/>
      <c r="G407" s="69" t="s">
        <v>570</v>
      </c>
      <c r="H407" s="73">
        <v>3</v>
      </c>
      <c r="I407" s="624"/>
      <c r="K407" s="2" t="s">
        <v>12</v>
      </c>
      <c r="L407" s="1" t="str">
        <f t="shared" si="7"/>
        <v>空白</v>
      </c>
      <c r="M407" s="1" t="str">
        <f t="shared" si="7"/>
        <v>對</v>
      </c>
      <c r="N407" s="1" t="str">
        <f t="shared" si="7"/>
        <v>對</v>
      </c>
    </row>
    <row r="408" spans="1:14" ht="19.5">
      <c r="A408" s="573"/>
      <c r="B408" s="576"/>
      <c r="C408" s="25" t="s">
        <v>571</v>
      </c>
      <c r="D408" s="310" t="s">
        <v>2948</v>
      </c>
      <c r="E408" s="16">
        <v>3</v>
      </c>
      <c r="F408" s="9"/>
      <c r="G408" s="69" t="s">
        <v>572</v>
      </c>
      <c r="H408" s="73">
        <v>3</v>
      </c>
      <c r="I408" s="621"/>
      <c r="K408" s="2" t="s">
        <v>12</v>
      </c>
      <c r="L408" s="1" t="str">
        <f t="shared" si="7"/>
        <v>空白</v>
      </c>
      <c r="M408" s="1" t="str">
        <f t="shared" si="7"/>
        <v>對</v>
      </c>
      <c r="N408" s="1" t="str">
        <f t="shared" si="7"/>
        <v>對</v>
      </c>
    </row>
    <row r="409" spans="1:14">
      <c r="A409" s="573"/>
      <c r="B409" s="576"/>
      <c r="C409" s="34" t="s">
        <v>573</v>
      </c>
      <c r="D409" s="341" t="s">
        <v>2384</v>
      </c>
      <c r="E409" s="16">
        <v>3</v>
      </c>
      <c r="F409" s="9"/>
      <c r="G409" s="26"/>
      <c r="H409" s="27"/>
      <c r="I409" s="28"/>
      <c r="L409" s="1" t="str">
        <f t="shared" si="7"/>
        <v>空白</v>
      </c>
      <c r="M409" s="1" t="str">
        <f t="shared" si="7"/>
        <v>空白</v>
      </c>
      <c r="N409" s="1" t="str">
        <f t="shared" si="7"/>
        <v>空白</v>
      </c>
    </row>
    <row r="410" spans="1:14" ht="39">
      <c r="A410" s="573"/>
      <c r="B410" s="576"/>
      <c r="C410" s="142" t="s">
        <v>2949</v>
      </c>
      <c r="D410" s="342" t="s">
        <v>2950</v>
      </c>
      <c r="E410" s="16">
        <v>4</v>
      </c>
      <c r="F410" s="36" t="s">
        <v>574</v>
      </c>
      <c r="G410" s="109" t="s">
        <v>575</v>
      </c>
      <c r="H410" s="112">
        <v>4</v>
      </c>
      <c r="I410" s="104" t="s">
        <v>576</v>
      </c>
      <c r="K410" s="2" t="s">
        <v>242</v>
      </c>
      <c r="L410" s="1" t="str">
        <f t="shared" si="7"/>
        <v>對</v>
      </c>
      <c r="M410" s="1" t="str">
        <f t="shared" si="7"/>
        <v>對</v>
      </c>
      <c r="N410" s="1" t="str">
        <f t="shared" si="7"/>
        <v>對</v>
      </c>
    </row>
    <row r="411" spans="1:14" ht="58.5">
      <c r="A411" s="573"/>
      <c r="B411" s="576"/>
      <c r="C411" s="142" t="s">
        <v>2951</v>
      </c>
      <c r="D411" s="342" t="s">
        <v>2952</v>
      </c>
      <c r="E411" s="16">
        <v>5</v>
      </c>
      <c r="F411" s="36" t="s">
        <v>577</v>
      </c>
      <c r="G411" s="109" t="s">
        <v>578</v>
      </c>
      <c r="H411" s="112">
        <v>5</v>
      </c>
      <c r="I411" s="104" t="s">
        <v>579</v>
      </c>
      <c r="K411" s="2" t="s">
        <v>242</v>
      </c>
      <c r="L411" s="1" t="str">
        <f t="shared" si="7"/>
        <v>對</v>
      </c>
      <c r="M411" s="1" t="str">
        <f t="shared" si="7"/>
        <v>對</v>
      </c>
      <c r="N411" s="1" t="str">
        <f t="shared" si="7"/>
        <v>對</v>
      </c>
    </row>
    <row r="412" spans="1:14" ht="39">
      <c r="A412" s="573"/>
      <c r="B412" s="576"/>
      <c r="C412" s="35" t="s">
        <v>2953</v>
      </c>
      <c r="D412" s="396" t="s">
        <v>2939</v>
      </c>
      <c r="E412" s="16">
        <v>1</v>
      </c>
      <c r="F412" s="36" t="s">
        <v>580</v>
      </c>
      <c r="G412" s="111" t="s">
        <v>532</v>
      </c>
      <c r="H412" s="112">
        <v>1</v>
      </c>
      <c r="I412" s="104" t="s">
        <v>581</v>
      </c>
      <c r="K412" s="2" t="s">
        <v>242</v>
      </c>
      <c r="L412" s="1" t="str">
        <f t="shared" si="7"/>
        <v>對</v>
      </c>
      <c r="M412" s="1" t="str">
        <f t="shared" si="7"/>
        <v>對</v>
      </c>
      <c r="N412" s="1" t="str">
        <f t="shared" si="7"/>
        <v>對</v>
      </c>
    </row>
    <row r="413" spans="1:14" ht="39">
      <c r="A413" s="573"/>
      <c r="B413" s="581"/>
      <c r="C413" s="143" t="s">
        <v>2954</v>
      </c>
      <c r="D413" s="396" t="s">
        <v>2955</v>
      </c>
      <c r="E413" s="144">
        <v>2</v>
      </c>
      <c r="F413" s="58" t="s">
        <v>582</v>
      </c>
      <c r="G413" s="37" t="s">
        <v>583</v>
      </c>
      <c r="H413" s="113">
        <v>2</v>
      </c>
      <c r="I413" s="39" t="s">
        <v>584</v>
      </c>
      <c r="K413" s="2" t="s">
        <v>242</v>
      </c>
      <c r="L413" s="1" t="str">
        <f t="shared" si="7"/>
        <v>對</v>
      </c>
      <c r="M413" s="1" t="str">
        <f t="shared" si="7"/>
        <v>對</v>
      </c>
      <c r="N413" s="1" t="str">
        <f t="shared" si="7"/>
        <v>對</v>
      </c>
    </row>
    <row r="414" spans="1:14">
      <c r="A414" s="573"/>
      <c r="B414" s="580" t="s">
        <v>585</v>
      </c>
      <c r="C414" s="22" t="s">
        <v>586</v>
      </c>
      <c r="D414" s="313" t="s">
        <v>2354</v>
      </c>
      <c r="E414" s="145">
        <v>3</v>
      </c>
      <c r="F414" s="62"/>
      <c r="G414" s="10"/>
      <c r="H414" s="43"/>
      <c r="I414" s="304"/>
      <c r="L414" s="1" t="str">
        <f t="shared" si="7"/>
        <v>空白</v>
      </c>
      <c r="M414" s="1" t="str">
        <f t="shared" si="7"/>
        <v>空白</v>
      </c>
      <c r="N414" s="1" t="str">
        <f t="shared" si="7"/>
        <v>空白</v>
      </c>
    </row>
    <row r="415" spans="1:14">
      <c r="A415" s="573"/>
      <c r="B415" s="576"/>
      <c r="C415" s="25" t="s">
        <v>587</v>
      </c>
      <c r="D415" s="308" t="s">
        <v>2385</v>
      </c>
      <c r="E415" s="83">
        <v>4</v>
      </c>
      <c r="F415" s="30"/>
      <c r="G415" s="26"/>
      <c r="H415" s="27"/>
      <c r="I415" s="28"/>
      <c r="L415" s="1" t="str">
        <f t="shared" si="7"/>
        <v>空白</v>
      </c>
      <c r="M415" s="1" t="str">
        <f t="shared" si="7"/>
        <v>空白</v>
      </c>
      <c r="N415" s="1" t="str">
        <f t="shared" si="7"/>
        <v>空白</v>
      </c>
    </row>
    <row r="416" spans="1:14">
      <c r="A416" s="573"/>
      <c r="B416" s="576"/>
      <c r="C416" s="25" t="s">
        <v>588</v>
      </c>
      <c r="D416" s="310" t="s">
        <v>2386</v>
      </c>
      <c r="E416" s="83">
        <v>4</v>
      </c>
      <c r="F416" s="30"/>
      <c r="G416" s="26"/>
      <c r="H416" s="27"/>
      <c r="I416" s="28"/>
      <c r="L416" s="1" t="str">
        <f t="shared" si="7"/>
        <v>空白</v>
      </c>
      <c r="M416" s="1" t="str">
        <f t="shared" si="7"/>
        <v>空白</v>
      </c>
      <c r="N416" s="1" t="str">
        <f t="shared" si="7"/>
        <v>空白</v>
      </c>
    </row>
    <row r="417" spans="1:14">
      <c r="A417" s="573"/>
      <c r="B417" s="576"/>
      <c r="C417" s="25" t="s">
        <v>589</v>
      </c>
      <c r="D417" s="310" t="s">
        <v>2387</v>
      </c>
      <c r="E417" s="29">
        <v>5</v>
      </c>
      <c r="F417" s="30"/>
      <c r="G417" s="26"/>
      <c r="H417" s="27"/>
      <c r="I417" s="28"/>
      <c r="L417" s="1" t="str">
        <f t="shared" si="7"/>
        <v>空白</v>
      </c>
      <c r="M417" s="1" t="str">
        <f t="shared" si="7"/>
        <v>空白</v>
      </c>
      <c r="N417" s="1" t="str">
        <f t="shared" si="7"/>
        <v>空白</v>
      </c>
    </row>
    <row r="418" spans="1:14">
      <c r="A418" s="573"/>
      <c r="B418" s="576"/>
      <c r="C418" s="25" t="s">
        <v>590</v>
      </c>
      <c r="D418" s="310" t="s">
        <v>2388</v>
      </c>
      <c r="E418" s="83">
        <v>4</v>
      </c>
      <c r="F418" s="30"/>
      <c r="G418" s="26"/>
      <c r="H418" s="27"/>
      <c r="I418" s="28"/>
      <c r="L418" s="1" t="str">
        <f t="shared" si="7"/>
        <v>空白</v>
      </c>
      <c r="M418" s="1" t="str">
        <f t="shared" si="7"/>
        <v>空白</v>
      </c>
      <c r="N418" s="1" t="str">
        <f t="shared" si="7"/>
        <v>空白</v>
      </c>
    </row>
    <row r="419" spans="1:14">
      <c r="A419" s="573"/>
      <c r="B419" s="576"/>
      <c r="C419" s="25" t="s">
        <v>591</v>
      </c>
      <c r="D419" s="310" t="s">
        <v>2389</v>
      </c>
      <c r="E419" s="29">
        <v>5</v>
      </c>
      <c r="F419" s="30"/>
      <c r="G419" s="26"/>
      <c r="H419" s="27"/>
      <c r="I419" s="28"/>
      <c r="L419" s="1" t="str">
        <f t="shared" si="7"/>
        <v>空白</v>
      </c>
      <c r="M419" s="1" t="str">
        <f t="shared" si="7"/>
        <v>空白</v>
      </c>
      <c r="N419" s="1" t="str">
        <f t="shared" si="7"/>
        <v>空白</v>
      </c>
    </row>
    <row r="420" spans="1:14">
      <c r="A420" s="573"/>
      <c r="B420" s="576"/>
      <c r="C420" s="25" t="s">
        <v>592</v>
      </c>
      <c r="D420" s="310" t="s">
        <v>2390</v>
      </c>
      <c r="E420" s="29">
        <v>5</v>
      </c>
      <c r="F420" s="30"/>
      <c r="G420" s="26"/>
      <c r="H420" s="27"/>
      <c r="I420" s="28"/>
      <c r="L420" s="1" t="str">
        <f t="shared" si="7"/>
        <v>空白</v>
      </c>
      <c r="M420" s="1" t="str">
        <f t="shared" si="7"/>
        <v>空白</v>
      </c>
      <c r="N420" s="1" t="str">
        <f t="shared" si="7"/>
        <v>空白</v>
      </c>
    </row>
    <row r="421" spans="1:14">
      <c r="A421" s="573"/>
      <c r="B421" s="576"/>
      <c r="C421" s="25" t="s">
        <v>593</v>
      </c>
      <c r="D421" s="310" t="s">
        <v>2391</v>
      </c>
      <c r="E421" s="29">
        <v>5</v>
      </c>
      <c r="F421" s="30"/>
      <c r="G421" s="26"/>
      <c r="H421" s="27"/>
      <c r="I421" s="28"/>
      <c r="L421" s="1" t="str">
        <f t="shared" si="7"/>
        <v>空白</v>
      </c>
      <c r="M421" s="1" t="str">
        <f t="shared" si="7"/>
        <v>空白</v>
      </c>
      <c r="N421" s="1" t="str">
        <f t="shared" si="7"/>
        <v>空白</v>
      </c>
    </row>
    <row r="422" spans="1:14">
      <c r="A422" s="573"/>
      <c r="B422" s="576"/>
      <c r="C422" s="25" t="s">
        <v>594</v>
      </c>
      <c r="D422" s="308" t="s">
        <v>2392</v>
      </c>
      <c r="E422" s="29">
        <v>4</v>
      </c>
      <c r="F422" s="30"/>
      <c r="G422" s="26"/>
      <c r="H422" s="27"/>
      <c r="I422" s="28"/>
      <c r="L422" s="1" t="str">
        <f t="shared" si="7"/>
        <v>空白</v>
      </c>
      <c r="M422" s="1" t="str">
        <f t="shared" si="7"/>
        <v>空白</v>
      </c>
      <c r="N422" s="1" t="str">
        <f t="shared" si="7"/>
        <v>空白</v>
      </c>
    </row>
    <row r="423" spans="1:14">
      <c r="A423" s="573"/>
      <c r="B423" s="576"/>
      <c r="C423" s="25" t="s">
        <v>595</v>
      </c>
      <c r="D423" s="308" t="s">
        <v>2393</v>
      </c>
      <c r="E423" s="29">
        <v>5</v>
      </c>
      <c r="F423" s="30"/>
      <c r="G423" s="26"/>
      <c r="H423" s="27"/>
      <c r="I423" s="28"/>
      <c r="L423" s="1" t="str">
        <f t="shared" si="7"/>
        <v>空白</v>
      </c>
      <c r="M423" s="1" t="str">
        <f t="shared" si="7"/>
        <v>空白</v>
      </c>
      <c r="N423" s="1" t="str">
        <f t="shared" si="7"/>
        <v>空白</v>
      </c>
    </row>
    <row r="424" spans="1:14">
      <c r="A424" s="573"/>
      <c r="B424" s="576"/>
      <c r="C424" s="25" t="s">
        <v>596</v>
      </c>
      <c r="D424" s="308" t="s">
        <v>2394</v>
      </c>
      <c r="E424" s="29">
        <v>5</v>
      </c>
      <c r="F424" s="30"/>
      <c r="G424" s="26"/>
      <c r="H424" s="27"/>
      <c r="I424" s="28"/>
      <c r="L424" s="1" t="str">
        <f t="shared" si="7"/>
        <v>空白</v>
      </c>
      <c r="M424" s="1" t="str">
        <f t="shared" si="7"/>
        <v>空白</v>
      </c>
      <c r="N424" s="1" t="str">
        <f t="shared" si="7"/>
        <v>空白</v>
      </c>
    </row>
    <row r="425" spans="1:14">
      <c r="A425" s="573"/>
      <c r="B425" s="576"/>
      <c r="C425" s="25" t="s">
        <v>597</v>
      </c>
      <c r="D425" s="308" t="s">
        <v>2395</v>
      </c>
      <c r="E425" s="29">
        <v>4</v>
      </c>
      <c r="F425" s="30"/>
      <c r="G425" s="26"/>
      <c r="H425" s="27"/>
      <c r="I425" s="28"/>
      <c r="L425" s="1" t="str">
        <f t="shared" si="7"/>
        <v>空白</v>
      </c>
      <c r="M425" s="1" t="str">
        <f t="shared" si="7"/>
        <v>空白</v>
      </c>
      <c r="N425" s="1" t="str">
        <f t="shared" si="7"/>
        <v>空白</v>
      </c>
    </row>
    <row r="426" spans="1:14">
      <c r="A426" s="573"/>
      <c r="B426" s="576"/>
      <c r="C426" s="25" t="s">
        <v>598</v>
      </c>
      <c r="D426" s="308" t="s">
        <v>2396</v>
      </c>
      <c r="E426" s="29">
        <v>5</v>
      </c>
      <c r="F426" s="64"/>
      <c r="G426" s="18"/>
      <c r="H426" s="27"/>
      <c r="I426" s="28"/>
      <c r="L426" s="1" t="str">
        <f t="shared" si="7"/>
        <v>空白</v>
      </c>
      <c r="M426" s="1" t="str">
        <f t="shared" si="7"/>
        <v>空白</v>
      </c>
      <c r="N426" s="1" t="str">
        <f t="shared" si="7"/>
        <v>空白</v>
      </c>
    </row>
    <row r="427" spans="1:14" ht="39">
      <c r="A427" s="573"/>
      <c r="B427" s="576"/>
      <c r="C427" s="25" t="s">
        <v>2956</v>
      </c>
      <c r="D427" s="380" t="s">
        <v>2957</v>
      </c>
      <c r="E427" s="29">
        <v>4</v>
      </c>
      <c r="F427" s="146" t="s">
        <v>599</v>
      </c>
      <c r="G427" s="111" t="s">
        <v>600</v>
      </c>
      <c r="H427" s="112">
        <v>4</v>
      </c>
      <c r="I427" s="147" t="s">
        <v>601</v>
      </c>
      <c r="K427" s="2" t="s">
        <v>242</v>
      </c>
      <c r="L427" s="1" t="str">
        <f t="shared" si="7"/>
        <v>對</v>
      </c>
      <c r="M427" s="1" t="str">
        <f t="shared" si="7"/>
        <v>對</v>
      </c>
      <c r="N427" s="1" t="str">
        <f t="shared" si="7"/>
        <v>對</v>
      </c>
    </row>
    <row r="428" spans="1:14">
      <c r="A428" s="573"/>
      <c r="B428" s="576"/>
      <c r="C428" s="25" t="s">
        <v>602</v>
      </c>
      <c r="D428" s="308" t="s">
        <v>2397</v>
      </c>
      <c r="E428" s="29">
        <v>5</v>
      </c>
      <c r="F428" s="62"/>
      <c r="G428" s="10"/>
      <c r="H428" s="27"/>
      <c r="I428" s="28"/>
      <c r="L428" s="1" t="str">
        <f t="shared" si="7"/>
        <v>空白</v>
      </c>
      <c r="M428" s="1" t="str">
        <f t="shared" si="7"/>
        <v>空白</v>
      </c>
      <c r="N428" s="1" t="str">
        <f t="shared" si="7"/>
        <v>空白</v>
      </c>
    </row>
    <row r="429" spans="1:14">
      <c r="A429" s="573"/>
      <c r="B429" s="576"/>
      <c r="C429" s="25" t="s">
        <v>603</v>
      </c>
      <c r="D429" s="308" t="s">
        <v>2398</v>
      </c>
      <c r="E429" s="29">
        <v>5</v>
      </c>
      <c r="F429" s="30"/>
      <c r="G429" s="26"/>
      <c r="H429" s="27"/>
      <c r="I429" s="28"/>
      <c r="L429" s="1" t="str">
        <f t="shared" si="7"/>
        <v>空白</v>
      </c>
      <c r="M429" s="1" t="str">
        <f t="shared" si="7"/>
        <v>空白</v>
      </c>
      <c r="N429" s="1" t="str">
        <f t="shared" si="7"/>
        <v>空白</v>
      </c>
    </row>
    <row r="430" spans="1:14">
      <c r="A430" s="573"/>
      <c r="B430" s="576"/>
      <c r="C430" s="25" t="s">
        <v>604</v>
      </c>
      <c r="D430" s="308" t="s">
        <v>2399</v>
      </c>
      <c r="E430" s="16">
        <v>3</v>
      </c>
      <c r="F430" s="9"/>
      <c r="G430" s="26"/>
      <c r="H430" s="27"/>
      <c r="I430" s="28"/>
      <c r="L430" s="1" t="str">
        <f t="shared" si="7"/>
        <v>空白</v>
      </c>
      <c r="M430" s="1" t="str">
        <f t="shared" si="7"/>
        <v>空白</v>
      </c>
      <c r="N430" s="1" t="str">
        <f t="shared" si="7"/>
        <v>空白</v>
      </c>
    </row>
    <row r="431" spans="1:14">
      <c r="A431" s="573"/>
      <c r="B431" s="576"/>
      <c r="C431" s="25" t="s">
        <v>605</v>
      </c>
      <c r="D431" s="308" t="s">
        <v>2400</v>
      </c>
      <c r="E431" s="16">
        <v>3</v>
      </c>
      <c r="F431" s="9"/>
      <c r="G431" s="26"/>
      <c r="H431" s="27"/>
      <c r="I431" s="28"/>
      <c r="L431" s="1" t="str">
        <f t="shared" si="7"/>
        <v>空白</v>
      </c>
      <c r="M431" s="1" t="str">
        <f t="shared" si="7"/>
        <v>空白</v>
      </c>
      <c r="N431" s="1" t="str">
        <f t="shared" si="7"/>
        <v>空白</v>
      </c>
    </row>
    <row r="432" spans="1:14" ht="58.5">
      <c r="A432" s="573"/>
      <c r="B432" s="576"/>
      <c r="C432" s="25" t="s">
        <v>606</v>
      </c>
      <c r="D432" s="308" t="s">
        <v>2958</v>
      </c>
      <c r="E432" s="16">
        <v>3</v>
      </c>
      <c r="F432" s="9"/>
      <c r="G432" s="92" t="s">
        <v>607</v>
      </c>
      <c r="H432" s="73">
        <v>3</v>
      </c>
      <c r="I432" s="28" t="s">
        <v>608</v>
      </c>
      <c r="K432" s="2" t="s">
        <v>12</v>
      </c>
      <c r="L432" s="1" t="str">
        <f t="shared" si="7"/>
        <v>空白</v>
      </c>
      <c r="M432" s="1" t="str">
        <f t="shared" si="7"/>
        <v>對</v>
      </c>
      <c r="N432" s="1" t="str">
        <f t="shared" si="7"/>
        <v>對</v>
      </c>
    </row>
    <row r="433" spans="1:14">
      <c r="A433" s="573"/>
      <c r="B433" s="576"/>
      <c r="C433" s="25" t="s">
        <v>609</v>
      </c>
      <c r="D433" s="308" t="s">
        <v>2401</v>
      </c>
      <c r="E433" s="16">
        <v>4</v>
      </c>
      <c r="F433" s="9"/>
      <c r="G433" s="92"/>
      <c r="H433" s="73"/>
      <c r="I433" s="28"/>
      <c r="L433" s="1" t="str">
        <f t="shared" si="7"/>
        <v>空白</v>
      </c>
      <c r="M433" s="1" t="str">
        <f t="shared" si="7"/>
        <v>空白</v>
      </c>
      <c r="N433" s="1" t="str">
        <f t="shared" si="7"/>
        <v>空白</v>
      </c>
    </row>
    <row r="434" spans="1:14">
      <c r="A434" s="573"/>
      <c r="B434" s="576"/>
      <c r="C434" s="25" t="s">
        <v>610</v>
      </c>
      <c r="D434" s="308" t="s">
        <v>2402</v>
      </c>
      <c r="E434" s="16">
        <v>4</v>
      </c>
      <c r="F434" s="9"/>
      <c r="G434" s="26"/>
      <c r="H434" s="27"/>
      <c r="I434" s="28"/>
      <c r="L434" s="1" t="str">
        <f t="shared" si="7"/>
        <v>空白</v>
      </c>
      <c r="M434" s="1" t="str">
        <f t="shared" si="7"/>
        <v>空白</v>
      </c>
      <c r="N434" s="1" t="str">
        <f t="shared" si="7"/>
        <v>空白</v>
      </c>
    </row>
    <row r="435" spans="1:14">
      <c r="A435" s="573"/>
      <c r="B435" s="576"/>
      <c r="C435" s="25" t="s">
        <v>611</v>
      </c>
      <c r="D435" s="308" t="s">
        <v>2403</v>
      </c>
      <c r="E435" s="16">
        <v>4</v>
      </c>
      <c r="F435" s="9"/>
      <c r="G435" s="26"/>
      <c r="H435" s="27"/>
      <c r="I435" s="28"/>
      <c r="L435" s="1" t="str">
        <f t="shared" si="7"/>
        <v>空白</v>
      </c>
      <c r="M435" s="1" t="str">
        <f t="shared" si="7"/>
        <v>空白</v>
      </c>
      <c r="N435" s="1" t="str">
        <f t="shared" si="7"/>
        <v>空白</v>
      </c>
    </row>
    <row r="436" spans="1:14">
      <c r="A436" s="573"/>
      <c r="B436" s="576"/>
      <c r="C436" s="25" t="s">
        <v>612</v>
      </c>
      <c r="D436" s="308" t="s">
        <v>2404</v>
      </c>
      <c r="E436" s="16">
        <v>4</v>
      </c>
      <c r="F436" s="9"/>
      <c r="G436" s="26"/>
      <c r="H436" s="27"/>
      <c r="I436" s="28"/>
      <c r="L436" s="1" t="str">
        <f t="shared" si="7"/>
        <v>空白</v>
      </c>
      <c r="M436" s="1" t="str">
        <f t="shared" si="7"/>
        <v>空白</v>
      </c>
      <c r="N436" s="1" t="str">
        <f t="shared" si="7"/>
        <v>空白</v>
      </c>
    </row>
    <row r="437" spans="1:14">
      <c r="A437" s="573"/>
      <c r="B437" s="576"/>
      <c r="C437" s="25" t="s">
        <v>613</v>
      </c>
      <c r="D437" s="308" t="s">
        <v>2405</v>
      </c>
      <c r="E437" s="16">
        <v>4</v>
      </c>
      <c r="F437" s="9"/>
      <c r="G437" s="26"/>
      <c r="H437" s="27"/>
      <c r="I437" s="28"/>
      <c r="L437" s="1" t="str">
        <f t="shared" si="7"/>
        <v>空白</v>
      </c>
      <c r="M437" s="1" t="str">
        <f t="shared" si="7"/>
        <v>空白</v>
      </c>
      <c r="N437" s="1" t="str">
        <f t="shared" si="7"/>
        <v>空白</v>
      </c>
    </row>
    <row r="438" spans="1:14">
      <c r="A438" s="573"/>
      <c r="B438" s="576"/>
      <c r="C438" s="25" t="s">
        <v>614</v>
      </c>
      <c r="D438" s="308" t="s">
        <v>2406</v>
      </c>
      <c r="E438" s="16">
        <v>4</v>
      </c>
      <c r="F438" s="9"/>
      <c r="G438" s="26"/>
      <c r="H438" s="27"/>
      <c r="I438" s="28"/>
      <c r="L438" s="1" t="str">
        <f t="shared" si="7"/>
        <v>空白</v>
      </c>
      <c r="M438" s="1" t="str">
        <f t="shared" si="7"/>
        <v>空白</v>
      </c>
      <c r="N438" s="1" t="str">
        <f t="shared" si="7"/>
        <v>空白</v>
      </c>
    </row>
    <row r="439" spans="1:14">
      <c r="A439" s="573"/>
      <c r="B439" s="576"/>
      <c r="C439" s="25" t="s">
        <v>615</v>
      </c>
      <c r="D439" s="308" t="s">
        <v>2407</v>
      </c>
      <c r="E439" s="16">
        <v>4</v>
      </c>
      <c r="F439" s="9"/>
      <c r="G439" s="26"/>
      <c r="H439" s="27"/>
      <c r="I439" s="28"/>
      <c r="L439" s="1" t="str">
        <f t="shared" si="7"/>
        <v>空白</v>
      </c>
      <c r="M439" s="1" t="str">
        <f t="shared" si="7"/>
        <v>空白</v>
      </c>
      <c r="N439" s="1" t="str">
        <f t="shared" si="7"/>
        <v>空白</v>
      </c>
    </row>
    <row r="440" spans="1:14">
      <c r="A440" s="573"/>
      <c r="B440" s="576"/>
      <c r="C440" s="25" t="s">
        <v>616</v>
      </c>
      <c r="D440" s="308" t="s">
        <v>2408</v>
      </c>
      <c r="E440" s="16">
        <v>4</v>
      </c>
      <c r="F440" s="9"/>
      <c r="G440" s="26"/>
      <c r="H440" s="27"/>
      <c r="I440" s="28"/>
      <c r="L440" s="1" t="str">
        <f t="shared" si="7"/>
        <v>空白</v>
      </c>
      <c r="M440" s="1" t="str">
        <f t="shared" si="7"/>
        <v>空白</v>
      </c>
      <c r="N440" s="1" t="str">
        <f t="shared" si="7"/>
        <v>空白</v>
      </c>
    </row>
    <row r="441" spans="1:14">
      <c r="A441" s="573"/>
      <c r="B441" s="576"/>
      <c r="C441" s="25" t="s">
        <v>617</v>
      </c>
      <c r="D441" s="308" t="s">
        <v>2409</v>
      </c>
      <c r="E441" s="16">
        <v>4</v>
      </c>
      <c r="F441" s="9"/>
      <c r="G441" s="26"/>
      <c r="H441" s="27"/>
      <c r="I441" s="28"/>
      <c r="L441" s="1" t="str">
        <f t="shared" si="7"/>
        <v>空白</v>
      </c>
      <c r="M441" s="1" t="str">
        <f t="shared" si="7"/>
        <v>空白</v>
      </c>
      <c r="N441" s="1" t="str">
        <f t="shared" si="7"/>
        <v>空白</v>
      </c>
    </row>
    <row r="442" spans="1:14">
      <c r="A442" s="573"/>
      <c r="B442" s="576"/>
      <c r="C442" s="25" t="s">
        <v>618</v>
      </c>
      <c r="D442" s="308" t="s">
        <v>2410</v>
      </c>
      <c r="E442" s="16">
        <v>4</v>
      </c>
      <c r="F442" s="9"/>
      <c r="G442" s="26"/>
      <c r="H442" s="27"/>
      <c r="I442" s="28"/>
      <c r="L442" s="1" t="str">
        <f t="shared" si="7"/>
        <v>空白</v>
      </c>
      <c r="M442" s="1" t="str">
        <f t="shared" si="7"/>
        <v>空白</v>
      </c>
      <c r="N442" s="1" t="str">
        <f t="shared" si="7"/>
        <v>空白</v>
      </c>
    </row>
    <row r="443" spans="1:14">
      <c r="A443" s="573"/>
      <c r="B443" s="576"/>
      <c r="C443" s="25" t="s">
        <v>619</v>
      </c>
      <c r="D443" s="308" t="s">
        <v>2411</v>
      </c>
      <c r="E443" s="16">
        <v>4</v>
      </c>
      <c r="F443" s="9"/>
      <c r="G443" s="26"/>
      <c r="H443" s="27"/>
      <c r="I443" s="28"/>
      <c r="L443" s="1" t="str">
        <f t="shared" si="7"/>
        <v>空白</v>
      </c>
      <c r="M443" s="1" t="str">
        <f t="shared" si="7"/>
        <v>空白</v>
      </c>
      <c r="N443" s="1" t="str">
        <f t="shared" si="7"/>
        <v>空白</v>
      </c>
    </row>
    <row r="444" spans="1:14">
      <c r="A444" s="573"/>
      <c r="B444" s="576"/>
      <c r="C444" s="25" t="s">
        <v>620</v>
      </c>
      <c r="D444" s="308" t="s">
        <v>2412</v>
      </c>
      <c r="E444" s="16">
        <v>4</v>
      </c>
      <c r="F444" s="9"/>
      <c r="G444" s="26"/>
      <c r="H444" s="27"/>
      <c r="I444" s="28"/>
      <c r="L444" s="1" t="str">
        <f t="shared" si="7"/>
        <v>空白</v>
      </c>
      <c r="M444" s="1" t="str">
        <f t="shared" si="7"/>
        <v>空白</v>
      </c>
      <c r="N444" s="1" t="str">
        <f t="shared" si="7"/>
        <v>空白</v>
      </c>
    </row>
    <row r="445" spans="1:14">
      <c r="A445" s="573"/>
      <c r="B445" s="576"/>
      <c r="C445" s="132" t="s">
        <v>621</v>
      </c>
      <c r="D445" s="332" t="s">
        <v>2413</v>
      </c>
      <c r="E445" s="16">
        <v>4</v>
      </c>
      <c r="F445" s="9"/>
      <c r="G445" s="148"/>
      <c r="H445" s="27"/>
      <c r="I445" s="28"/>
      <c r="L445" s="1" t="str">
        <f t="shared" si="7"/>
        <v>空白</v>
      </c>
      <c r="M445" s="1" t="str">
        <f t="shared" si="7"/>
        <v>空白</v>
      </c>
      <c r="N445" s="1" t="str">
        <f t="shared" si="7"/>
        <v>空白</v>
      </c>
    </row>
    <row r="446" spans="1:14">
      <c r="A446" s="573"/>
      <c r="B446" s="576"/>
      <c r="C446" s="25" t="s">
        <v>622</v>
      </c>
      <c r="D446" s="308" t="s">
        <v>2414</v>
      </c>
      <c r="E446" s="16">
        <v>5</v>
      </c>
      <c r="F446" s="9"/>
      <c r="G446" s="26"/>
      <c r="H446" s="73"/>
      <c r="I446" s="28"/>
      <c r="L446" s="1" t="str">
        <f t="shared" si="7"/>
        <v>空白</v>
      </c>
      <c r="M446" s="1" t="str">
        <f t="shared" si="7"/>
        <v>空白</v>
      </c>
      <c r="N446" s="1" t="str">
        <f t="shared" si="7"/>
        <v>空白</v>
      </c>
    </row>
    <row r="447" spans="1:14">
      <c r="A447" s="573"/>
      <c r="B447" s="576"/>
      <c r="C447" s="25" t="s">
        <v>623</v>
      </c>
      <c r="D447" s="308" t="s">
        <v>2415</v>
      </c>
      <c r="E447" s="16">
        <v>5</v>
      </c>
      <c r="F447" s="9"/>
      <c r="G447" s="26"/>
      <c r="H447" s="27"/>
      <c r="I447" s="28"/>
      <c r="L447" s="1" t="str">
        <f t="shared" si="7"/>
        <v>空白</v>
      </c>
      <c r="M447" s="1" t="str">
        <f t="shared" si="7"/>
        <v>空白</v>
      </c>
      <c r="N447" s="1" t="str">
        <f t="shared" si="7"/>
        <v>空白</v>
      </c>
    </row>
    <row r="448" spans="1:14">
      <c r="A448" s="573"/>
      <c r="B448" s="576"/>
      <c r="C448" s="25" t="s">
        <v>624</v>
      </c>
      <c r="D448" s="308" t="s">
        <v>2416</v>
      </c>
      <c r="E448" s="16">
        <v>5</v>
      </c>
      <c r="F448" s="9"/>
      <c r="G448" s="26"/>
      <c r="H448" s="27"/>
      <c r="I448" s="28"/>
      <c r="L448" s="1" t="str">
        <f t="shared" si="7"/>
        <v>空白</v>
      </c>
      <c r="M448" s="1" t="str">
        <f t="shared" si="7"/>
        <v>空白</v>
      </c>
      <c r="N448" s="1" t="str">
        <f t="shared" si="7"/>
        <v>空白</v>
      </c>
    </row>
    <row r="449" spans="1:14">
      <c r="A449" s="573"/>
      <c r="B449" s="576"/>
      <c r="C449" s="25" t="s">
        <v>625</v>
      </c>
      <c r="D449" s="308" t="s">
        <v>2417</v>
      </c>
      <c r="E449" s="16">
        <v>4</v>
      </c>
      <c r="F449" s="9"/>
      <c r="G449" s="26"/>
      <c r="H449" s="27"/>
      <c r="I449" s="28"/>
      <c r="L449" s="1" t="str">
        <f t="shared" si="7"/>
        <v>空白</v>
      </c>
      <c r="M449" s="1" t="str">
        <f t="shared" si="7"/>
        <v>空白</v>
      </c>
      <c r="N449" s="1" t="str">
        <f t="shared" si="7"/>
        <v>空白</v>
      </c>
    </row>
    <row r="450" spans="1:14">
      <c r="A450" s="573"/>
      <c r="B450" s="576"/>
      <c r="C450" s="25" t="s">
        <v>626</v>
      </c>
      <c r="D450" s="308" t="s">
        <v>2418</v>
      </c>
      <c r="E450" s="16">
        <v>2</v>
      </c>
      <c r="F450" s="9"/>
      <c r="G450" s="26"/>
      <c r="H450" s="27"/>
      <c r="I450" s="28"/>
      <c r="L450" s="1" t="str">
        <f t="shared" si="7"/>
        <v>空白</v>
      </c>
      <c r="M450" s="1" t="str">
        <f t="shared" si="7"/>
        <v>空白</v>
      </c>
      <c r="N450" s="1" t="str">
        <f t="shared" si="7"/>
        <v>空白</v>
      </c>
    </row>
    <row r="451" spans="1:14">
      <c r="A451" s="573"/>
      <c r="B451" s="576"/>
      <c r="C451" s="25" t="s">
        <v>627</v>
      </c>
      <c r="D451" s="308" t="s">
        <v>2419</v>
      </c>
      <c r="E451" s="16">
        <v>4</v>
      </c>
      <c r="F451" s="9"/>
      <c r="G451" s="26"/>
      <c r="H451" s="27"/>
      <c r="I451" s="28"/>
      <c r="L451" s="1" t="str">
        <f t="shared" si="7"/>
        <v>空白</v>
      </c>
      <c r="M451" s="1" t="str">
        <f t="shared" si="7"/>
        <v>空白</v>
      </c>
      <c r="N451" s="1" t="str">
        <f t="shared" si="7"/>
        <v>空白</v>
      </c>
    </row>
    <row r="452" spans="1:14">
      <c r="A452" s="573"/>
      <c r="B452" s="576"/>
      <c r="C452" s="25" t="s">
        <v>628</v>
      </c>
      <c r="D452" s="308" t="s">
        <v>2420</v>
      </c>
      <c r="E452" s="16">
        <v>4</v>
      </c>
      <c r="F452" s="9"/>
      <c r="G452" s="26"/>
      <c r="H452" s="27"/>
      <c r="I452" s="28"/>
      <c r="L452" s="1" t="str">
        <f t="shared" si="7"/>
        <v>空白</v>
      </c>
      <c r="M452" s="1" t="str">
        <f t="shared" si="7"/>
        <v>空白</v>
      </c>
      <c r="N452" s="1" t="str">
        <f t="shared" si="7"/>
        <v>空白</v>
      </c>
    </row>
    <row r="453" spans="1:14">
      <c r="A453" s="573"/>
      <c r="B453" s="576"/>
      <c r="C453" s="25" t="s">
        <v>629</v>
      </c>
      <c r="D453" s="308" t="s">
        <v>2421</v>
      </c>
      <c r="E453" s="16">
        <v>4</v>
      </c>
      <c r="F453" s="9"/>
      <c r="G453" s="26"/>
      <c r="H453" s="27"/>
      <c r="I453" s="28"/>
      <c r="L453" s="1" t="str">
        <f t="shared" si="7"/>
        <v>空白</v>
      </c>
      <c r="M453" s="1" t="str">
        <f t="shared" si="7"/>
        <v>空白</v>
      </c>
      <c r="N453" s="1" t="str">
        <f t="shared" si="7"/>
        <v>空白</v>
      </c>
    </row>
    <row r="454" spans="1:14">
      <c r="A454" s="573"/>
      <c r="B454" s="576"/>
      <c r="C454" s="25" t="s">
        <v>630</v>
      </c>
      <c r="D454" s="308" t="s">
        <v>2422</v>
      </c>
      <c r="E454" s="16">
        <v>4</v>
      </c>
      <c r="F454" s="9"/>
      <c r="G454" s="26"/>
      <c r="H454" s="27"/>
      <c r="I454" s="28"/>
      <c r="L454" s="1" t="str">
        <f t="shared" ref="L454:N517" si="8">IF(ISBLANK(F454),"空白",IF(F454=C454,"對","錯"))</f>
        <v>空白</v>
      </c>
      <c r="M454" s="1" t="str">
        <f t="shared" si="8"/>
        <v>空白</v>
      </c>
      <c r="N454" s="1" t="str">
        <f t="shared" si="8"/>
        <v>空白</v>
      </c>
    </row>
    <row r="455" spans="1:14">
      <c r="A455" s="573"/>
      <c r="B455" s="576"/>
      <c r="C455" s="25" t="s">
        <v>631</v>
      </c>
      <c r="D455" s="308" t="s">
        <v>2423</v>
      </c>
      <c r="E455" s="16">
        <v>4</v>
      </c>
      <c r="F455" s="9"/>
      <c r="G455" s="26"/>
      <c r="H455" s="27"/>
      <c r="I455" s="28"/>
      <c r="L455" s="1" t="str">
        <f t="shared" si="8"/>
        <v>空白</v>
      </c>
      <c r="M455" s="1" t="str">
        <f t="shared" si="8"/>
        <v>空白</v>
      </c>
      <c r="N455" s="1" t="str">
        <f t="shared" si="8"/>
        <v>空白</v>
      </c>
    </row>
    <row r="456" spans="1:14">
      <c r="A456" s="573"/>
      <c r="B456" s="576"/>
      <c r="C456" s="25" t="s">
        <v>632</v>
      </c>
      <c r="D456" s="308" t="s">
        <v>2424</v>
      </c>
      <c r="E456" s="16">
        <v>5</v>
      </c>
      <c r="F456" s="9"/>
      <c r="G456" s="26"/>
      <c r="H456" s="27"/>
      <c r="I456" s="28"/>
      <c r="L456" s="1" t="str">
        <f t="shared" si="8"/>
        <v>空白</v>
      </c>
      <c r="M456" s="1" t="str">
        <f t="shared" si="8"/>
        <v>空白</v>
      </c>
      <c r="N456" s="1" t="str">
        <f t="shared" si="8"/>
        <v>空白</v>
      </c>
    </row>
    <row r="457" spans="1:14">
      <c r="A457" s="573"/>
      <c r="B457" s="576"/>
      <c r="C457" s="34" t="s">
        <v>633</v>
      </c>
      <c r="D457" s="343" t="s">
        <v>2425</v>
      </c>
      <c r="E457" s="16">
        <v>5</v>
      </c>
      <c r="F457" s="9"/>
      <c r="G457" s="26"/>
      <c r="H457" s="27"/>
      <c r="I457" s="28"/>
      <c r="L457" s="1" t="str">
        <f t="shared" si="8"/>
        <v>空白</v>
      </c>
      <c r="M457" s="1" t="str">
        <f t="shared" si="8"/>
        <v>空白</v>
      </c>
      <c r="N457" s="1" t="str">
        <f t="shared" si="8"/>
        <v>空白</v>
      </c>
    </row>
    <row r="458" spans="1:14" ht="19.5">
      <c r="A458" s="573"/>
      <c r="B458" s="576"/>
      <c r="C458" s="35" t="s">
        <v>2959</v>
      </c>
      <c r="D458" s="396" t="s">
        <v>2960</v>
      </c>
      <c r="E458" s="16">
        <v>1</v>
      </c>
      <c r="F458" s="9" t="s">
        <v>634</v>
      </c>
      <c r="G458" s="111" t="s">
        <v>635</v>
      </c>
      <c r="H458" s="112">
        <v>1</v>
      </c>
      <c r="I458" s="620" t="s">
        <v>636</v>
      </c>
      <c r="K458" s="2" t="s">
        <v>242</v>
      </c>
      <c r="L458" s="1" t="str">
        <f t="shared" si="8"/>
        <v>對</v>
      </c>
      <c r="M458" s="1" t="str">
        <f t="shared" si="8"/>
        <v>對</v>
      </c>
      <c r="N458" s="1" t="str">
        <f t="shared" si="8"/>
        <v>對</v>
      </c>
    </row>
    <row r="459" spans="1:14" ht="39">
      <c r="A459" s="573"/>
      <c r="B459" s="576"/>
      <c r="C459" s="35" t="s">
        <v>637</v>
      </c>
      <c r="D459" s="396" t="s">
        <v>2961</v>
      </c>
      <c r="E459" s="16">
        <v>3</v>
      </c>
      <c r="F459" s="9" t="s">
        <v>637</v>
      </c>
      <c r="G459" s="111" t="s">
        <v>638</v>
      </c>
      <c r="H459" s="112">
        <v>3</v>
      </c>
      <c r="I459" s="621"/>
      <c r="K459" s="2" t="s">
        <v>242</v>
      </c>
      <c r="L459" s="1" t="str">
        <f t="shared" si="8"/>
        <v>對</v>
      </c>
      <c r="M459" s="1" t="str">
        <f t="shared" si="8"/>
        <v>對</v>
      </c>
      <c r="N459" s="1" t="str">
        <f t="shared" si="8"/>
        <v>對</v>
      </c>
    </row>
    <row r="460" spans="1:14" ht="39">
      <c r="A460" s="573"/>
      <c r="B460" s="576"/>
      <c r="C460" s="35" t="s">
        <v>2962</v>
      </c>
      <c r="D460" s="396" t="s">
        <v>2939</v>
      </c>
      <c r="E460" s="16">
        <v>1</v>
      </c>
      <c r="F460" s="9" t="s">
        <v>639</v>
      </c>
      <c r="G460" s="111" t="s">
        <v>532</v>
      </c>
      <c r="H460" s="112">
        <v>1</v>
      </c>
      <c r="I460" s="104" t="s">
        <v>640</v>
      </c>
      <c r="K460" s="2" t="s">
        <v>242</v>
      </c>
      <c r="L460" s="1" t="str">
        <f t="shared" si="8"/>
        <v>對</v>
      </c>
      <c r="M460" s="1" t="str">
        <f t="shared" si="8"/>
        <v>對</v>
      </c>
      <c r="N460" s="1" t="str">
        <f t="shared" si="8"/>
        <v>對</v>
      </c>
    </row>
    <row r="461" spans="1:14" ht="39">
      <c r="A461" s="573"/>
      <c r="B461" s="581"/>
      <c r="C461" s="149" t="s">
        <v>2963</v>
      </c>
      <c r="D461" s="396" t="s">
        <v>2955</v>
      </c>
      <c r="E461" s="67">
        <v>2</v>
      </c>
      <c r="F461" s="9" t="s">
        <v>641</v>
      </c>
      <c r="G461" s="37" t="s">
        <v>583</v>
      </c>
      <c r="H461" s="113">
        <v>2</v>
      </c>
      <c r="I461" s="39" t="s">
        <v>642</v>
      </c>
      <c r="K461" s="2" t="s">
        <v>242</v>
      </c>
      <c r="L461" s="1" t="str">
        <f t="shared" si="8"/>
        <v>對</v>
      </c>
      <c r="M461" s="1" t="str">
        <f t="shared" si="8"/>
        <v>對</v>
      </c>
      <c r="N461" s="1" t="str">
        <f t="shared" si="8"/>
        <v>對</v>
      </c>
    </row>
    <row r="462" spans="1:14" ht="19.5">
      <c r="A462" s="573"/>
      <c r="B462" s="580" t="s">
        <v>643</v>
      </c>
      <c r="C462" s="71" t="s">
        <v>644</v>
      </c>
      <c r="D462" s="325" t="s">
        <v>2964</v>
      </c>
      <c r="E462" s="145">
        <v>2</v>
      </c>
      <c r="F462" s="85"/>
      <c r="G462" s="125" t="s">
        <v>645</v>
      </c>
      <c r="H462" s="150">
        <v>2</v>
      </c>
      <c r="I462" s="627" t="s">
        <v>562</v>
      </c>
      <c r="K462" s="2" t="s">
        <v>12</v>
      </c>
      <c r="L462" s="1" t="str">
        <f t="shared" si="8"/>
        <v>空白</v>
      </c>
      <c r="M462" s="1" t="str">
        <f t="shared" si="8"/>
        <v>對</v>
      </c>
      <c r="N462" s="1" t="str">
        <f t="shared" si="8"/>
        <v>對</v>
      </c>
    </row>
    <row r="463" spans="1:14" ht="19.5">
      <c r="A463" s="573"/>
      <c r="B463" s="576"/>
      <c r="C463" s="25" t="s">
        <v>646</v>
      </c>
      <c r="D463" s="310" t="s">
        <v>2965</v>
      </c>
      <c r="E463" s="29">
        <v>2</v>
      </c>
      <c r="F463" s="30"/>
      <c r="G463" s="69" t="s">
        <v>647</v>
      </c>
      <c r="H463" s="32">
        <v>2</v>
      </c>
      <c r="I463" s="621"/>
      <c r="K463" s="2" t="s">
        <v>12</v>
      </c>
      <c r="L463" s="1" t="str">
        <f t="shared" si="8"/>
        <v>空白</v>
      </c>
      <c r="M463" s="1" t="str">
        <f t="shared" si="8"/>
        <v>對</v>
      </c>
      <c r="N463" s="1" t="str">
        <f t="shared" si="8"/>
        <v>對</v>
      </c>
    </row>
    <row r="464" spans="1:14">
      <c r="A464" s="573"/>
      <c r="B464" s="576"/>
      <c r="C464" s="25" t="s">
        <v>648</v>
      </c>
      <c r="D464" s="310" t="s">
        <v>2354</v>
      </c>
      <c r="E464" s="29">
        <v>2</v>
      </c>
      <c r="F464" s="30"/>
      <c r="G464" s="69"/>
      <c r="H464" s="32"/>
      <c r="I464" s="28"/>
      <c r="L464" s="1" t="str">
        <f t="shared" si="8"/>
        <v>空白</v>
      </c>
      <c r="M464" s="1" t="str">
        <f t="shared" si="8"/>
        <v>空白</v>
      </c>
      <c r="N464" s="1" t="str">
        <f t="shared" si="8"/>
        <v>空白</v>
      </c>
    </row>
    <row r="465" spans="1:14" ht="39">
      <c r="A465" s="573"/>
      <c r="B465" s="576"/>
      <c r="C465" s="25" t="s">
        <v>649</v>
      </c>
      <c r="D465" s="310" t="s">
        <v>2966</v>
      </c>
      <c r="E465" s="29">
        <v>2</v>
      </c>
      <c r="F465" s="30"/>
      <c r="G465" s="151" t="s">
        <v>650</v>
      </c>
      <c r="H465" s="50">
        <v>2</v>
      </c>
      <c r="I465" s="28" t="s">
        <v>61</v>
      </c>
      <c r="K465" s="2" t="s">
        <v>54</v>
      </c>
      <c r="L465" s="1" t="str">
        <f t="shared" si="8"/>
        <v>空白</v>
      </c>
      <c r="M465" s="1" t="str">
        <f t="shared" si="8"/>
        <v>對</v>
      </c>
      <c r="N465" s="1" t="str">
        <f t="shared" si="8"/>
        <v>對</v>
      </c>
    </row>
    <row r="466" spans="1:14">
      <c r="A466" s="573"/>
      <c r="B466" s="576"/>
      <c r="C466" s="25" t="s">
        <v>651</v>
      </c>
      <c r="D466" s="310" t="s">
        <v>2426</v>
      </c>
      <c r="E466" s="29">
        <v>3</v>
      </c>
      <c r="F466" s="30"/>
      <c r="G466" s="152"/>
      <c r="H466" s="50"/>
      <c r="I466" s="28"/>
      <c r="L466" s="1" t="str">
        <f t="shared" si="8"/>
        <v>空白</v>
      </c>
      <c r="M466" s="1" t="str">
        <f t="shared" si="8"/>
        <v>空白</v>
      </c>
      <c r="N466" s="1" t="str">
        <f t="shared" si="8"/>
        <v>空白</v>
      </c>
    </row>
    <row r="467" spans="1:14" ht="39">
      <c r="A467" s="573"/>
      <c r="B467" s="576"/>
      <c r="C467" s="25" t="s">
        <v>652</v>
      </c>
      <c r="D467" s="310" t="s">
        <v>2967</v>
      </c>
      <c r="E467" s="16">
        <v>2</v>
      </c>
      <c r="F467" s="9"/>
      <c r="G467" s="26" t="s">
        <v>653</v>
      </c>
      <c r="H467" s="27">
        <v>2</v>
      </c>
      <c r="I467" s="28" t="s">
        <v>61</v>
      </c>
      <c r="K467" s="2" t="s">
        <v>54</v>
      </c>
      <c r="L467" s="1" t="str">
        <f t="shared" si="8"/>
        <v>空白</v>
      </c>
      <c r="M467" s="1" t="str">
        <f t="shared" si="8"/>
        <v>對</v>
      </c>
      <c r="N467" s="1" t="str">
        <f t="shared" si="8"/>
        <v>對</v>
      </c>
    </row>
    <row r="468" spans="1:14">
      <c r="A468" s="573"/>
      <c r="B468" s="576"/>
      <c r="C468" s="25" t="s">
        <v>654</v>
      </c>
      <c r="D468" s="308" t="s">
        <v>2427</v>
      </c>
      <c r="E468" s="16">
        <v>4</v>
      </c>
      <c r="F468" s="9"/>
      <c r="G468" s="26"/>
      <c r="H468" s="27"/>
      <c r="I468" s="28"/>
      <c r="L468" s="1" t="str">
        <f t="shared" si="8"/>
        <v>空白</v>
      </c>
      <c r="M468" s="1" t="str">
        <f t="shared" si="8"/>
        <v>空白</v>
      </c>
      <c r="N468" s="1" t="str">
        <f t="shared" si="8"/>
        <v>空白</v>
      </c>
    </row>
    <row r="469" spans="1:14" ht="58.5">
      <c r="A469" s="573"/>
      <c r="B469" s="576"/>
      <c r="C469" s="25" t="s">
        <v>655</v>
      </c>
      <c r="D469" s="308" t="s">
        <v>2968</v>
      </c>
      <c r="E469" s="16">
        <v>2</v>
      </c>
      <c r="F469" s="9"/>
      <c r="G469" s="92" t="s">
        <v>656</v>
      </c>
      <c r="H469" s="73">
        <v>2</v>
      </c>
      <c r="I469" s="33" t="s">
        <v>562</v>
      </c>
      <c r="K469" s="2" t="s">
        <v>12</v>
      </c>
      <c r="L469" s="1" t="str">
        <f t="shared" si="8"/>
        <v>空白</v>
      </c>
      <c r="M469" s="1" t="str">
        <f t="shared" si="8"/>
        <v>對</v>
      </c>
      <c r="N469" s="1" t="str">
        <f t="shared" si="8"/>
        <v>對</v>
      </c>
    </row>
    <row r="470" spans="1:14">
      <c r="A470" s="573"/>
      <c r="B470" s="576"/>
      <c r="C470" s="25" t="s">
        <v>657</v>
      </c>
      <c r="D470" s="308" t="s">
        <v>2428</v>
      </c>
      <c r="E470" s="16">
        <v>2</v>
      </c>
      <c r="F470" s="9"/>
      <c r="G470" s="26"/>
      <c r="H470" s="27"/>
      <c r="I470" s="28"/>
      <c r="L470" s="1" t="str">
        <f t="shared" si="8"/>
        <v>空白</v>
      </c>
      <c r="M470" s="1" t="str">
        <f t="shared" si="8"/>
        <v>空白</v>
      </c>
      <c r="N470" s="1" t="str">
        <f t="shared" si="8"/>
        <v>空白</v>
      </c>
    </row>
    <row r="471" spans="1:14" ht="39">
      <c r="A471" s="573"/>
      <c r="B471" s="576"/>
      <c r="C471" s="25" t="s">
        <v>658</v>
      </c>
      <c r="D471" s="308" t="s">
        <v>2969</v>
      </c>
      <c r="E471" s="16">
        <v>2</v>
      </c>
      <c r="F471" s="9"/>
      <c r="G471" s="26" t="s">
        <v>659</v>
      </c>
      <c r="H471" s="27">
        <v>2</v>
      </c>
      <c r="I471" s="28" t="s">
        <v>61</v>
      </c>
      <c r="K471" s="2" t="s">
        <v>54</v>
      </c>
      <c r="L471" s="1" t="str">
        <f t="shared" si="8"/>
        <v>空白</v>
      </c>
      <c r="M471" s="1" t="str">
        <f t="shared" si="8"/>
        <v>對</v>
      </c>
      <c r="N471" s="1" t="str">
        <f t="shared" si="8"/>
        <v>對</v>
      </c>
    </row>
    <row r="472" spans="1:14">
      <c r="A472" s="573"/>
      <c r="B472" s="576"/>
      <c r="C472" s="25" t="s">
        <v>660</v>
      </c>
      <c r="D472" s="308" t="s">
        <v>2429</v>
      </c>
      <c r="E472" s="16">
        <v>2</v>
      </c>
      <c r="F472" s="9"/>
      <c r="G472" s="26"/>
      <c r="H472" s="27"/>
      <c r="I472" s="28"/>
      <c r="L472" s="1" t="str">
        <f t="shared" si="8"/>
        <v>空白</v>
      </c>
      <c r="M472" s="1" t="str">
        <f t="shared" si="8"/>
        <v>空白</v>
      </c>
      <c r="N472" s="1" t="str">
        <f t="shared" si="8"/>
        <v>空白</v>
      </c>
    </row>
    <row r="473" spans="1:14">
      <c r="A473" s="573"/>
      <c r="B473" s="576"/>
      <c r="C473" s="25" t="s">
        <v>661</v>
      </c>
      <c r="D473" s="308" t="s">
        <v>2430</v>
      </c>
      <c r="E473" s="16">
        <v>3</v>
      </c>
      <c r="F473" s="9"/>
      <c r="G473" s="26"/>
      <c r="H473" s="27"/>
      <c r="I473" s="28"/>
      <c r="L473" s="1" t="str">
        <f t="shared" si="8"/>
        <v>空白</v>
      </c>
      <c r="M473" s="1" t="str">
        <f t="shared" si="8"/>
        <v>空白</v>
      </c>
      <c r="N473" s="1" t="str">
        <f t="shared" si="8"/>
        <v>空白</v>
      </c>
    </row>
    <row r="474" spans="1:14" ht="19.5">
      <c r="A474" s="573"/>
      <c r="B474" s="576"/>
      <c r="C474" s="25" t="s">
        <v>662</v>
      </c>
      <c r="D474" s="308" t="s">
        <v>2970</v>
      </c>
      <c r="E474" s="16">
        <v>1</v>
      </c>
      <c r="F474" s="9"/>
      <c r="G474" s="92" t="s">
        <v>663</v>
      </c>
      <c r="H474" s="73">
        <v>1</v>
      </c>
      <c r="I474" s="620" t="s">
        <v>608</v>
      </c>
      <c r="K474" s="2" t="s">
        <v>12</v>
      </c>
      <c r="L474" s="1" t="str">
        <f t="shared" si="8"/>
        <v>空白</v>
      </c>
      <c r="M474" s="1" t="str">
        <f t="shared" si="8"/>
        <v>對</v>
      </c>
      <c r="N474" s="1" t="str">
        <f t="shared" si="8"/>
        <v>對</v>
      </c>
    </row>
    <row r="475" spans="1:14" ht="39">
      <c r="A475" s="573"/>
      <c r="B475" s="576"/>
      <c r="C475" s="25" t="s">
        <v>664</v>
      </c>
      <c r="D475" s="308" t="s">
        <v>2971</v>
      </c>
      <c r="E475" s="16">
        <v>2</v>
      </c>
      <c r="F475" s="9"/>
      <c r="G475" s="92" t="s">
        <v>665</v>
      </c>
      <c r="H475" s="73">
        <v>2</v>
      </c>
      <c r="I475" s="621"/>
      <c r="K475" s="2" t="s">
        <v>12</v>
      </c>
      <c r="L475" s="1" t="str">
        <f t="shared" si="8"/>
        <v>空白</v>
      </c>
      <c r="M475" s="1" t="str">
        <f t="shared" si="8"/>
        <v>對</v>
      </c>
      <c r="N475" s="1" t="str">
        <f t="shared" si="8"/>
        <v>對</v>
      </c>
    </row>
    <row r="476" spans="1:14">
      <c r="A476" s="573"/>
      <c r="B476" s="576"/>
      <c r="C476" s="25" t="s">
        <v>666</v>
      </c>
      <c r="D476" s="308" t="s">
        <v>2431</v>
      </c>
      <c r="E476" s="16">
        <v>2</v>
      </c>
      <c r="F476" s="9"/>
      <c r="G476" s="26"/>
      <c r="H476" s="27"/>
      <c r="I476" s="28"/>
      <c r="L476" s="1" t="str">
        <f t="shared" si="8"/>
        <v>空白</v>
      </c>
      <c r="M476" s="1" t="str">
        <f t="shared" si="8"/>
        <v>空白</v>
      </c>
      <c r="N476" s="1" t="str">
        <f t="shared" si="8"/>
        <v>空白</v>
      </c>
    </row>
    <row r="477" spans="1:14">
      <c r="A477" s="573"/>
      <c r="B477" s="576"/>
      <c r="C477" s="25" t="s">
        <v>667</v>
      </c>
      <c r="D477" s="308" t="s">
        <v>2432</v>
      </c>
      <c r="E477" s="16">
        <v>3</v>
      </c>
      <c r="F477" s="9"/>
      <c r="G477" s="26"/>
      <c r="H477" s="27"/>
      <c r="I477" s="28"/>
      <c r="L477" s="1" t="str">
        <f t="shared" si="8"/>
        <v>空白</v>
      </c>
      <c r="M477" s="1" t="str">
        <f t="shared" si="8"/>
        <v>空白</v>
      </c>
      <c r="N477" s="1" t="str">
        <f t="shared" si="8"/>
        <v>空白</v>
      </c>
    </row>
    <row r="478" spans="1:14">
      <c r="A478" s="573"/>
      <c r="B478" s="576"/>
      <c r="C478" s="25" t="s">
        <v>668</v>
      </c>
      <c r="D478" s="308" t="s">
        <v>2433</v>
      </c>
      <c r="E478" s="16">
        <v>1</v>
      </c>
      <c r="F478" s="9"/>
      <c r="G478" s="26"/>
      <c r="H478" s="27"/>
      <c r="I478" s="28"/>
      <c r="L478" s="1" t="str">
        <f t="shared" si="8"/>
        <v>空白</v>
      </c>
      <c r="M478" s="1" t="str">
        <f t="shared" si="8"/>
        <v>空白</v>
      </c>
      <c r="N478" s="1" t="str">
        <f t="shared" si="8"/>
        <v>空白</v>
      </c>
    </row>
    <row r="479" spans="1:14">
      <c r="A479" s="573"/>
      <c r="B479" s="576"/>
      <c r="C479" s="34" t="s">
        <v>669</v>
      </c>
      <c r="D479" s="343" t="s">
        <v>2434</v>
      </c>
      <c r="E479" s="16">
        <v>3</v>
      </c>
      <c r="F479" s="9"/>
      <c r="G479" s="26"/>
      <c r="H479" s="27"/>
      <c r="I479" s="28"/>
      <c r="L479" s="1" t="str">
        <f t="shared" si="8"/>
        <v>空白</v>
      </c>
      <c r="M479" s="1" t="str">
        <f t="shared" si="8"/>
        <v>空白</v>
      </c>
      <c r="N479" s="1" t="str">
        <f t="shared" si="8"/>
        <v>空白</v>
      </c>
    </row>
    <row r="480" spans="1:14" ht="39">
      <c r="A480" s="573"/>
      <c r="B480" s="576"/>
      <c r="C480" s="142" t="s">
        <v>2972</v>
      </c>
      <c r="D480" s="337" t="s">
        <v>2973</v>
      </c>
      <c r="E480" s="67">
        <v>2</v>
      </c>
      <c r="F480" s="9" t="s">
        <v>670</v>
      </c>
      <c r="G480" s="111" t="s">
        <v>671</v>
      </c>
      <c r="H480" s="112">
        <v>2</v>
      </c>
      <c r="I480" s="104" t="s">
        <v>672</v>
      </c>
      <c r="K480" s="2" t="s">
        <v>242</v>
      </c>
      <c r="L480" s="1" t="str">
        <f t="shared" si="8"/>
        <v>對</v>
      </c>
      <c r="M480" s="1" t="str">
        <f t="shared" si="8"/>
        <v>對</v>
      </c>
      <c r="N480" s="1" t="str">
        <f t="shared" si="8"/>
        <v>對</v>
      </c>
    </row>
    <row r="481" spans="1:14" ht="58.5">
      <c r="A481" s="573"/>
      <c r="B481" s="576"/>
      <c r="C481" s="142" t="s">
        <v>2974</v>
      </c>
      <c r="D481" s="337" t="s">
        <v>2975</v>
      </c>
      <c r="E481" s="67">
        <v>2</v>
      </c>
      <c r="F481" s="9" t="s">
        <v>673</v>
      </c>
      <c r="G481" s="111" t="s">
        <v>674</v>
      </c>
      <c r="H481" s="112">
        <v>2</v>
      </c>
      <c r="I481" s="104" t="s">
        <v>675</v>
      </c>
      <c r="K481" s="2" t="s">
        <v>242</v>
      </c>
      <c r="L481" s="1" t="str">
        <f t="shared" si="8"/>
        <v>對</v>
      </c>
      <c r="M481" s="1" t="str">
        <f t="shared" si="8"/>
        <v>對</v>
      </c>
      <c r="N481" s="1" t="str">
        <f t="shared" si="8"/>
        <v>對</v>
      </c>
    </row>
    <row r="482" spans="1:14" ht="39">
      <c r="A482" s="573"/>
      <c r="B482" s="576"/>
      <c r="C482" s="35" t="s">
        <v>2976</v>
      </c>
      <c r="D482" s="337" t="s">
        <v>2939</v>
      </c>
      <c r="E482" s="67">
        <v>1</v>
      </c>
      <c r="F482" s="9" t="s">
        <v>676</v>
      </c>
      <c r="G482" s="111" t="s">
        <v>532</v>
      </c>
      <c r="H482" s="112">
        <v>1</v>
      </c>
      <c r="I482" s="104" t="s">
        <v>677</v>
      </c>
      <c r="K482" s="2" t="s">
        <v>242</v>
      </c>
      <c r="L482" s="1" t="str">
        <f t="shared" si="8"/>
        <v>對</v>
      </c>
      <c r="M482" s="1" t="str">
        <f t="shared" si="8"/>
        <v>對</v>
      </c>
      <c r="N482" s="1" t="str">
        <f t="shared" si="8"/>
        <v>對</v>
      </c>
    </row>
    <row r="483" spans="1:14" ht="39">
      <c r="A483" s="573"/>
      <c r="B483" s="576"/>
      <c r="C483" s="35" t="s">
        <v>2977</v>
      </c>
      <c r="D483" s="396" t="s">
        <v>2955</v>
      </c>
      <c r="E483" s="67">
        <v>2</v>
      </c>
      <c r="F483" s="9" t="s">
        <v>678</v>
      </c>
      <c r="G483" s="111" t="s">
        <v>583</v>
      </c>
      <c r="H483" s="112">
        <v>2</v>
      </c>
      <c r="I483" s="104" t="s">
        <v>679</v>
      </c>
      <c r="K483" s="2" t="s">
        <v>242</v>
      </c>
      <c r="L483" s="1" t="str">
        <f t="shared" si="8"/>
        <v>對</v>
      </c>
      <c r="M483" s="1" t="str">
        <f t="shared" si="8"/>
        <v>對</v>
      </c>
      <c r="N483" s="1" t="str">
        <f t="shared" si="8"/>
        <v>對</v>
      </c>
    </row>
    <row r="484" spans="1:14" ht="58.5">
      <c r="A484" s="573"/>
      <c r="B484" s="581"/>
      <c r="C484" s="136" t="s">
        <v>2978</v>
      </c>
      <c r="D484" s="426" t="s">
        <v>2979</v>
      </c>
      <c r="E484" s="67">
        <v>1</v>
      </c>
      <c r="F484" s="58" t="s">
        <v>680</v>
      </c>
      <c r="G484" s="153" t="s">
        <v>681</v>
      </c>
      <c r="H484" s="113">
        <v>1</v>
      </c>
      <c r="I484" s="39" t="s">
        <v>682</v>
      </c>
      <c r="K484" s="2" t="s">
        <v>242</v>
      </c>
      <c r="L484" s="1" t="str">
        <f t="shared" si="8"/>
        <v>對</v>
      </c>
      <c r="M484" s="1" t="str">
        <f t="shared" si="8"/>
        <v>對</v>
      </c>
      <c r="N484" s="1" t="str">
        <f t="shared" si="8"/>
        <v>對</v>
      </c>
    </row>
    <row r="485" spans="1:14" ht="19.5">
      <c r="A485" s="573"/>
      <c r="B485" s="580" t="s">
        <v>683</v>
      </c>
      <c r="C485" s="22" t="s">
        <v>684</v>
      </c>
      <c r="D485" s="344" t="s">
        <v>2980</v>
      </c>
      <c r="E485" s="82">
        <v>3</v>
      </c>
      <c r="F485" s="62"/>
      <c r="G485" s="125" t="s">
        <v>685</v>
      </c>
      <c r="H485" s="154">
        <v>3</v>
      </c>
      <c r="I485" s="618" t="s">
        <v>608</v>
      </c>
      <c r="K485" s="2" t="s">
        <v>12</v>
      </c>
      <c r="L485" s="1" t="str">
        <f t="shared" si="8"/>
        <v>空白</v>
      </c>
      <c r="M485" s="1" t="str">
        <f t="shared" si="8"/>
        <v>對</v>
      </c>
      <c r="N485" s="1" t="str">
        <f t="shared" si="8"/>
        <v>對</v>
      </c>
    </row>
    <row r="486" spans="1:14" ht="19.5">
      <c r="A486" s="573"/>
      <c r="B486" s="576"/>
      <c r="C486" s="25" t="s">
        <v>686</v>
      </c>
      <c r="D486" s="310" t="s">
        <v>2981</v>
      </c>
      <c r="E486" s="29">
        <v>3</v>
      </c>
      <c r="F486" s="30"/>
      <c r="G486" s="69" t="s">
        <v>687</v>
      </c>
      <c r="H486" s="32">
        <v>3</v>
      </c>
      <c r="I486" s="621"/>
      <c r="K486" s="2" t="s">
        <v>12</v>
      </c>
      <c r="L486" s="1" t="str">
        <f t="shared" si="8"/>
        <v>空白</v>
      </c>
      <c r="M486" s="1" t="str">
        <f t="shared" si="8"/>
        <v>對</v>
      </c>
      <c r="N486" s="1" t="str">
        <f t="shared" si="8"/>
        <v>對</v>
      </c>
    </row>
    <row r="487" spans="1:14">
      <c r="A487" s="573"/>
      <c r="B487" s="576"/>
      <c r="C487" s="25" t="s">
        <v>688</v>
      </c>
      <c r="D487" s="310" t="s">
        <v>2354</v>
      </c>
      <c r="E487" s="29">
        <v>3</v>
      </c>
      <c r="F487" s="30"/>
      <c r="G487" s="69"/>
      <c r="H487" s="32"/>
      <c r="I487" s="28"/>
      <c r="L487" s="1" t="str">
        <f t="shared" si="8"/>
        <v>空白</v>
      </c>
      <c r="M487" s="1" t="str">
        <f t="shared" si="8"/>
        <v>空白</v>
      </c>
      <c r="N487" s="1" t="str">
        <f t="shared" si="8"/>
        <v>空白</v>
      </c>
    </row>
    <row r="488" spans="1:14">
      <c r="A488" s="573"/>
      <c r="B488" s="576"/>
      <c r="C488" s="25" t="s">
        <v>689</v>
      </c>
      <c r="D488" s="310" t="s">
        <v>2435</v>
      </c>
      <c r="E488" s="29">
        <v>4</v>
      </c>
      <c r="F488" s="30"/>
      <c r="G488" s="26"/>
      <c r="H488" s="27"/>
      <c r="I488" s="28"/>
      <c r="L488" s="1" t="str">
        <f t="shared" si="8"/>
        <v>空白</v>
      </c>
      <c r="M488" s="1" t="str">
        <f t="shared" si="8"/>
        <v>空白</v>
      </c>
      <c r="N488" s="1" t="str">
        <f t="shared" si="8"/>
        <v>空白</v>
      </c>
    </row>
    <row r="489" spans="1:14">
      <c r="A489" s="573"/>
      <c r="B489" s="576"/>
      <c r="C489" s="25" t="s">
        <v>690</v>
      </c>
      <c r="D489" s="310" t="s">
        <v>2436</v>
      </c>
      <c r="E489" s="16">
        <v>6</v>
      </c>
      <c r="F489" s="9"/>
      <c r="G489" s="26"/>
      <c r="H489" s="27"/>
      <c r="I489" s="28"/>
      <c r="L489" s="1" t="str">
        <f t="shared" si="8"/>
        <v>空白</v>
      </c>
      <c r="M489" s="1" t="str">
        <f t="shared" si="8"/>
        <v>空白</v>
      </c>
      <c r="N489" s="1" t="str">
        <f t="shared" si="8"/>
        <v>空白</v>
      </c>
    </row>
    <row r="490" spans="1:14">
      <c r="A490" s="573"/>
      <c r="B490" s="576"/>
      <c r="C490" s="25" t="s">
        <v>691</v>
      </c>
      <c r="D490" s="308" t="s">
        <v>2437</v>
      </c>
      <c r="E490" s="16">
        <v>4</v>
      </c>
      <c r="F490" s="9"/>
      <c r="G490" s="26"/>
      <c r="H490" s="27"/>
      <c r="I490" s="28"/>
      <c r="L490" s="1" t="str">
        <f t="shared" si="8"/>
        <v>空白</v>
      </c>
      <c r="M490" s="1" t="str">
        <f t="shared" si="8"/>
        <v>空白</v>
      </c>
      <c r="N490" s="1" t="str">
        <f t="shared" si="8"/>
        <v>空白</v>
      </c>
    </row>
    <row r="491" spans="1:14" ht="19.5">
      <c r="A491" s="573"/>
      <c r="B491" s="576"/>
      <c r="C491" s="25" t="s">
        <v>692</v>
      </c>
      <c r="D491" s="308" t="s">
        <v>2982</v>
      </c>
      <c r="E491" s="16">
        <v>1</v>
      </c>
      <c r="F491" s="9"/>
      <c r="G491" s="92" t="s">
        <v>693</v>
      </c>
      <c r="H491" s="73">
        <v>1</v>
      </c>
      <c r="I491" s="620" t="s">
        <v>608</v>
      </c>
      <c r="K491" s="2" t="s">
        <v>12</v>
      </c>
      <c r="L491" s="1" t="str">
        <f t="shared" si="8"/>
        <v>空白</v>
      </c>
      <c r="M491" s="1" t="str">
        <f t="shared" si="8"/>
        <v>對</v>
      </c>
      <c r="N491" s="1" t="str">
        <f t="shared" si="8"/>
        <v>對</v>
      </c>
    </row>
    <row r="492" spans="1:14" ht="39">
      <c r="A492" s="573"/>
      <c r="B492" s="576"/>
      <c r="C492" s="25" t="s">
        <v>694</v>
      </c>
      <c r="D492" s="308" t="s">
        <v>2983</v>
      </c>
      <c r="E492" s="29">
        <v>2</v>
      </c>
      <c r="F492" s="30"/>
      <c r="G492" s="92" t="s">
        <v>695</v>
      </c>
      <c r="H492" s="32">
        <v>2</v>
      </c>
      <c r="I492" s="624"/>
      <c r="K492" s="2" t="s">
        <v>12</v>
      </c>
      <c r="L492" s="1" t="str">
        <f t="shared" si="8"/>
        <v>空白</v>
      </c>
      <c r="M492" s="1" t="str">
        <f t="shared" si="8"/>
        <v>對</v>
      </c>
      <c r="N492" s="1" t="str">
        <f t="shared" si="8"/>
        <v>對</v>
      </c>
    </row>
    <row r="493" spans="1:14" ht="19.5">
      <c r="A493" s="573"/>
      <c r="B493" s="576"/>
      <c r="C493" s="155" t="s">
        <v>696</v>
      </c>
      <c r="D493" s="308" t="s">
        <v>2984</v>
      </c>
      <c r="E493" s="16">
        <v>2</v>
      </c>
      <c r="F493" s="9"/>
      <c r="G493" s="92" t="s">
        <v>697</v>
      </c>
      <c r="H493" s="73">
        <v>2</v>
      </c>
      <c r="I493" s="621"/>
      <c r="K493" s="2" t="s">
        <v>12</v>
      </c>
      <c r="L493" s="1" t="str">
        <f t="shared" si="8"/>
        <v>空白</v>
      </c>
      <c r="M493" s="1" t="str">
        <f t="shared" si="8"/>
        <v>對</v>
      </c>
      <c r="N493" s="1" t="str">
        <f t="shared" si="8"/>
        <v>對</v>
      </c>
    </row>
    <row r="494" spans="1:14">
      <c r="A494" s="573"/>
      <c r="B494" s="576"/>
      <c r="C494" s="25" t="s">
        <v>698</v>
      </c>
      <c r="D494" s="308" t="s">
        <v>2438</v>
      </c>
      <c r="E494" s="16">
        <v>3</v>
      </c>
      <c r="F494" s="9"/>
      <c r="G494" s="92"/>
      <c r="H494" s="73"/>
      <c r="I494" s="28"/>
      <c r="L494" s="1" t="str">
        <f t="shared" si="8"/>
        <v>空白</v>
      </c>
      <c r="M494" s="1" t="str">
        <f t="shared" si="8"/>
        <v>空白</v>
      </c>
      <c r="N494" s="1" t="str">
        <f t="shared" si="8"/>
        <v>空白</v>
      </c>
    </row>
    <row r="495" spans="1:14">
      <c r="A495" s="573"/>
      <c r="B495" s="576"/>
      <c r="C495" s="25" t="s">
        <v>699</v>
      </c>
      <c r="D495" s="308" t="s">
        <v>2439</v>
      </c>
      <c r="E495" s="16">
        <v>4</v>
      </c>
      <c r="F495" s="9"/>
      <c r="G495" s="26"/>
      <c r="H495" s="27"/>
      <c r="I495" s="28"/>
      <c r="L495" s="1" t="str">
        <f t="shared" si="8"/>
        <v>空白</v>
      </c>
      <c r="M495" s="1" t="str">
        <f t="shared" si="8"/>
        <v>空白</v>
      </c>
      <c r="N495" s="1" t="str">
        <f t="shared" si="8"/>
        <v>空白</v>
      </c>
    </row>
    <row r="496" spans="1:14">
      <c r="A496" s="573"/>
      <c r="B496" s="576"/>
      <c r="C496" s="25" t="s">
        <v>700</v>
      </c>
      <c r="D496" s="308" t="s">
        <v>2440</v>
      </c>
      <c r="E496" s="16">
        <v>4</v>
      </c>
      <c r="F496" s="9"/>
      <c r="G496" s="26"/>
      <c r="H496" s="156"/>
      <c r="I496" s="28"/>
      <c r="L496" s="1" t="str">
        <f t="shared" si="8"/>
        <v>空白</v>
      </c>
      <c r="M496" s="1" t="str">
        <f t="shared" si="8"/>
        <v>空白</v>
      </c>
      <c r="N496" s="1" t="str">
        <f t="shared" si="8"/>
        <v>空白</v>
      </c>
    </row>
    <row r="497" spans="1:14" ht="39">
      <c r="A497" s="573"/>
      <c r="B497" s="576"/>
      <c r="C497" s="25" t="s">
        <v>701</v>
      </c>
      <c r="D497" s="308" t="s">
        <v>2441</v>
      </c>
      <c r="E497" s="16">
        <v>2</v>
      </c>
      <c r="F497" s="9"/>
      <c r="G497" s="157" t="s">
        <v>702</v>
      </c>
      <c r="H497" s="112">
        <v>2</v>
      </c>
      <c r="I497" s="158" t="s">
        <v>703</v>
      </c>
      <c r="K497" s="2" t="s">
        <v>14</v>
      </c>
      <c r="L497" s="1" t="str">
        <f t="shared" si="8"/>
        <v>空白</v>
      </c>
      <c r="M497" s="1" t="str">
        <f t="shared" si="8"/>
        <v>對</v>
      </c>
      <c r="N497" s="1" t="str">
        <f t="shared" si="8"/>
        <v>對</v>
      </c>
    </row>
    <row r="498" spans="1:14">
      <c r="A498" s="573"/>
      <c r="B498" s="576"/>
      <c r="C498" s="25" t="s">
        <v>704</v>
      </c>
      <c r="D498" s="308" t="s">
        <v>2442</v>
      </c>
      <c r="E498" s="16">
        <v>5</v>
      </c>
      <c r="F498" s="9"/>
      <c r="G498" s="92"/>
      <c r="H498" s="156"/>
      <c r="I498" s="28"/>
      <c r="L498" s="1" t="str">
        <f t="shared" si="8"/>
        <v>空白</v>
      </c>
      <c r="M498" s="1" t="str">
        <f t="shared" si="8"/>
        <v>空白</v>
      </c>
      <c r="N498" s="1" t="str">
        <f t="shared" si="8"/>
        <v>空白</v>
      </c>
    </row>
    <row r="499" spans="1:14">
      <c r="A499" s="573"/>
      <c r="B499" s="576"/>
      <c r="C499" s="25" t="s">
        <v>705</v>
      </c>
      <c r="D499" s="343" t="s">
        <v>2443</v>
      </c>
      <c r="E499" s="16">
        <v>4</v>
      </c>
      <c r="F499" s="9"/>
      <c r="G499" s="26"/>
      <c r="H499" s="27"/>
      <c r="I499" s="28"/>
      <c r="L499" s="1" t="str">
        <f t="shared" si="8"/>
        <v>空白</v>
      </c>
      <c r="M499" s="1" t="str">
        <f t="shared" si="8"/>
        <v>空白</v>
      </c>
      <c r="N499" s="1" t="str">
        <f t="shared" si="8"/>
        <v>空白</v>
      </c>
    </row>
    <row r="500" spans="1:14" ht="39">
      <c r="A500" s="573"/>
      <c r="B500" s="576"/>
      <c r="C500" s="22" t="s">
        <v>2985</v>
      </c>
      <c r="D500" s="438" t="s">
        <v>2939</v>
      </c>
      <c r="E500" s="16">
        <v>1</v>
      </c>
      <c r="F500" s="9" t="s">
        <v>706</v>
      </c>
      <c r="G500" s="111" t="s">
        <v>532</v>
      </c>
      <c r="H500" s="112">
        <v>1</v>
      </c>
      <c r="I500" s="104" t="s">
        <v>707</v>
      </c>
      <c r="K500" s="2" t="s">
        <v>242</v>
      </c>
      <c r="L500" s="1" t="str">
        <f t="shared" si="8"/>
        <v>對</v>
      </c>
      <c r="M500" s="1" t="str">
        <f t="shared" si="8"/>
        <v>對</v>
      </c>
      <c r="N500" s="1" t="str">
        <f t="shared" si="8"/>
        <v>對</v>
      </c>
    </row>
    <row r="501" spans="1:14" ht="39">
      <c r="A501" s="573"/>
      <c r="B501" s="576"/>
      <c r="C501" s="22" t="s">
        <v>2986</v>
      </c>
      <c r="D501" s="438" t="s">
        <v>2955</v>
      </c>
      <c r="E501" s="16">
        <v>2</v>
      </c>
      <c r="F501" s="9" t="s">
        <v>708</v>
      </c>
      <c r="G501" s="111" t="s">
        <v>583</v>
      </c>
      <c r="H501" s="112">
        <v>2</v>
      </c>
      <c r="I501" s="104" t="s">
        <v>709</v>
      </c>
      <c r="K501" s="2" t="s">
        <v>242</v>
      </c>
      <c r="L501" s="1" t="str">
        <f t="shared" si="8"/>
        <v>對</v>
      </c>
      <c r="M501" s="1" t="str">
        <f t="shared" si="8"/>
        <v>對</v>
      </c>
      <c r="N501" s="1" t="str">
        <f t="shared" si="8"/>
        <v>對</v>
      </c>
    </row>
    <row r="502" spans="1:14" ht="58.5">
      <c r="A502" s="573"/>
      <c r="B502" s="581"/>
      <c r="C502" s="22" t="s">
        <v>2987</v>
      </c>
      <c r="D502" s="439" t="s">
        <v>2988</v>
      </c>
      <c r="E502" s="52">
        <v>1</v>
      </c>
      <c r="F502" s="36" t="s">
        <v>710</v>
      </c>
      <c r="G502" s="153" t="s">
        <v>711</v>
      </c>
      <c r="H502" s="113">
        <v>1</v>
      </c>
      <c r="I502" s="55" t="s">
        <v>712</v>
      </c>
      <c r="K502" s="2" t="s">
        <v>242</v>
      </c>
      <c r="L502" s="1" t="str">
        <f t="shared" si="8"/>
        <v>對</v>
      </c>
      <c r="M502" s="1" t="str">
        <f t="shared" si="8"/>
        <v>對</v>
      </c>
      <c r="N502" s="1" t="str">
        <f t="shared" si="8"/>
        <v>對</v>
      </c>
    </row>
    <row r="503" spans="1:14" ht="19.5">
      <c r="A503" s="573"/>
      <c r="B503" s="580" t="s">
        <v>713</v>
      </c>
      <c r="C503" s="71" t="s">
        <v>714</v>
      </c>
      <c r="D503" s="313" t="s">
        <v>2989</v>
      </c>
      <c r="E503" s="48">
        <v>2</v>
      </c>
      <c r="F503" s="42"/>
      <c r="G503" s="125" t="s">
        <v>715</v>
      </c>
      <c r="H503" s="126">
        <v>2</v>
      </c>
      <c r="I503" s="618" t="s">
        <v>608</v>
      </c>
      <c r="K503" s="2" t="s">
        <v>12</v>
      </c>
      <c r="L503" s="1" t="str">
        <f t="shared" si="8"/>
        <v>空白</v>
      </c>
      <c r="M503" s="1" t="str">
        <f t="shared" si="8"/>
        <v>對</v>
      </c>
      <c r="N503" s="1" t="str">
        <f t="shared" si="8"/>
        <v>對</v>
      </c>
    </row>
    <row r="504" spans="1:14" ht="19.5">
      <c r="A504" s="573"/>
      <c r="B504" s="576"/>
      <c r="C504" s="25" t="s">
        <v>716</v>
      </c>
      <c r="D504" s="310" t="s">
        <v>2990</v>
      </c>
      <c r="E504" s="16">
        <v>2</v>
      </c>
      <c r="F504" s="9"/>
      <c r="G504" s="69" t="s">
        <v>717</v>
      </c>
      <c r="H504" s="73">
        <v>2</v>
      </c>
      <c r="I504" s="621"/>
      <c r="K504" s="2" t="s">
        <v>12</v>
      </c>
      <c r="L504" s="1" t="str">
        <f t="shared" si="8"/>
        <v>空白</v>
      </c>
      <c r="M504" s="1" t="str">
        <f t="shared" si="8"/>
        <v>對</v>
      </c>
      <c r="N504" s="1" t="str">
        <f t="shared" si="8"/>
        <v>對</v>
      </c>
    </row>
    <row r="505" spans="1:14">
      <c r="A505" s="573"/>
      <c r="B505" s="576"/>
      <c r="C505" s="25" t="s">
        <v>718</v>
      </c>
      <c r="D505" s="310" t="s">
        <v>2354</v>
      </c>
      <c r="E505" s="16">
        <v>2</v>
      </c>
      <c r="F505" s="9"/>
      <c r="G505" s="69"/>
      <c r="H505" s="73"/>
      <c r="I505" s="28"/>
      <c r="L505" s="1" t="str">
        <f t="shared" si="8"/>
        <v>空白</v>
      </c>
      <c r="M505" s="1" t="str">
        <f t="shared" si="8"/>
        <v>空白</v>
      </c>
      <c r="N505" s="1" t="str">
        <f t="shared" si="8"/>
        <v>空白</v>
      </c>
    </row>
    <row r="506" spans="1:14">
      <c r="A506" s="573"/>
      <c r="B506" s="576"/>
      <c r="C506" s="25" t="s">
        <v>719</v>
      </c>
      <c r="D506" s="310" t="s">
        <v>2444</v>
      </c>
      <c r="E506" s="16">
        <v>3</v>
      </c>
      <c r="F506" s="9"/>
      <c r="G506" s="26"/>
      <c r="H506" s="27"/>
      <c r="I506" s="28"/>
      <c r="L506" s="1" t="str">
        <f t="shared" si="8"/>
        <v>空白</v>
      </c>
      <c r="M506" s="1" t="str">
        <f t="shared" si="8"/>
        <v>空白</v>
      </c>
      <c r="N506" s="1" t="str">
        <f t="shared" si="8"/>
        <v>空白</v>
      </c>
    </row>
    <row r="507" spans="1:14">
      <c r="A507" s="573"/>
      <c r="B507" s="576"/>
      <c r="C507" s="25" t="s">
        <v>720</v>
      </c>
      <c r="D507" s="314" t="s">
        <v>2445</v>
      </c>
      <c r="E507" s="16">
        <v>3</v>
      </c>
      <c r="F507" s="9"/>
      <c r="G507" s="26"/>
      <c r="H507" s="27"/>
      <c r="I507" s="28"/>
      <c r="L507" s="1" t="str">
        <f t="shared" si="8"/>
        <v>空白</v>
      </c>
      <c r="M507" s="1" t="str">
        <f t="shared" si="8"/>
        <v>空白</v>
      </c>
      <c r="N507" s="1" t="str">
        <f t="shared" si="8"/>
        <v>空白</v>
      </c>
    </row>
    <row r="508" spans="1:14">
      <c r="A508" s="573"/>
      <c r="B508" s="576"/>
      <c r="C508" s="25" t="s">
        <v>721</v>
      </c>
      <c r="D508" s="314" t="s">
        <v>2446</v>
      </c>
      <c r="E508" s="16">
        <v>4</v>
      </c>
      <c r="F508" s="9"/>
      <c r="G508" s="26"/>
      <c r="H508" s="27"/>
      <c r="I508" s="28"/>
      <c r="L508" s="1" t="str">
        <f t="shared" si="8"/>
        <v>空白</v>
      </c>
      <c r="M508" s="1" t="str">
        <f t="shared" si="8"/>
        <v>空白</v>
      </c>
      <c r="N508" s="1" t="str">
        <f t="shared" si="8"/>
        <v>空白</v>
      </c>
    </row>
    <row r="509" spans="1:14" ht="19.5">
      <c r="A509" s="573"/>
      <c r="B509" s="576"/>
      <c r="C509" s="25" t="s">
        <v>722</v>
      </c>
      <c r="D509" s="310" t="s">
        <v>2991</v>
      </c>
      <c r="E509" s="16">
        <v>1</v>
      </c>
      <c r="F509" s="9"/>
      <c r="G509" s="69" t="s">
        <v>723</v>
      </c>
      <c r="H509" s="73">
        <v>1</v>
      </c>
      <c r="I509" s="620" t="s">
        <v>608</v>
      </c>
      <c r="K509" s="2" t="s">
        <v>12</v>
      </c>
      <c r="L509" s="1" t="str">
        <f t="shared" si="8"/>
        <v>空白</v>
      </c>
      <c r="M509" s="1" t="str">
        <f t="shared" si="8"/>
        <v>對</v>
      </c>
      <c r="N509" s="1" t="str">
        <f t="shared" si="8"/>
        <v>對</v>
      </c>
    </row>
    <row r="510" spans="1:14" ht="39">
      <c r="A510" s="573"/>
      <c r="B510" s="576"/>
      <c r="C510" s="25" t="s">
        <v>724</v>
      </c>
      <c r="D510" s="310" t="s">
        <v>2992</v>
      </c>
      <c r="E510" s="29">
        <v>2</v>
      </c>
      <c r="F510" s="30"/>
      <c r="G510" s="69" t="s">
        <v>725</v>
      </c>
      <c r="H510" s="32">
        <v>2</v>
      </c>
      <c r="I510" s="624"/>
      <c r="K510" s="2" t="s">
        <v>12</v>
      </c>
      <c r="L510" s="1" t="str">
        <f t="shared" si="8"/>
        <v>空白</v>
      </c>
      <c r="M510" s="1" t="str">
        <f t="shared" si="8"/>
        <v>對</v>
      </c>
      <c r="N510" s="1" t="str">
        <f t="shared" si="8"/>
        <v>對</v>
      </c>
    </row>
    <row r="511" spans="1:14" ht="19.5">
      <c r="A511" s="573"/>
      <c r="B511" s="576"/>
      <c r="C511" s="155" t="s">
        <v>726</v>
      </c>
      <c r="D511" s="310" t="s">
        <v>2993</v>
      </c>
      <c r="E511" s="16">
        <v>2</v>
      </c>
      <c r="F511" s="9"/>
      <c r="G511" s="69" t="s">
        <v>727</v>
      </c>
      <c r="H511" s="73">
        <v>2</v>
      </c>
      <c r="I511" s="621"/>
      <c r="K511" s="2" t="s">
        <v>12</v>
      </c>
      <c r="L511" s="1" t="str">
        <f t="shared" si="8"/>
        <v>空白</v>
      </c>
      <c r="M511" s="1" t="str">
        <f t="shared" si="8"/>
        <v>對</v>
      </c>
      <c r="N511" s="1" t="str">
        <f t="shared" si="8"/>
        <v>對</v>
      </c>
    </row>
    <row r="512" spans="1:14">
      <c r="A512" s="573"/>
      <c r="B512" s="576"/>
      <c r="C512" s="25" t="s">
        <v>728</v>
      </c>
      <c r="D512" s="308" t="s">
        <v>2447</v>
      </c>
      <c r="E512" s="16">
        <v>3</v>
      </c>
      <c r="F512" s="9"/>
      <c r="G512" s="69"/>
      <c r="H512" s="73"/>
      <c r="I512" s="28"/>
      <c r="L512" s="1" t="str">
        <f t="shared" si="8"/>
        <v>空白</v>
      </c>
      <c r="M512" s="1" t="str">
        <f t="shared" si="8"/>
        <v>空白</v>
      </c>
      <c r="N512" s="1" t="str">
        <f t="shared" si="8"/>
        <v>空白</v>
      </c>
    </row>
    <row r="513" spans="1:14">
      <c r="A513" s="573"/>
      <c r="B513" s="576"/>
      <c r="C513" s="25" t="s">
        <v>729</v>
      </c>
      <c r="D513" s="308" t="s">
        <v>2448</v>
      </c>
      <c r="E513" s="16">
        <v>3</v>
      </c>
      <c r="F513" s="9"/>
      <c r="G513" s="26"/>
      <c r="H513" s="27"/>
      <c r="I513" s="28"/>
      <c r="L513" s="1" t="str">
        <f t="shared" si="8"/>
        <v>空白</v>
      </c>
      <c r="M513" s="1" t="str">
        <f t="shared" si="8"/>
        <v>空白</v>
      </c>
      <c r="N513" s="1" t="str">
        <f t="shared" si="8"/>
        <v>空白</v>
      </c>
    </row>
    <row r="514" spans="1:14">
      <c r="A514" s="573"/>
      <c r="B514" s="576"/>
      <c r="C514" s="25" t="s">
        <v>730</v>
      </c>
      <c r="D514" s="310" t="s">
        <v>2449</v>
      </c>
      <c r="E514" s="16">
        <v>3</v>
      </c>
      <c r="F514" s="9"/>
      <c r="G514" s="26"/>
      <c r="H514" s="27"/>
      <c r="I514" s="28"/>
      <c r="L514" s="1" t="str">
        <f t="shared" si="8"/>
        <v>空白</v>
      </c>
      <c r="M514" s="1" t="str">
        <f t="shared" si="8"/>
        <v>空白</v>
      </c>
      <c r="N514" s="1" t="str">
        <f t="shared" si="8"/>
        <v>空白</v>
      </c>
    </row>
    <row r="515" spans="1:14">
      <c r="A515" s="573"/>
      <c r="B515" s="576"/>
      <c r="C515" s="132" t="s">
        <v>731</v>
      </c>
      <c r="D515" s="314" t="s">
        <v>2450</v>
      </c>
      <c r="E515" s="16">
        <v>3</v>
      </c>
      <c r="F515" s="9"/>
      <c r="G515" s="26"/>
      <c r="H515" s="73"/>
      <c r="I515" s="28"/>
      <c r="L515" s="1" t="str">
        <f t="shared" si="8"/>
        <v>空白</v>
      </c>
      <c r="M515" s="1" t="str">
        <f t="shared" si="8"/>
        <v>空白</v>
      </c>
      <c r="N515" s="1" t="str">
        <f t="shared" si="8"/>
        <v>空白</v>
      </c>
    </row>
    <row r="516" spans="1:14">
      <c r="A516" s="573"/>
      <c r="B516" s="576"/>
      <c r="C516" s="51" t="s">
        <v>732</v>
      </c>
      <c r="D516" s="345" t="s">
        <v>2451</v>
      </c>
      <c r="E516" s="16">
        <v>4</v>
      </c>
      <c r="F516" s="9"/>
      <c r="G516" s="26"/>
      <c r="H516" s="73"/>
      <c r="I516" s="28"/>
      <c r="L516" s="1" t="str">
        <f t="shared" si="8"/>
        <v>空白</v>
      </c>
      <c r="M516" s="1" t="str">
        <f t="shared" si="8"/>
        <v>空白</v>
      </c>
      <c r="N516" s="1" t="str">
        <f t="shared" si="8"/>
        <v>空白</v>
      </c>
    </row>
    <row r="517" spans="1:14" ht="39">
      <c r="A517" s="573"/>
      <c r="B517" s="576"/>
      <c r="C517" s="97" t="s">
        <v>2994</v>
      </c>
      <c r="D517" s="396" t="s">
        <v>2939</v>
      </c>
      <c r="E517" s="48">
        <v>1</v>
      </c>
      <c r="F517" s="9" t="s">
        <v>733</v>
      </c>
      <c r="G517" s="111" t="s">
        <v>532</v>
      </c>
      <c r="H517" s="112">
        <v>1</v>
      </c>
      <c r="I517" s="104" t="s">
        <v>734</v>
      </c>
      <c r="K517" s="2" t="s">
        <v>242</v>
      </c>
      <c r="L517" s="1" t="str">
        <f t="shared" si="8"/>
        <v>對</v>
      </c>
      <c r="M517" s="1" t="str">
        <f t="shared" si="8"/>
        <v>對</v>
      </c>
      <c r="N517" s="1" t="str">
        <f t="shared" si="8"/>
        <v>對</v>
      </c>
    </row>
    <row r="518" spans="1:14" ht="39">
      <c r="A518" s="573"/>
      <c r="B518" s="581"/>
      <c r="C518" s="143" t="s">
        <v>2995</v>
      </c>
      <c r="D518" s="440" t="s">
        <v>2955</v>
      </c>
      <c r="E518" s="48">
        <v>2</v>
      </c>
      <c r="F518" s="36" t="s">
        <v>735</v>
      </c>
      <c r="G518" s="37" t="s">
        <v>583</v>
      </c>
      <c r="H518" s="113">
        <v>2</v>
      </c>
      <c r="I518" s="39" t="s">
        <v>736</v>
      </c>
      <c r="K518" s="2" t="s">
        <v>242</v>
      </c>
      <c r="L518" s="1" t="str">
        <f t="shared" ref="L518:N581" si="9">IF(ISBLANK(F518),"空白",IF(F518=C518,"對","錯"))</f>
        <v>對</v>
      </c>
      <c r="M518" s="1" t="str">
        <f t="shared" si="9"/>
        <v>對</v>
      </c>
      <c r="N518" s="1" t="str">
        <f t="shared" si="9"/>
        <v>對</v>
      </c>
    </row>
    <row r="519" spans="1:14" ht="19.5">
      <c r="A519" s="573"/>
      <c r="B519" s="580" t="s">
        <v>737</v>
      </c>
      <c r="C519" s="22" t="s">
        <v>738</v>
      </c>
      <c r="D519" s="313" t="s">
        <v>2996</v>
      </c>
      <c r="E519" s="82">
        <v>2</v>
      </c>
      <c r="F519" s="85"/>
      <c r="G519" s="125" t="s">
        <v>739</v>
      </c>
      <c r="H519" s="154">
        <v>2</v>
      </c>
      <c r="I519" s="304"/>
      <c r="K519" s="2" t="s">
        <v>12</v>
      </c>
      <c r="L519" s="1" t="str">
        <f t="shared" si="9"/>
        <v>空白</v>
      </c>
      <c r="M519" s="1" t="str">
        <f t="shared" si="9"/>
        <v>對</v>
      </c>
      <c r="N519" s="1" t="str">
        <f t="shared" si="9"/>
        <v>對</v>
      </c>
    </row>
    <row r="520" spans="1:14" ht="19.5">
      <c r="A520" s="573"/>
      <c r="B520" s="576"/>
      <c r="C520" s="25" t="s">
        <v>740</v>
      </c>
      <c r="D520" s="310" t="s">
        <v>2997</v>
      </c>
      <c r="E520" s="29">
        <v>2</v>
      </c>
      <c r="F520" s="30"/>
      <c r="G520" s="69" t="s">
        <v>741</v>
      </c>
      <c r="H520" s="32">
        <v>2</v>
      </c>
      <c r="I520" s="28"/>
      <c r="K520" s="2" t="s">
        <v>12</v>
      </c>
      <c r="L520" s="1" t="str">
        <f t="shared" si="9"/>
        <v>空白</v>
      </c>
      <c r="M520" s="1" t="str">
        <f t="shared" si="9"/>
        <v>對</v>
      </c>
      <c r="N520" s="1" t="str">
        <f t="shared" si="9"/>
        <v>對</v>
      </c>
    </row>
    <row r="521" spans="1:14">
      <c r="A521" s="573"/>
      <c r="B521" s="576"/>
      <c r="C521" s="25" t="s">
        <v>742</v>
      </c>
      <c r="D521" s="310" t="s">
        <v>2354</v>
      </c>
      <c r="E521" s="29">
        <v>3</v>
      </c>
      <c r="F521" s="30"/>
      <c r="G521" s="69"/>
      <c r="H521" s="32"/>
      <c r="I521" s="28"/>
      <c r="L521" s="1" t="str">
        <f t="shared" si="9"/>
        <v>空白</v>
      </c>
      <c r="M521" s="1" t="str">
        <f t="shared" si="9"/>
        <v>空白</v>
      </c>
      <c r="N521" s="1" t="str">
        <f t="shared" si="9"/>
        <v>空白</v>
      </c>
    </row>
    <row r="522" spans="1:14">
      <c r="A522" s="573"/>
      <c r="B522" s="576"/>
      <c r="C522" s="25" t="s">
        <v>743</v>
      </c>
      <c r="D522" s="310" t="s">
        <v>2363</v>
      </c>
      <c r="E522" s="29">
        <v>4</v>
      </c>
      <c r="F522" s="30"/>
      <c r="G522" s="26"/>
      <c r="H522" s="27"/>
      <c r="I522" s="28"/>
      <c r="L522" s="1" t="str">
        <f t="shared" si="9"/>
        <v>空白</v>
      </c>
      <c r="M522" s="1" t="str">
        <f t="shared" si="9"/>
        <v>空白</v>
      </c>
      <c r="N522" s="1" t="str">
        <f t="shared" si="9"/>
        <v>空白</v>
      </c>
    </row>
    <row r="523" spans="1:14">
      <c r="A523" s="573"/>
      <c r="B523" s="576"/>
      <c r="C523" s="25" t="s">
        <v>744</v>
      </c>
      <c r="D523" s="310" t="s">
        <v>2452</v>
      </c>
      <c r="E523" s="29">
        <v>5</v>
      </c>
      <c r="F523" s="30"/>
      <c r="G523" s="26"/>
      <c r="H523" s="27"/>
      <c r="I523" s="28"/>
      <c r="L523" s="1" t="str">
        <f t="shared" si="9"/>
        <v>空白</v>
      </c>
      <c r="M523" s="1" t="str">
        <f t="shared" si="9"/>
        <v>空白</v>
      </c>
      <c r="N523" s="1" t="str">
        <f t="shared" si="9"/>
        <v>空白</v>
      </c>
    </row>
    <row r="524" spans="1:14" ht="19.5">
      <c r="A524" s="573"/>
      <c r="B524" s="576"/>
      <c r="C524" s="25" t="s">
        <v>745</v>
      </c>
      <c r="D524" s="308" t="s">
        <v>2453</v>
      </c>
      <c r="E524" s="29" t="s">
        <v>746</v>
      </c>
      <c r="F524" s="30"/>
      <c r="G524" s="26"/>
      <c r="H524" s="27"/>
      <c r="I524" s="28"/>
      <c r="L524" s="1" t="str">
        <f t="shared" si="9"/>
        <v>空白</v>
      </c>
      <c r="M524" s="1" t="str">
        <f t="shared" si="9"/>
        <v>空白</v>
      </c>
      <c r="N524" s="1" t="str">
        <f t="shared" si="9"/>
        <v>空白</v>
      </c>
    </row>
    <row r="525" spans="1:14">
      <c r="A525" s="573"/>
      <c r="B525" s="576"/>
      <c r="C525" s="34" t="s">
        <v>747</v>
      </c>
      <c r="D525" s="343" t="s">
        <v>2454</v>
      </c>
      <c r="E525" s="16">
        <v>2</v>
      </c>
      <c r="F525" s="9"/>
      <c r="G525" s="26"/>
      <c r="H525" s="27"/>
      <c r="I525" s="28"/>
      <c r="L525" s="1" t="str">
        <f t="shared" si="9"/>
        <v>空白</v>
      </c>
      <c r="M525" s="1" t="str">
        <f t="shared" si="9"/>
        <v>空白</v>
      </c>
      <c r="N525" s="1" t="str">
        <f t="shared" si="9"/>
        <v>空白</v>
      </c>
    </row>
    <row r="526" spans="1:14" ht="19.5">
      <c r="A526" s="573"/>
      <c r="B526" s="576"/>
      <c r="C526" s="35" t="s">
        <v>2998</v>
      </c>
      <c r="D526" s="396" t="s">
        <v>2999</v>
      </c>
      <c r="E526" s="16">
        <v>1</v>
      </c>
      <c r="F526" s="9" t="s">
        <v>748</v>
      </c>
      <c r="G526" s="110" t="s">
        <v>749</v>
      </c>
      <c r="H526" s="112">
        <v>1</v>
      </c>
      <c r="I526" s="620" t="s">
        <v>750</v>
      </c>
      <c r="K526" s="2" t="s">
        <v>242</v>
      </c>
      <c r="L526" s="1" t="str">
        <f t="shared" si="9"/>
        <v>對</v>
      </c>
      <c r="M526" s="1" t="str">
        <f t="shared" si="9"/>
        <v>對</v>
      </c>
      <c r="N526" s="1" t="str">
        <f t="shared" si="9"/>
        <v>對</v>
      </c>
    </row>
    <row r="527" spans="1:14" ht="39">
      <c r="A527" s="573"/>
      <c r="B527" s="581"/>
      <c r="C527" s="143" t="s">
        <v>3000</v>
      </c>
      <c r="D527" s="397" t="s">
        <v>3001</v>
      </c>
      <c r="E527" s="118">
        <v>2</v>
      </c>
      <c r="F527" s="36" t="s">
        <v>751</v>
      </c>
      <c r="G527" s="44" t="s">
        <v>752</v>
      </c>
      <c r="H527" s="113">
        <v>2</v>
      </c>
      <c r="I527" s="619"/>
      <c r="K527" s="2" t="s">
        <v>242</v>
      </c>
      <c r="L527" s="1" t="str">
        <f t="shared" si="9"/>
        <v>對</v>
      </c>
      <c r="M527" s="1" t="str">
        <f t="shared" si="9"/>
        <v>對</v>
      </c>
      <c r="N527" s="1" t="str">
        <f t="shared" si="9"/>
        <v>對</v>
      </c>
    </row>
    <row r="528" spans="1:14" ht="19.5">
      <c r="A528" s="573"/>
      <c r="B528" s="580" t="s">
        <v>753</v>
      </c>
      <c r="C528" s="22" t="s">
        <v>754</v>
      </c>
      <c r="D528" s="313" t="s">
        <v>3002</v>
      </c>
      <c r="E528" s="159">
        <v>2</v>
      </c>
      <c r="F528" s="85"/>
      <c r="G528" s="125" t="s">
        <v>755</v>
      </c>
      <c r="H528" s="154">
        <v>2</v>
      </c>
      <c r="I528" s="627" t="s">
        <v>756</v>
      </c>
      <c r="K528" s="2" t="s">
        <v>12</v>
      </c>
      <c r="L528" s="1" t="str">
        <f t="shared" si="9"/>
        <v>空白</v>
      </c>
      <c r="M528" s="1" t="str">
        <f t="shared" si="9"/>
        <v>對</v>
      </c>
      <c r="N528" s="1" t="str">
        <f t="shared" si="9"/>
        <v>對</v>
      </c>
    </row>
    <row r="529" spans="1:14" ht="19.5">
      <c r="A529" s="573"/>
      <c r="B529" s="576"/>
      <c r="C529" s="25" t="s">
        <v>757</v>
      </c>
      <c r="D529" s="310" t="s">
        <v>3003</v>
      </c>
      <c r="E529" s="29">
        <v>2</v>
      </c>
      <c r="F529" s="30"/>
      <c r="G529" s="69" t="s">
        <v>758</v>
      </c>
      <c r="H529" s="32">
        <v>2</v>
      </c>
      <c r="I529" s="626"/>
      <c r="K529" s="2" t="s">
        <v>12</v>
      </c>
      <c r="L529" s="1" t="str">
        <f t="shared" si="9"/>
        <v>空白</v>
      </c>
      <c r="M529" s="1" t="str">
        <f t="shared" si="9"/>
        <v>對</v>
      </c>
      <c r="N529" s="1" t="str">
        <f t="shared" si="9"/>
        <v>對</v>
      </c>
    </row>
    <row r="530" spans="1:14">
      <c r="A530" s="573"/>
      <c r="B530" s="576"/>
      <c r="C530" s="25" t="s">
        <v>759</v>
      </c>
      <c r="D530" s="310" t="s">
        <v>2455</v>
      </c>
      <c r="E530" s="29">
        <v>3</v>
      </c>
      <c r="F530" s="30"/>
      <c r="G530" s="69"/>
      <c r="H530" s="32"/>
      <c r="I530" s="28"/>
      <c r="L530" s="1" t="str">
        <f t="shared" si="9"/>
        <v>空白</v>
      </c>
      <c r="M530" s="1" t="str">
        <f t="shared" si="9"/>
        <v>空白</v>
      </c>
      <c r="N530" s="1" t="str">
        <f t="shared" si="9"/>
        <v>空白</v>
      </c>
    </row>
    <row r="531" spans="1:14" ht="19.5">
      <c r="A531" s="573"/>
      <c r="B531" s="576"/>
      <c r="C531" s="25" t="s">
        <v>760</v>
      </c>
      <c r="D531" s="310" t="s">
        <v>2456</v>
      </c>
      <c r="E531" s="29" t="s">
        <v>746</v>
      </c>
      <c r="F531" s="30"/>
      <c r="G531" s="26"/>
      <c r="H531" s="27"/>
      <c r="I531" s="28"/>
      <c r="L531" s="1" t="str">
        <f t="shared" si="9"/>
        <v>空白</v>
      </c>
      <c r="M531" s="1" t="str">
        <f t="shared" si="9"/>
        <v>空白</v>
      </c>
      <c r="N531" s="1" t="str">
        <f t="shared" si="9"/>
        <v>空白</v>
      </c>
    </row>
    <row r="532" spans="1:14">
      <c r="A532" s="573"/>
      <c r="B532" s="576"/>
      <c r="C532" s="25" t="s">
        <v>761</v>
      </c>
      <c r="D532" s="310" t="s">
        <v>2457</v>
      </c>
      <c r="E532" s="29">
        <v>3</v>
      </c>
      <c r="F532" s="30"/>
      <c r="G532" s="26"/>
      <c r="H532" s="27"/>
      <c r="I532" s="28"/>
      <c r="L532" s="1" t="str">
        <f t="shared" si="9"/>
        <v>空白</v>
      </c>
      <c r="M532" s="1" t="str">
        <f t="shared" si="9"/>
        <v>空白</v>
      </c>
      <c r="N532" s="1" t="str">
        <f t="shared" si="9"/>
        <v>空白</v>
      </c>
    </row>
    <row r="533" spans="1:14">
      <c r="A533" s="573"/>
      <c r="B533" s="576"/>
      <c r="C533" s="25" t="s">
        <v>762</v>
      </c>
      <c r="D533" s="310" t="s">
        <v>2458</v>
      </c>
      <c r="E533" s="29">
        <v>4</v>
      </c>
      <c r="F533" s="30"/>
      <c r="G533" s="26"/>
      <c r="H533" s="27"/>
      <c r="I533" s="28"/>
      <c r="L533" s="1" t="str">
        <f t="shared" si="9"/>
        <v>空白</v>
      </c>
      <c r="M533" s="1" t="str">
        <f t="shared" si="9"/>
        <v>空白</v>
      </c>
      <c r="N533" s="1" t="str">
        <f t="shared" si="9"/>
        <v>空白</v>
      </c>
    </row>
    <row r="534" spans="1:14">
      <c r="A534" s="573"/>
      <c r="B534" s="576"/>
      <c r="C534" s="25" t="s">
        <v>763</v>
      </c>
      <c r="D534" s="308" t="s">
        <v>2459</v>
      </c>
      <c r="E534" s="16">
        <v>5</v>
      </c>
      <c r="F534" s="9"/>
      <c r="G534" s="18"/>
      <c r="H534" s="27"/>
      <c r="I534" s="28"/>
      <c r="L534" s="1" t="str">
        <f t="shared" si="9"/>
        <v>空白</v>
      </c>
      <c r="M534" s="1" t="str">
        <f t="shared" si="9"/>
        <v>空白</v>
      </c>
      <c r="N534" s="1" t="str">
        <f t="shared" si="9"/>
        <v>空白</v>
      </c>
    </row>
    <row r="535" spans="1:14">
      <c r="A535" s="573"/>
      <c r="B535" s="576"/>
      <c r="C535" s="25" t="s">
        <v>764</v>
      </c>
      <c r="D535" s="308" t="s">
        <v>2460</v>
      </c>
      <c r="E535" s="16">
        <v>2</v>
      </c>
      <c r="F535" s="9"/>
      <c r="G535" s="148"/>
      <c r="H535" s="27"/>
      <c r="I535" s="28"/>
      <c r="L535" s="1" t="str">
        <f t="shared" si="9"/>
        <v>空白</v>
      </c>
      <c r="M535" s="1" t="str">
        <f t="shared" si="9"/>
        <v>空白</v>
      </c>
      <c r="N535" s="1" t="str">
        <f t="shared" si="9"/>
        <v>空白</v>
      </c>
    </row>
    <row r="536" spans="1:14">
      <c r="A536" s="573"/>
      <c r="B536" s="576"/>
      <c r="C536" s="25" t="s">
        <v>765</v>
      </c>
      <c r="D536" s="308" t="s">
        <v>2461</v>
      </c>
      <c r="E536" s="16">
        <v>2</v>
      </c>
      <c r="F536" s="9"/>
      <c r="G536" s="26"/>
      <c r="H536" s="27"/>
      <c r="I536" s="28"/>
      <c r="L536" s="1" t="str">
        <f t="shared" si="9"/>
        <v>空白</v>
      </c>
      <c r="M536" s="1" t="str">
        <f t="shared" si="9"/>
        <v>空白</v>
      </c>
      <c r="N536" s="1" t="str">
        <f t="shared" si="9"/>
        <v>空白</v>
      </c>
    </row>
    <row r="537" spans="1:14">
      <c r="A537" s="573"/>
      <c r="B537" s="576"/>
      <c r="C537" s="25" t="s">
        <v>766</v>
      </c>
      <c r="D537" s="308" t="s">
        <v>2462</v>
      </c>
      <c r="E537" s="16">
        <v>3</v>
      </c>
      <c r="F537" s="9"/>
      <c r="G537" s="26"/>
      <c r="H537" s="27"/>
      <c r="I537" s="28"/>
      <c r="L537" s="1" t="str">
        <f t="shared" si="9"/>
        <v>空白</v>
      </c>
      <c r="M537" s="1" t="str">
        <f t="shared" si="9"/>
        <v>空白</v>
      </c>
      <c r="N537" s="1" t="str">
        <f t="shared" si="9"/>
        <v>空白</v>
      </c>
    </row>
    <row r="538" spans="1:14">
      <c r="A538" s="573"/>
      <c r="B538" s="576"/>
      <c r="C538" s="25" t="s">
        <v>767</v>
      </c>
      <c r="D538" s="308" t="s">
        <v>2463</v>
      </c>
      <c r="E538" s="16">
        <v>3</v>
      </c>
      <c r="F538" s="9"/>
      <c r="G538" s="26"/>
      <c r="H538" s="27"/>
      <c r="I538" s="28"/>
      <c r="L538" s="1" t="str">
        <f t="shared" si="9"/>
        <v>空白</v>
      </c>
      <c r="M538" s="1" t="str">
        <f t="shared" si="9"/>
        <v>空白</v>
      </c>
      <c r="N538" s="1" t="str">
        <f t="shared" si="9"/>
        <v>空白</v>
      </c>
    </row>
    <row r="539" spans="1:14">
      <c r="A539" s="573"/>
      <c r="B539" s="576"/>
      <c r="C539" s="34" t="s">
        <v>768</v>
      </c>
      <c r="D539" s="343" t="s">
        <v>2464</v>
      </c>
      <c r="E539" s="16">
        <v>3</v>
      </c>
      <c r="F539" s="9"/>
      <c r="G539" s="26"/>
      <c r="H539" s="27"/>
      <c r="I539" s="28"/>
      <c r="L539" s="1" t="str">
        <f t="shared" si="9"/>
        <v>空白</v>
      </c>
      <c r="M539" s="1" t="str">
        <f t="shared" si="9"/>
        <v>空白</v>
      </c>
      <c r="N539" s="1" t="str">
        <f t="shared" si="9"/>
        <v>空白</v>
      </c>
    </row>
    <row r="540" spans="1:14" ht="58.5">
      <c r="A540" s="573"/>
      <c r="B540" s="576"/>
      <c r="C540" s="35" t="s">
        <v>3004</v>
      </c>
      <c r="D540" s="396" t="s">
        <v>3005</v>
      </c>
      <c r="E540" s="16">
        <v>2</v>
      </c>
      <c r="F540" s="9" t="s">
        <v>769</v>
      </c>
      <c r="G540" s="111" t="s">
        <v>770</v>
      </c>
      <c r="H540" s="112">
        <v>2</v>
      </c>
      <c r="I540" s="28" t="s">
        <v>771</v>
      </c>
      <c r="K540" s="2" t="s">
        <v>242</v>
      </c>
      <c r="L540" s="1" t="str">
        <f t="shared" si="9"/>
        <v>對</v>
      </c>
      <c r="M540" s="1" t="str">
        <f t="shared" si="9"/>
        <v>對</v>
      </c>
      <c r="N540" s="1" t="str">
        <f t="shared" si="9"/>
        <v>對</v>
      </c>
    </row>
    <row r="541" spans="1:14" ht="39">
      <c r="A541" s="573"/>
      <c r="B541" s="576"/>
      <c r="C541" s="35" t="s">
        <v>3006</v>
      </c>
      <c r="D541" s="396" t="s">
        <v>2939</v>
      </c>
      <c r="E541" s="16">
        <v>1</v>
      </c>
      <c r="F541" s="9" t="s">
        <v>772</v>
      </c>
      <c r="G541" s="111" t="s">
        <v>532</v>
      </c>
      <c r="H541" s="112">
        <v>1</v>
      </c>
      <c r="I541" s="28" t="s">
        <v>773</v>
      </c>
      <c r="K541" s="2" t="s">
        <v>242</v>
      </c>
      <c r="L541" s="1" t="str">
        <f t="shared" si="9"/>
        <v>對</v>
      </c>
      <c r="M541" s="1" t="str">
        <f t="shared" si="9"/>
        <v>對</v>
      </c>
      <c r="N541" s="1" t="str">
        <f t="shared" si="9"/>
        <v>對</v>
      </c>
    </row>
    <row r="542" spans="1:14" ht="39">
      <c r="A542" s="573"/>
      <c r="B542" s="576"/>
      <c r="C542" s="35" t="s">
        <v>3007</v>
      </c>
      <c r="D542" s="396" t="s">
        <v>2955</v>
      </c>
      <c r="E542" s="16">
        <v>2</v>
      </c>
      <c r="F542" s="9" t="s">
        <v>774</v>
      </c>
      <c r="G542" s="111" t="s">
        <v>583</v>
      </c>
      <c r="H542" s="112">
        <v>2</v>
      </c>
      <c r="I542" s="28" t="s">
        <v>775</v>
      </c>
      <c r="K542" s="2" t="s">
        <v>242</v>
      </c>
      <c r="L542" s="1" t="str">
        <f t="shared" si="9"/>
        <v>對</v>
      </c>
      <c r="M542" s="1" t="str">
        <f t="shared" si="9"/>
        <v>對</v>
      </c>
      <c r="N542" s="1" t="str">
        <f t="shared" si="9"/>
        <v>對</v>
      </c>
    </row>
    <row r="543" spans="1:14" ht="58.5">
      <c r="A543" s="573"/>
      <c r="B543" s="576"/>
      <c r="C543" s="35" t="s">
        <v>3008</v>
      </c>
      <c r="D543" s="396" t="s">
        <v>3009</v>
      </c>
      <c r="E543" s="16">
        <v>2</v>
      </c>
      <c r="F543" s="9" t="s">
        <v>776</v>
      </c>
      <c r="G543" s="160" t="s">
        <v>777</v>
      </c>
      <c r="H543" s="112">
        <v>2</v>
      </c>
      <c r="I543" s="28" t="s">
        <v>778</v>
      </c>
      <c r="K543" s="2" t="s">
        <v>242</v>
      </c>
      <c r="L543" s="1" t="str">
        <f t="shared" si="9"/>
        <v>對</v>
      </c>
      <c r="M543" s="1" t="str">
        <f t="shared" si="9"/>
        <v>對</v>
      </c>
      <c r="N543" s="1" t="str">
        <f t="shared" si="9"/>
        <v>對</v>
      </c>
    </row>
    <row r="544" spans="1:14" ht="39">
      <c r="A544" s="573"/>
      <c r="B544" s="581"/>
      <c r="C544" s="143" t="s">
        <v>3010</v>
      </c>
      <c r="D544" s="441" t="s">
        <v>3011</v>
      </c>
      <c r="E544" s="144">
        <v>2</v>
      </c>
      <c r="F544" s="36" t="s">
        <v>779</v>
      </c>
      <c r="G544" s="37" t="s">
        <v>780</v>
      </c>
      <c r="H544" s="113">
        <v>2</v>
      </c>
      <c r="I544" s="55" t="s">
        <v>781</v>
      </c>
      <c r="K544" s="2" t="s">
        <v>242</v>
      </c>
      <c r="L544" s="1" t="str">
        <f t="shared" si="9"/>
        <v>對</v>
      </c>
      <c r="M544" s="1" t="str">
        <f t="shared" si="9"/>
        <v>對</v>
      </c>
      <c r="N544" s="1" t="str">
        <f t="shared" si="9"/>
        <v>對</v>
      </c>
    </row>
    <row r="545" spans="1:14" ht="33">
      <c r="A545" s="573"/>
      <c r="B545" s="580" t="s">
        <v>782</v>
      </c>
      <c r="C545" s="22" t="s">
        <v>783</v>
      </c>
      <c r="D545" s="313" t="s">
        <v>2465</v>
      </c>
      <c r="E545" s="145" t="s">
        <v>746</v>
      </c>
      <c r="F545" s="85"/>
      <c r="G545" s="161"/>
      <c r="H545" s="57"/>
      <c r="I545" s="304"/>
      <c r="L545" s="1" t="str">
        <f t="shared" si="9"/>
        <v>空白</v>
      </c>
      <c r="M545" s="1" t="str">
        <f t="shared" si="9"/>
        <v>空白</v>
      </c>
      <c r="N545" s="1" t="str">
        <f t="shared" si="9"/>
        <v>空白</v>
      </c>
    </row>
    <row r="546" spans="1:14" ht="19.5">
      <c r="A546" s="573"/>
      <c r="B546" s="581"/>
      <c r="C546" s="63" t="s">
        <v>784</v>
      </c>
      <c r="D546" s="322" t="s">
        <v>2466</v>
      </c>
      <c r="E546" s="93" t="s">
        <v>746</v>
      </c>
      <c r="F546" s="64"/>
      <c r="G546" s="53"/>
      <c r="H546" s="54"/>
      <c r="I546" s="55"/>
      <c r="L546" s="1" t="str">
        <f t="shared" si="9"/>
        <v>空白</v>
      </c>
      <c r="M546" s="1" t="str">
        <f t="shared" si="9"/>
        <v>空白</v>
      </c>
      <c r="N546" s="1" t="str">
        <f t="shared" si="9"/>
        <v>空白</v>
      </c>
    </row>
    <row r="547" spans="1:14" ht="19.5">
      <c r="A547" s="573"/>
      <c r="B547" s="580" t="s">
        <v>785</v>
      </c>
      <c r="C547" s="71" t="s">
        <v>786</v>
      </c>
      <c r="D547" s="325" t="s">
        <v>3012</v>
      </c>
      <c r="E547" s="48">
        <v>2</v>
      </c>
      <c r="F547" s="42"/>
      <c r="G547" s="160" t="s">
        <v>787</v>
      </c>
      <c r="H547" s="43">
        <v>2</v>
      </c>
      <c r="I547" s="618" t="s">
        <v>608</v>
      </c>
      <c r="K547" s="2" t="s">
        <v>12</v>
      </c>
      <c r="L547" s="1" t="str">
        <f t="shared" si="9"/>
        <v>空白</v>
      </c>
      <c r="M547" s="1" t="str">
        <f t="shared" si="9"/>
        <v>對</v>
      </c>
      <c r="N547" s="1" t="str">
        <f t="shared" si="9"/>
        <v>對</v>
      </c>
    </row>
    <row r="548" spans="1:14" ht="19.5">
      <c r="A548" s="573"/>
      <c r="B548" s="576"/>
      <c r="C548" s="25" t="s">
        <v>788</v>
      </c>
      <c r="D548" s="310" t="s">
        <v>3013</v>
      </c>
      <c r="E548" s="16">
        <v>2</v>
      </c>
      <c r="F548" s="9"/>
      <c r="G548" s="111" t="s">
        <v>789</v>
      </c>
      <c r="H548" s="27">
        <v>2</v>
      </c>
      <c r="I548" s="621"/>
      <c r="K548" s="2" t="s">
        <v>12</v>
      </c>
      <c r="L548" s="1" t="str">
        <f t="shared" si="9"/>
        <v>空白</v>
      </c>
      <c r="M548" s="1" t="str">
        <f t="shared" si="9"/>
        <v>對</v>
      </c>
      <c r="N548" s="1" t="str">
        <f t="shared" si="9"/>
        <v>對</v>
      </c>
    </row>
    <row r="549" spans="1:14">
      <c r="A549" s="573"/>
      <c r="B549" s="576"/>
      <c r="C549" s="25" t="s">
        <v>790</v>
      </c>
      <c r="D549" s="310" t="s">
        <v>2467</v>
      </c>
      <c r="E549" s="29">
        <v>4</v>
      </c>
      <c r="F549" s="30"/>
      <c r="G549" s="148"/>
      <c r="H549" s="27"/>
      <c r="I549" s="28"/>
      <c r="L549" s="1" t="str">
        <f t="shared" si="9"/>
        <v>空白</v>
      </c>
      <c r="M549" s="1" t="str">
        <f t="shared" si="9"/>
        <v>空白</v>
      </c>
      <c r="N549" s="1" t="str">
        <f t="shared" si="9"/>
        <v>空白</v>
      </c>
    </row>
    <row r="550" spans="1:14">
      <c r="A550" s="573"/>
      <c r="B550" s="576"/>
      <c r="C550" s="25" t="s">
        <v>791</v>
      </c>
      <c r="D550" s="310" t="s">
        <v>2468</v>
      </c>
      <c r="E550" s="29">
        <v>3</v>
      </c>
      <c r="F550" s="30"/>
      <c r="G550" s="26"/>
      <c r="H550" s="27"/>
      <c r="I550" s="28"/>
      <c r="L550" s="1" t="str">
        <f t="shared" si="9"/>
        <v>空白</v>
      </c>
      <c r="M550" s="1" t="str">
        <f t="shared" si="9"/>
        <v>空白</v>
      </c>
      <c r="N550" s="1" t="str">
        <f t="shared" si="9"/>
        <v>空白</v>
      </c>
    </row>
    <row r="551" spans="1:14">
      <c r="A551" s="573"/>
      <c r="B551" s="576"/>
      <c r="C551" s="25" t="s">
        <v>792</v>
      </c>
      <c r="D551" s="310" t="s">
        <v>2469</v>
      </c>
      <c r="E551" s="29">
        <v>4</v>
      </c>
      <c r="F551" s="30"/>
      <c r="G551" s="26"/>
      <c r="H551" s="27"/>
      <c r="I551" s="28"/>
      <c r="L551" s="1" t="str">
        <f t="shared" si="9"/>
        <v>空白</v>
      </c>
      <c r="M551" s="1" t="str">
        <f t="shared" si="9"/>
        <v>空白</v>
      </c>
      <c r="N551" s="1" t="str">
        <f t="shared" si="9"/>
        <v>空白</v>
      </c>
    </row>
    <row r="552" spans="1:14">
      <c r="A552" s="573"/>
      <c r="B552" s="576"/>
      <c r="C552" s="25" t="s">
        <v>793</v>
      </c>
      <c r="D552" s="310" t="s">
        <v>2470</v>
      </c>
      <c r="E552" s="16">
        <v>3</v>
      </c>
      <c r="F552" s="9"/>
      <c r="G552" s="26"/>
      <c r="H552" s="27"/>
      <c r="I552" s="28"/>
      <c r="L552" s="1" t="str">
        <f t="shared" si="9"/>
        <v>空白</v>
      </c>
      <c r="M552" s="1" t="str">
        <f t="shared" si="9"/>
        <v>空白</v>
      </c>
      <c r="N552" s="1" t="str">
        <f t="shared" si="9"/>
        <v>空白</v>
      </c>
    </row>
    <row r="553" spans="1:14">
      <c r="A553" s="573"/>
      <c r="B553" s="576"/>
      <c r="C553" s="25" t="s">
        <v>794</v>
      </c>
      <c r="D553" s="310" t="s">
        <v>2354</v>
      </c>
      <c r="E553" s="16">
        <v>2</v>
      </c>
      <c r="F553" s="9"/>
      <c r="G553" s="26"/>
      <c r="H553" s="27"/>
      <c r="I553" s="28"/>
      <c r="L553" s="1" t="str">
        <f t="shared" si="9"/>
        <v>空白</v>
      </c>
      <c r="M553" s="1" t="str">
        <f t="shared" si="9"/>
        <v>空白</v>
      </c>
      <c r="N553" s="1" t="str">
        <f t="shared" si="9"/>
        <v>空白</v>
      </c>
    </row>
    <row r="554" spans="1:14">
      <c r="A554" s="573"/>
      <c r="B554" s="576"/>
      <c r="C554" s="25" t="s">
        <v>795</v>
      </c>
      <c r="D554" s="310" t="s">
        <v>2471</v>
      </c>
      <c r="E554" s="16">
        <v>4</v>
      </c>
      <c r="F554" s="9"/>
      <c r="G554" s="26"/>
      <c r="H554" s="27"/>
      <c r="I554" s="28"/>
      <c r="L554" s="1" t="str">
        <f t="shared" si="9"/>
        <v>空白</v>
      </c>
      <c r="M554" s="1" t="str">
        <f t="shared" si="9"/>
        <v>空白</v>
      </c>
      <c r="N554" s="1" t="str">
        <f t="shared" si="9"/>
        <v>空白</v>
      </c>
    </row>
    <row r="555" spans="1:14" ht="39">
      <c r="A555" s="573"/>
      <c r="B555" s="576"/>
      <c r="C555" s="25" t="s">
        <v>796</v>
      </c>
      <c r="D555" s="310" t="s">
        <v>3014</v>
      </c>
      <c r="E555" s="16">
        <v>1</v>
      </c>
      <c r="F555" s="9"/>
      <c r="G555" s="26" t="s">
        <v>797</v>
      </c>
      <c r="H555" s="27">
        <v>1</v>
      </c>
      <c r="I555" s="620" t="s">
        <v>608</v>
      </c>
      <c r="K555" s="2" t="s">
        <v>12</v>
      </c>
      <c r="L555" s="1" t="str">
        <f t="shared" si="9"/>
        <v>空白</v>
      </c>
      <c r="M555" s="1" t="str">
        <f t="shared" si="9"/>
        <v>對</v>
      </c>
      <c r="N555" s="1" t="str">
        <f t="shared" si="9"/>
        <v>對</v>
      </c>
    </row>
    <row r="556" spans="1:14" ht="39">
      <c r="A556" s="573"/>
      <c r="B556" s="576"/>
      <c r="C556" s="25" t="s">
        <v>798</v>
      </c>
      <c r="D556" s="310" t="s">
        <v>3015</v>
      </c>
      <c r="E556" s="16">
        <v>2</v>
      </c>
      <c r="F556" s="9"/>
      <c r="G556" s="26" t="s">
        <v>799</v>
      </c>
      <c r="H556" s="27">
        <v>2</v>
      </c>
      <c r="I556" s="624"/>
      <c r="K556" s="2" t="s">
        <v>12</v>
      </c>
      <c r="L556" s="1" t="str">
        <f t="shared" si="9"/>
        <v>空白</v>
      </c>
      <c r="M556" s="1" t="str">
        <f t="shared" si="9"/>
        <v>對</v>
      </c>
      <c r="N556" s="1" t="str">
        <f t="shared" si="9"/>
        <v>對</v>
      </c>
    </row>
    <row r="557" spans="1:14" ht="19.5">
      <c r="A557" s="573"/>
      <c r="B557" s="576"/>
      <c r="C557" s="25" t="s">
        <v>800</v>
      </c>
      <c r="D557" s="310" t="s">
        <v>3016</v>
      </c>
      <c r="E557" s="16">
        <v>2</v>
      </c>
      <c r="F557" s="9"/>
      <c r="G557" s="26" t="s">
        <v>801</v>
      </c>
      <c r="H557" s="27">
        <v>2</v>
      </c>
      <c r="I557" s="621"/>
      <c r="K557" s="2" t="s">
        <v>12</v>
      </c>
      <c r="L557" s="1" t="str">
        <f t="shared" si="9"/>
        <v>空白</v>
      </c>
      <c r="M557" s="1" t="str">
        <f t="shared" si="9"/>
        <v>對</v>
      </c>
      <c r="N557" s="1" t="str">
        <f t="shared" si="9"/>
        <v>對</v>
      </c>
    </row>
    <row r="558" spans="1:14">
      <c r="A558" s="573"/>
      <c r="B558" s="576"/>
      <c r="C558" s="25" t="s">
        <v>802</v>
      </c>
      <c r="D558" s="310" t="s">
        <v>2472</v>
      </c>
      <c r="E558" s="16">
        <v>4</v>
      </c>
      <c r="F558" s="9"/>
      <c r="G558" s="148"/>
      <c r="H558" s="27"/>
      <c r="I558" s="28"/>
      <c r="L558" s="1" t="str">
        <f t="shared" si="9"/>
        <v>空白</v>
      </c>
      <c r="M558" s="1" t="str">
        <f t="shared" si="9"/>
        <v>空白</v>
      </c>
      <c r="N558" s="1" t="str">
        <f t="shared" si="9"/>
        <v>空白</v>
      </c>
    </row>
    <row r="559" spans="1:14">
      <c r="A559" s="573"/>
      <c r="B559" s="576"/>
      <c r="C559" s="132" t="s">
        <v>803</v>
      </c>
      <c r="D559" s="314" t="s">
        <v>2473</v>
      </c>
      <c r="E559" s="16">
        <v>3</v>
      </c>
      <c r="F559" s="9"/>
      <c r="G559" s="26"/>
      <c r="H559" s="27"/>
      <c r="I559" s="28"/>
      <c r="L559" s="1" t="str">
        <f t="shared" si="9"/>
        <v>空白</v>
      </c>
      <c r="M559" s="1" t="str">
        <f t="shared" si="9"/>
        <v>空白</v>
      </c>
      <c r="N559" s="1" t="str">
        <f t="shared" si="9"/>
        <v>空白</v>
      </c>
    </row>
    <row r="560" spans="1:14" ht="39">
      <c r="A560" s="573"/>
      <c r="B560" s="576"/>
      <c r="C560" s="132" t="s">
        <v>3017</v>
      </c>
      <c r="D560" s="314" t="s">
        <v>3018</v>
      </c>
      <c r="E560" s="16">
        <v>3</v>
      </c>
      <c r="F560" s="9" t="s">
        <v>804</v>
      </c>
      <c r="G560" s="109" t="s">
        <v>805</v>
      </c>
      <c r="H560" s="116">
        <v>3</v>
      </c>
      <c r="I560" s="28" t="s">
        <v>806</v>
      </c>
      <c r="K560" s="2" t="s">
        <v>242</v>
      </c>
      <c r="L560" s="1" t="str">
        <f t="shared" si="9"/>
        <v>對</v>
      </c>
      <c r="M560" s="1" t="str">
        <f t="shared" si="9"/>
        <v>對</v>
      </c>
      <c r="N560" s="1" t="str">
        <f t="shared" si="9"/>
        <v>對</v>
      </c>
    </row>
    <row r="561" spans="1:14">
      <c r="A561" s="573"/>
      <c r="B561" s="576"/>
      <c r="C561" s="25" t="s">
        <v>807</v>
      </c>
      <c r="D561" s="310" t="s">
        <v>2474</v>
      </c>
      <c r="E561" s="16">
        <v>2</v>
      </c>
      <c r="F561" s="9"/>
      <c r="G561" s="26"/>
      <c r="H561" s="162"/>
      <c r="I561" s="28"/>
      <c r="L561" s="1" t="str">
        <f t="shared" si="9"/>
        <v>空白</v>
      </c>
      <c r="M561" s="1" t="str">
        <f t="shared" si="9"/>
        <v>空白</v>
      </c>
      <c r="N561" s="1" t="str">
        <f t="shared" si="9"/>
        <v>空白</v>
      </c>
    </row>
    <row r="562" spans="1:14">
      <c r="A562" s="573"/>
      <c r="B562" s="576"/>
      <c r="C562" s="25" t="s">
        <v>808</v>
      </c>
      <c r="D562" s="310" t="s">
        <v>2475</v>
      </c>
      <c r="E562" s="16">
        <v>2</v>
      </c>
      <c r="F562" s="9"/>
      <c r="G562" s="163"/>
      <c r="H562" s="164"/>
      <c r="I562" s="28"/>
      <c r="L562" s="1" t="str">
        <f t="shared" si="9"/>
        <v>空白</v>
      </c>
      <c r="M562" s="1" t="str">
        <f t="shared" si="9"/>
        <v>空白</v>
      </c>
      <c r="N562" s="1" t="str">
        <f t="shared" si="9"/>
        <v>空白</v>
      </c>
    </row>
    <row r="563" spans="1:14">
      <c r="A563" s="573"/>
      <c r="B563" s="576"/>
      <c r="C563" s="34" t="s">
        <v>809</v>
      </c>
      <c r="D563" s="442" t="s">
        <v>2476</v>
      </c>
      <c r="E563" s="16">
        <v>4</v>
      </c>
      <c r="F563" s="9"/>
      <c r="G563" s="26"/>
      <c r="H563" s="165"/>
      <c r="I563" s="28"/>
      <c r="L563" s="1" t="str">
        <f t="shared" si="9"/>
        <v>空白</v>
      </c>
      <c r="M563" s="1" t="str">
        <f t="shared" si="9"/>
        <v>空白</v>
      </c>
      <c r="N563" s="1" t="str">
        <f t="shared" si="9"/>
        <v>空白</v>
      </c>
    </row>
    <row r="564" spans="1:14" ht="39">
      <c r="A564" s="573"/>
      <c r="B564" s="576"/>
      <c r="C564" s="35" t="s">
        <v>3019</v>
      </c>
      <c r="D564" s="396" t="s">
        <v>2939</v>
      </c>
      <c r="E564" s="16">
        <v>1</v>
      </c>
      <c r="F564" s="9" t="s">
        <v>810</v>
      </c>
      <c r="G564" s="111" t="s">
        <v>532</v>
      </c>
      <c r="H564" s="112">
        <v>1</v>
      </c>
      <c r="I564" s="104" t="s">
        <v>811</v>
      </c>
      <c r="K564" s="2" t="s">
        <v>242</v>
      </c>
      <c r="L564" s="1" t="str">
        <f t="shared" si="9"/>
        <v>對</v>
      </c>
      <c r="M564" s="1" t="str">
        <f t="shared" si="9"/>
        <v>對</v>
      </c>
      <c r="N564" s="1" t="str">
        <f t="shared" si="9"/>
        <v>對</v>
      </c>
    </row>
    <row r="565" spans="1:14" ht="39">
      <c r="A565" s="573"/>
      <c r="B565" s="581"/>
      <c r="C565" s="143" t="s">
        <v>3020</v>
      </c>
      <c r="D565" s="443" t="s">
        <v>2955</v>
      </c>
      <c r="E565" s="118">
        <v>2</v>
      </c>
      <c r="F565" s="58" t="s">
        <v>812</v>
      </c>
      <c r="G565" s="37" t="s">
        <v>583</v>
      </c>
      <c r="H565" s="113">
        <v>2</v>
      </c>
      <c r="I565" s="39" t="s">
        <v>813</v>
      </c>
      <c r="K565" s="2" t="s">
        <v>242</v>
      </c>
      <c r="L565" s="1" t="str">
        <f t="shared" si="9"/>
        <v>對</v>
      </c>
      <c r="M565" s="1" t="str">
        <f t="shared" si="9"/>
        <v>對</v>
      </c>
      <c r="N565" s="1" t="str">
        <f t="shared" si="9"/>
        <v>對</v>
      </c>
    </row>
    <row r="566" spans="1:14" ht="58.5">
      <c r="A566" s="573"/>
      <c r="B566" s="580" t="s">
        <v>814</v>
      </c>
      <c r="C566" s="22" t="s">
        <v>815</v>
      </c>
      <c r="D566" s="313" t="s">
        <v>3021</v>
      </c>
      <c r="E566" s="159">
        <v>2</v>
      </c>
      <c r="F566" s="62"/>
      <c r="G566" s="125" t="s">
        <v>816</v>
      </c>
      <c r="H566" s="154">
        <v>2</v>
      </c>
      <c r="I566" s="304" t="s">
        <v>608</v>
      </c>
      <c r="K566" s="2" t="s">
        <v>12</v>
      </c>
      <c r="L566" s="1" t="str">
        <f t="shared" si="9"/>
        <v>空白</v>
      </c>
      <c r="M566" s="1" t="str">
        <f t="shared" si="9"/>
        <v>對</v>
      </c>
      <c r="N566" s="1" t="str">
        <f t="shared" si="9"/>
        <v>對</v>
      </c>
    </row>
    <row r="567" spans="1:14">
      <c r="A567" s="573"/>
      <c r="B567" s="576"/>
      <c r="C567" s="25" t="s">
        <v>817</v>
      </c>
      <c r="D567" s="310" t="s">
        <v>2477</v>
      </c>
      <c r="E567" s="166">
        <v>1</v>
      </c>
      <c r="F567" s="167"/>
      <c r="G567" s="26"/>
      <c r="H567" s="27"/>
      <c r="I567" s="28"/>
      <c r="L567" s="1" t="str">
        <f t="shared" si="9"/>
        <v>空白</v>
      </c>
      <c r="M567" s="1" t="str">
        <f t="shared" si="9"/>
        <v>空白</v>
      </c>
      <c r="N567" s="1" t="str">
        <f t="shared" si="9"/>
        <v>空白</v>
      </c>
    </row>
    <row r="568" spans="1:14" ht="58.5">
      <c r="A568" s="573"/>
      <c r="B568" s="576"/>
      <c r="C568" s="25" t="s">
        <v>818</v>
      </c>
      <c r="D568" s="310" t="s">
        <v>3022</v>
      </c>
      <c r="E568" s="29">
        <v>2</v>
      </c>
      <c r="F568" s="30"/>
      <c r="G568" s="69" t="s">
        <v>819</v>
      </c>
      <c r="H568" s="32">
        <v>2</v>
      </c>
      <c r="I568" s="28" t="s">
        <v>608</v>
      </c>
      <c r="K568" s="2" t="s">
        <v>12</v>
      </c>
      <c r="L568" s="1" t="str">
        <f t="shared" si="9"/>
        <v>空白</v>
      </c>
      <c r="M568" s="1" t="str">
        <f t="shared" si="9"/>
        <v>對</v>
      </c>
      <c r="N568" s="1" t="str">
        <f t="shared" si="9"/>
        <v>對</v>
      </c>
    </row>
    <row r="569" spans="1:14">
      <c r="A569" s="573"/>
      <c r="B569" s="576"/>
      <c r="C569" s="25" t="s">
        <v>820</v>
      </c>
      <c r="D569" s="310" t="s">
        <v>2478</v>
      </c>
      <c r="E569" s="29">
        <v>2</v>
      </c>
      <c r="F569" s="30"/>
      <c r="G569" s="69"/>
      <c r="H569" s="27"/>
      <c r="I569" s="28"/>
      <c r="L569" s="1" t="str">
        <f t="shared" si="9"/>
        <v>空白</v>
      </c>
      <c r="M569" s="1" t="str">
        <f t="shared" si="9"/>
        <v>空白</v>
      </c>
      <c r="N569" s="1" t="str">
        <f t="shared" si="9"/>
        <v>空白</v>
      </c>
    </row>
    <row r="570" spans="1:14">
      <c r="A570" s="573"/>
      <c r="B570" s="576"/>
      <c r="C570" s="25" t="s">
        <v>821</v>
      </c>
      <c r="D570" s="310" t="s">
        <v>2479</v>
      </c>
      <c r="E570" s="29">
        <v>3</v>
      </c>
      <c r="F570" s="30"/>
      <c r="G570" s="69"/>
      <c r="H570" s="27"/>
      <c r="I570" s="28"/>
      <c r="L570" s="1" t="str">
        <f t="shared" si="9"/>
        <v>空白</v>
      </c>
      <c r="M570" s="1" t="str">
        <f t="shared" si="9"/>
        <v>空白</v>
      </c>
      <c r="N570" s="1" t="str">
        <f t="shared" si="9"/>
        <v>空白</v>
      </c>
    </row>
    <row r="571" spans="1:14" ht="58.5">
      <c r="A571" s="573"/>
      <c r="B571" s="576"/>
      <c r="C571" s="25" t="s">
        <v>822</v>
      </c>
      <c r="D571" s="310" t="s">
        <v>3023</v>
      </c>
      <c r="E571" s="16">
        <v>1</v>
      </c>
      <c r="F571" s="9"/>
      <c r="G571" s="69" t="s">
        <v>823</v>
      </c>
      <c r="H571" s="73">
        <v>1</v>
      </c>
      <c r="I571" s="28" t="s">
        <v>608</v>
      </c>
      <c r="K571" s="2" t="s">
        <v>12</v>
      </c>
      <c r="L571" s="1" t="str">
        <f t="shared" si="9"/>
        <v>空白</v>
      </c>
      <c r="M571" s="1" t="str">
        <f t="shared" si="9"/>
        <v>對</v>
      </c>
      <c r="N571" s="1" t="str">
        <f t="shared" si="9"/>
        <v>對</v>
      </c>
    </row>
    <row r="572" spans="1:14">
      <c r="A572" s="573"/>
      <c r="B572" s="576"/>
      <c r="C572" s="25" t="s">
        <v>824</v>
      </c>
      <c r="D572" s="310" t="s">
        <v>2480</v>
      </c>
      <c r="E572" s="16">
        <v>1</v>
      </c>
      <c r="F572" s="9"/>
      <c r="G572" s="26"/>
      <c r="H572" s="27"/>
      <c r="I572" s="28"/>
      <c r="L572" s="1" t="str">
        <f t="shared" si="9"/>
        <v>空白</v>
      </c>
      <c r="M572" s="1" t="str">
        <f t="shared" si="9"/>
        <v>空白</v>
      </c>
      <c r="N572" s="1" t="str">
        <f t="shared" si="9"/>
        <v>空白</v>
      </c>
    </row>
    <row r="573" spans="1:14" ht="58.5">
      <c r="A573" s="573"/>
      <c r="B573" s="576"/>
      <c r="C573" s="25" t="s">
        <v>825</v>
      </c>
      <c r="D573" s="308" t="s">
        <v>3024</v>
      </c>
      <c r="E573" s="16">
        <v>2</v>
      </c>
      <c r="F573" s="9"/>
      <c r="G573" s="92" t="s">
        <v>826</v>
      </c>
      <c r="H573" s="73">
        <v>2</v>
      </c>
      <c r="I573" s="28" t="s">
        <v>608</v>
      </c>
      <c r="K573" s="2" t="s">
        <v>12</v>
      </c>
      <c r="L573" s="1" t="str">
        <f t="shared" si="9"/>
        <v>空白</v>
      </c>
      <c r="M573" s="1" t="str">
        <f t="shared" si="9"/>
        <v>對</v>
      </c>
      <c r="N573" s="1" t="str">
        <f t="shared" si="9"/>
        <v>對</v>
      </c>
    </row>
    <row r="574" spans="1:14">
      <c r="A574" s="573"/>
      <c r="B574" s="576"/>
      <c r="C574" s="25" t="s">
        <v>827</v>
      </c>
      <c r="D574" s="308" t="s">
        <v>2481</v>
      </c>
      <c r="E574" s="16">
        <v>2</v>
      </c>
      <c r="F574" s="9"/>
      <c r="G574" s="26"/>
      <c r="H574" s="27"/>
      <c r="I574" s="28"/>
      <c r="L574" s="1" t="str">
        <f t="shared" si="9"/>
        <v>空白</v>
      </c>
      <c r="M574" s="1" t="str">
        <f t="shared" si="9"/>
        <v>空白</v>
      </c>
      <c r="N574" s="1" t="str">
        <f t="shared" si="9"/>
        <v>空白</v>
      </c>
    </row>
    <row r="575" spans="1:14" ht="58.5">
      <c r="A575" s="573"/>
      <c r="B575" s="576"/>
      <c r="C575" s="25" t="s">
        <v>828</v>
      </c>
      <c r="D575" s="308" t="s">
        <v>3025</v>
      </c>
      <c r="E575" s="16">
        <v>2</v>
      </c>
      <c r="F575" s="9"/>
      <c r="G575" s="92" t="s">
        <v>829</v>
      </c>
      <c r="H575" s="73">
        <v>2</v>
      </c>
      <c r="I575" s="28" t="s">
        <v>608</v>
      </c>
      <c r="K575" s="2" t="s">
        <v>12</v>
      </c>
      <c r="L575" s="1" t="str">
        <f t="shared" si="9"/>
        <v>空白</v>
      </c>
      <c r="M575" s="1" t="str">
        <f t="shared" si="9"/>
        <v>對</v>
      </c>
      <c r="N575" s="1" t="str">
        <f t="shared" si="9"/>
        <v>對</v>
      </c>
    </row>
    <row r="576" spans="1:14">
      <c r="A576" s="573"/>
      <c r="B576" s="576"/>
      <c r="C576" s="25" t="s">
        <v>830</v>
      </c>
      <c r="D576" s="308" t="s">
        <v>2482</v>
      </c>
      <c r="E576" s="16">
        <v>2</v>
      </c>
      <c r="F576" s="9"/>
      <c r="G576" s="26"/>
      <c r="H576" s="27"/>
      <c r="I576" s="28"/>
      <c r="L576" s="1" t="str">
        <f t="shared" si="9"/>
        <v>空白</v>
      </c>
      <c r="M576" s="1" t="str">
        <f t="shared" si="9"/>
        <v>空白</v>
      </c>
      <c r="N576" s="1" t="str">
        <f t="shared" si="9"/>
        <v>空白</v>
      </c>
    </row>
    <row r="577" spans="1:14">
      <c r="A577" s="573"/>
      <c r="B577" s="576"/>
      <c r="C577" s="25" t="s">
        <v>831</v>
      </c>
      <c r="D577" s="308" t="s">
        <v>2483</v>
      </c>
      <c r="E577" s="16">
        <v>4</v>
      </c>
      <c r="F577" s="9"/>
      <c r="G577" s="92"/>
      <c r="H577" s="73"/>
      <c r="I577" s="28"/>
      <c r="L577" s="1" t="str">
        <f t="shared" si="9"/>
        <v>空白</v>
      </c>
      <c r="M577" s="1" t="str">
        <f t="shared" si="9"/>
        <v>空白</v>
      </c>
      <c r="N577" s="1" t="str">
        <f t="shared" si="9"/>
        <v>空白</v>
      </c>
    </row>
    <row r="578" spans="1:14">
      <c r="A578" s="573"/>
      <c r="B578" s="581"/>
      <c r="C578" s="63" t="s">
        <v>832</v>
      </c>
      <c r="D578" s="337" t="s">
        <v>2484</v>
      </c>
      <c r="E578" s="52">
        <v>2</v>
      </c>
      <c r="F578" s="36"/>
      <c r="G578" s="53"/>
      <c r="H578" s="54"/>
      <c r="I578" s="55"/>
      <c r="L578" s="1" t="str">
        <f t="shared" si="9"/>
        <v>空白</v>
      </c>
      <c r="M578" s="1" t="str">
        <f t="shared" si="9"/>
        <v>空白</v>
      </c>
      <c r="N578" s="1" t="str">
        <f t="shared" si="9"/>
        <v>空白</v>
      </c>
    </row>
    <row r="579" spans="1:14" ht="58.5">
      <c r="A579" s="573"/>
      <c r="B579" s="580" t="s">
        <v>833</v>
      </c>
      <c r="C579" s="71" t="s">
        <v>834</v>
      </c>
      <c r="D579" s="325" t="s">
        <v>3026</v>
      </c>
      <c r="E579" s="48">
        <v>3</v>
      </c>
      <c r="F579" s="42"/>
      <c r="G579" s="125" t="s">
        <v>835</v>
      </c>
      <c r="H579" s="126">
        <v>3</v>
      </c>
      <c r="I579" s="304" t="s">
        <v>608</v>
      </c>
      <c r="K579" s="2" t="s">
        <v>12</v>
      </c>
      <c r="L579" s="1" t="str">
        <f t="shared" si="9"/>
        <v>空白</v>
      </c>
      <c r="M579" s="1" t="str">
        <f t="shared" si="9"/>
        <v>對</v>
      </c>
      <c r="N579" s="1" t="str">
        <f t="shared" si="9"/>
        <v>對</v>
      </c>
    </row>
    <row r="580" spans="1:14">
      <c r="A580" s="573"/>
      <c r="B580" s="576"/>
      <c r="C580" s="25" t="s">
        <v>836</v>
      </c>
      <c r="D580" s="310" t="s">
        <v>2485</v>
      </c>
      <c r="E580" s="16">
        <v>3</v>
      </c>
      <c r="F580" s="9"/>
      <c r="G580" s="26"/>
      <c r="H580" s="27"/>
      <c r="I580" s="28"/>
      <c r="L580" s="1" t="str">
        <f t="shared" si="9"/>
        <v>空白</v>
      </c>
      <c r="M580" s="1" t="str">
        <f t="shared" si="9"/>
        <v>空白</v>
      </c>
      <c r="N580" s="1" t="str">
        <f t="shared" si="9"/>
        <v>空白</v>
      </c>
    </row>
    <row r="581" spans="1:14">
      <c r="A581" s="573"/>
      <c r="B581" s="576"/>
      <c r="C581" s="25" t="s">
        <v>837</v>
      </c>
      <c r="D581" s="310" t="s">
        <v>2486</v>
      </c>
      <c r="E581" s="16">
        <v>4</v>
      </c>
      <c r="F581" s="9"/>
      <c r="G581" s="69"/>
      <c r="H581" s="73"/>
      <c r="I581" s="304"/>
      <c r="L581" s="1" t="str">
        <f t="shared" si="9"/>
        <v>空白</v>
      </c>
      <c r="M581" s="1" t="str">
        <f t="shared" si="9"/>
        <v>空白</v>
      </c>
      <c r="N581" s="1" t="str">
        <f t="shared" si="9"/>
        <v>空白</v>
      </c>
    </row>
    <row r="582" spans="1:14">
      <c r="A582" s="573"/>
      <c r="B582" s="576"/>
      <c r="C582" s="25" t="s">
        <v>838</v>
      </c>
      <c r="D582" s="310" t="s">
        <v>2487</v>
      </c>
      <c r="E582" s="16">
        <v>5</v>
      </c>
      <c r="F582" s="9"/>
      <c r="G582" s="26"/>
      <c r="H582" s="27"/>
      <c r="I582" s="28"/>
      <c r="L582" s="1" t="str">
        <f t="shared" ref="L582:N645" si="10">IF(ISBLANK(F582),"空白",IF(F582=C582,"對","錯"))</f>
        <v>空白</v>
      </c>
      <c r="M582" s="1" t="str">
        <f t="shared" si="10"/>
        <v>空白</v>
      </c>
      <c r="N582" s="1" t="str">
        <f t="shared" si="10"/>
        <v>空白</v>
      </c>
    </row>
    <row r="583" spans="1:14">
      <c r="A583" s="573"/>
      <c r="B583" s="576"/>
      <c r="C583" s="25" t="s">
        <v>839</v>
      </c>
      <c r="D583" s="310" t="s">
        <v>2488</v>
      </c>
      <c r="E583" s="16">
        <v>4</v>
      </c>
      <c r="F583" s="9"/>
      <c r="G583" s="26"/>
      <c r="H583" s="27"/>
      <c r="I583" s="28"/>
      <c r="L583" s="1" t="str">
        <f t="shared" si="10"/>
        <v>空白</v>
      </c>
      <c r="M583" s="1" t="str">
        <f t="shared" si="10"/>
        <v>空白</v>
      </c>
      <c r="N583" s="1" t="str">
        <f t="shared" si="10"/>
        <v>空白</v>
      </c>
    </row>
    <row r="584" spans="1:14" ht="19.5">
      <c r="A584" s="573"/>
      <c r="B584" s="576"/>
      <c r="C584" s="25" t="s">
        <v>840</v>
      </c>
      <c r="D584" s="310" t="s">
        <v>3027</v>
      </c>
      <c r="E584" s="16">
        <v>2</v>
      </c>
      <c r="F584" s="9"/>
      <c r="G584" s="103" t="s">
        <v>841</v>
      </c>
      <c r="H584" s="27"/>
      <c r="I584" s="625" t="s">
        <v>842</v>
      </c>
      <c r="K584" s="2" t="s">
        <v>54</v>
      </c>
      <c r="L584" s="1" t="str">
        <f t="shared" si="10"/>
        <v>空白</v>
      </c>
      <c r="M584" s="1" t="str">
        <f t="shared" si="10"/>
        <v>對</v>
      </c>
      <c r="N584" s="1" t="str">
        <f t="shared" si="10"/>
        <v>空白</v>
      </c>
    </row>
    <row r="585" spans="1:14" ht="19.5">
      <c r="A585" s="573"/>
      <c r="B585" s="576"/>
      <c r="C585" s="25" t="s">
        <v>843</v>
      </c>
      <c r="D585" s="308" t="s">
        <v>3028</v>
      </c>
      <c r="E585" s="16">
        <v>2</v>
      </c>
      <c r="F585" s="9"/>
      <c r="G585" s="103" t="s">
        <v>844</v>
      </c>
      <c r="H585" s="27"/>
      <c r="I585" s="626"/>
      <c r="K585" s="2" t="s">
        <v>54</v>
      </c>
      <c r="L585" s="1" t="str">
        <f t="shared" si="10"/>
        <v>空白</v>
      </c>
      <c r="M585" s="1" t="str">
        <f t="shared" si="10"/>
        <v>對</v>
      </c>
      <c r="N585" s="1" t="str">
        <f t="shared" si="10"/>
        <v>空白</v>
      </c>
    </row>
    <row r="586" spans="1:14" ht="58.5">
      <c r="A586" s="573"/>
      <c r="B586" s="576"/>
      <c r="C586" s="25" t="s">
        <v>845</v>
      </c>
      <c r="D586" s="308" t="s">
        <v>3029</v>
      </c>
      <c r="E586" s="16">
        <v>2</v>
      </c>
      <c r="F586" s="9"/>
      <c r="G586" s="92" t="s">
        <v>846</v>
      </c>
      <c r="H586" s="73">
        <v>2</v>
      </c>
      <c r="I586" s="28" t="s">
        <v>608</v>
      </c>
      <c r="K586" s="2" t="s">
        <v>12</v>
      </c>
      <c r="L586" s="1" t="str">
        <f t="shared" si="10"/>
        <v>空白</v>
      </c>
      <c r="M586" s="1" t="str">
        <f t="shared" si="10"/>
        <v>對</v>
      </c>
      <c r="N586" s="1" t="str">
        <f t="shared" si="10"/>
        <v>對</v>
      </c>
    </row>
    <row r="587" spans="1:14">
      <c r="A587" s="573"/>
      <c r="B587" s="576"/>
      <c r="C587" s="51" t="s">
        <v>847</v>
      </c>
      <c r="D587" s="321" t="s">
        <v>2489</v>
      </c>
      <c r="E587" s="16">
        <v>3</v>
      </c>
      <c r="F587" s="58"/>
      <c r="G587" s="53"/>
      <c r="H587" s="168"/>
      <c r="I587" s="55"/>
      <c r="L587" s="1" t="str">
        <f t="shared" si="10"/>
        <v>空白</v>
      </c>
      <c r="M587" s="1" t="str">
        <f t="shared" si="10"/>
        <v>空白</v>
      </c>
      <c r="N587" s="1" t="str">
        <f t="shared" si="10"/>
        <v>空白</v>
      </c>
    </row>
    <row r="588" spans="1:14" ht="58.5">
      <c r="A588" s="573"/>
      <c r="B588" s="580" t="s">
        <v>848</v>
      </c>
      <c r="C588" s="22" t="s">
        <v>849</v>
      </c>
      <c r="D588" s="313" t="s">
        <v>3030</v>
      </c>
      <c r="E588" s="145">
        <v>3</v>
      </c>
      <c r="F588" s="62"/>
      <c r="G588" s="125" t="s">
        <v>850</v>
      </c>
      <c r="H588" s="150">
        <v>3</v>
      </c>
      <c r="I588" s="304" t="s">
        <v>608</v>
      </c>
      <c r="K588" s="2" t="s">
        <v>12</v>
      </c>
      <c r="L588" s="1" t="str">
        <f t="shared" si="10"/>
        <v>空白</v>
      </c>
      <c r="M588" s="1" t="str">
        <f t="shared" si="10"/>
        <v>對</v>
      </c>
      <c r="N588" s="1" t="str">
        <f t="shared" si="10"/>
        <v>對</v>
      </c>
    </row>
    <row r="589" spans="1:14">
      <c r="A589" s="573"/>
      <c r="B589" s="576"/>
      <c r="C589" s="25" t="s">
        <v>851</v>
      </c>
      <c r="D589" s="310" t="s">
        <v>2354</v>
      </c>
      <c r="E589" s="29">
        <v>3</v>
      </c>
      <c r="F589" s="30"/>
      <c r="G589" s="26"/>
      <c r="H589" s="32"/>
      <c r="I589" s="28"/>
      <c r="L589" s="1" t="str">
        <f t="shared" si="10"/>
        <v>空白</v>
      </c>
      <c r="M589" s="1" t="str">
        <f t="shared" si="10"/>
        <v>空白</v>
      </c>
      <c r="N589" s="1" t="str">
        <f t="shared" si="10"/>
        <v>空白</v>
      </c>
    </row>
    <row r="590" spans="1:14">
      <c r="A590" s="573"/>
      <c r="B590" s="576"/>
      <c r="C590" s="25" t="s">
        <v>852</v>
      </c>
      <c r="D590" s="310" t="s">
        <v>2490</v>
      </c>
      <c r="E590" s="29">
        <v>3</v>
      </c>
      <c r="F590" s="30"/>
      <c r="G590" s="26"/>
      <c r="H590" s="32"/>
      <c r="I590" s="28"/>
      <c r="L590" s="1" t="str">
        <f t="shared" si="10"/>
        <v>空白</v>
      </c>
      <c r="M590" s="1" t="str">
        <f t="shared" si="10"/>
        <v>空白</v>
      </c>
      <c r="N590" s="1" t="str">
        <f t="shared" si="10"/>
        <v>空白</v>
      </c>
    </row>
    <row r="591" spans="1:14">
      <c r="A591" s="573"/>
      <c r="B591" s="576"/>
      <c r="C591" s="25" t="s">
        <v>853</v>
      </c>
      <c r="D591" s="310" t="s">
        <v>2491</v>
      </c>
      <c r="E591" s="29">
        <v>3</v>
      </c>
      <c r="F591" s="30"/>
      <c r="G591" s="26"/>
      <c r="H591" s="32"/>
      <c r="I591" s="28"/>
      <c r="L591" s="1" t="str">
        <f t="shared" si="10"/>
        <v>空白</v>
      </c>
      <c r="M591" s="1" t="str">
        <f t="shared" si="10"/>
        <v>空白</v>
      </c>
      <c r="N591" s="1" t="str">
        <f t="shared" si="10"/>
        <v>空白</v>
      </c>
    </row>
    <row r="592" spans="1:14">
      <c r="A592" s="573"/>
      <c r="B592" s="576"/>
      <c r="C592" s="25" t="s">
        <v>854</v>
      </c>
      <c r="D592" s="308" t="s">
        <v>2492</v>
      </c>
      <c r="E592" s="29">
        <v>4</v>
      </c>
      <c r="F592" s="30"/>
      <c r="G592" s="26"/>
      <c r="H592" s="32"/>
      <c r="I592" s="28"/>
      <c r="L592" s="1" t="str">
        <f t="shared" si="10"/>
        <v>空白</v>
      </c>
      <c r="M592" s="1" t="str">
        <f t="shared" si="10"/>
        <v>空白</v>
      </c>
      <c r="N592" s="1" t="str">
        <f t="shared" si="10"/>
        <v>空白</v>
      </c>
    </row>
    <row r="593" spans="1:14">
      <c r="A593" s="573"/>
      <c r="B593" s="576"/>
      <c r="C593" s="25" t="s">
        <v>855</v>
      </c>
      <c r="D593" s="308" t="s">
        <v>2493</v>
      </c>
      <c r="E593" s="29">
        <v>3</v>
      </c>
      <c r="F593" s="30"/>
      <c r="G593" s="26"/>
      <c r="H593" s="32"/>
      <c r="I593" s="28"/>
      <c r="L593" s="1" t="str">
        <f t="shared" si="10"/>
        <v>空白</v>
      </c>
      <c r="M593" s="1" t="str">
        <f t="shared" si="10"/>
        <v>空白</v>
      </c>
      <c r="N593" s="1" t="str">
        <f t="shared" si="10"/>
        <v>空白</v>
      </c>
    </row>
    <row r="594" spans="1:14">
      <c r="A594" s="573"/>
      <c r="B594" s="576"/>
      <c r="C594" s="25" t="s">
        <v>856</v>
      </c>
      <c r="D594" s="308" t="s">
        <v>2477</v>
      </c>
      <c r="E594" s="16">
        <v>1</v>
      </c>
      <c r="F594" s="9"/>
      <c r="G594" s="26"/>
      <c r="H594" s="32"/>
      <c r="I594" s="28"/>
      <c r="L594" s="1" t="str">
        <f t="shared" si="10"/>
        <v>空白</v>
      </c>
      <c r="M594" s="1" t="str">
        <f t="shared" si="10"/>
        <v>空白</v>
      </c>
      <c r="N594" s="1" t="str">
        <f t="shared" si="10"/>
        <v>空白</v>
      </c>
    </row>
    <row r="595" spans="1:14" ht="58.5">
      <c r="A595" s="573"/>
      <c r="B595" s="576"/>
      <c r="C595" s="25" t="s">
        <v>857</v>
      </c>
      <c r="D595" s="308" t="s">
        <v>3031</v>
      </c>
      <c r="E595" s="16">
        <v>2</v>
      </c>
      <c r="F595" s="9"/>
      <c r="G595" s="92" t="s">
        <v>858</v>
      </c>
      <c r="H595" s="73">
        <v>2</v>
      </c>
      <c r="I595" s="28" t="s">
        <v>608</v>
      </c>
      <c r="K595" s="2" t="s">
        <v>12</v>
      </c>
      <c r="L595" s="1" t="str">
        <f t="shared" si="10"/>
        <v>空白</v>
      </c>
      <c r="M595" s="1" t="str">
        <f t="shared" si="10"/>
        <v>對</v>
      </c>
      <c r="N595" s="1" t="str">
        <f t="shared" si="10"/>
        <v>對</v>
      </c>
    </row>
    <row r="596" spans="1:14">
      <c r="A596" s="573"/>
      <c r="B596" s="576"/>
      <c r="C596" s="25" t="s">
        <v>859</v>
      </c>
      <c r="D596" s="308" t="s">
        <v>2494</v>
      </c>
      <c r="E596" s="16">
        <v>3</v>
      </c>
      <c r="F596" s="9"/>
      <c r="G596" s="26"/>
      <c r="H596" s="27"/>
      <c r="I596" s="28"/>
      <c r="L596" s="1" t="str">
        <f t="shared" si="10"/>
        <v>空白</v>
      </c>
      <c r="M596" s="1" t="str">
        <f t="shared" si="10"/>
        <v>空白</v>
      </c>
      <c r="N596" s="1" t="str">
        <f t="shared" si="10"/>
        <v>空白</v>
      </c>
    </row>
    <row r="597" spans="1:14">
      <c r="A597" s="573"/>
      <c r="B597" s="576"/>
      <c r="C597" s="25" t="s">
        <v>860</v>
      </c>
      <c r="D597" s="308" t="s">
        <v>2495</v>
      </c>
      <c r="E597" s="16">
        <v>3</v>
      </c>
      <c r="F597" s="9"/>
      <c r="G597" s="26"/>
      <c r="H597" s="27"/>
      <c r="I597" s="28"/>
      <c r="L597" s="1" t="str">
        <f t="shared" si="10"/>
        <v>空白</v>
      </c>
      <c r="M597" s="1" t="str">
        <f t="shared" si="10"/>
        <v>空白</v>
      </c>
      <c r="N597" s="1" t="str">
        <f t="shared" si="10"/>
        <v>空白</v>
      </c>
    </row>
    <row r="598" spans="1:14">
      <c r="A598" s="573"/>
      <c r="B598" s="576"/>
      <c r="C598" s="25" t="s">
        <v>861</v>
      </c>
      <c r="D598" s="308" t="s">
        <v>2496</v>
      </c>
      <c r="E598" s="16">
        <v>4</v>
      </c>
      <c r="F598" s="9"/>
      <c r="G598" s="26"/>
      <c r="H598" s="27"/>
      <c r="I598" s="28"/>
      <c r="L598" s="1" t="str">
        <f t="shared" si="10"/>
        <v>空白</v>
      </c>
      <c r="M598" s="1" t="str">
        <f t="shared" si="10"/>
        <v>空白</v>
      </c>
      <c r="N598" s="1" t="str">
        <f t="shared" si="10"/>
        <v>空白</v>
      </c>
    </row>
    <row r="599" spans="1:14" ht="39">
      <c r="A599" s="573"/>
      <c r="B599" s="576"/>
      <c r="C599" s="22" t="s">
        <v>3032</v>
      </c>
      <c r="D599" s="348" t="s">
        <v>2939</v>
      </c>
      <c r="E599" s="117">
        <v>1</v>
      </c>
      <c r="F599" s="9" t="s">
        <v>862</v>
      </c>
      <c r="G599" s="111" t="s">
        <v>863</v>
      </c>
      <c r="H599" s="75">
        <v>1</v>
      </c>
      <c r="I599" s="307" t="s">
        <v>864</v>
      </c>
      <c r="K599" s="2" t="s">
        <v>242</v>
      </c>
      <c r="L599" s="1" t="str">
        <f t="shared" si="10"/>
        <v>對</v>
      </c>
      <c r="M599" s="1" t="str">
        <f t="shared" si="10"/>
        <v>對</v>
      </c>
      <c r="N599" s="1" t="str">
        <f t="shared" si="10"/>
        <v>對</v>
      </c>
    </row>
    <row r="600" spans="1:14" ht="39">
      <c r="A600" s="573"/>
      <c r="B600" s="581"/>
      <c r="C600" s="143" t="s">
        <v>3033</v>
      </c>
      <c r="D600" s="443" t="s">
        <v>2955</v>
      </c>
      <c r="E600" s="118">
        <v>2</v>
      </c>
      <c r="F600" s="58" t="s">
        <v>865</v>
      </c>
      <c r="G600" s="153" t="s">
        <v>583</v>
      </c>
      <c r="H600" s="169">
        <v>2</v>
      </c>
      <c r="I600" s="39" t="s">
        <v>866</v>
      </c>
      <c r="K600" s="2" t="s">
        <v>242</v>
      </c>
      <c r="L600" s="1" t="str">
        <f t="shared" si="10"/>
        <v>對</v>
      </c>
      <c r="M600" s="1" t="str">
        <f t="shared" si="10"/>
        <v>對</v>
      </c>
      <c r="N600" s="1" t="str">
        <f t="shared" si="10"/>
        <v>對</v>
      </c>
    </row>
    <row r="601" spans="1:14" ht="39">
      <c r="A601" s="573"/>
      <c r="B601" s="580" t="s">
        <v>867</v>
      </c>
      <c r="C601" s="71" t="s">
        <v>868</v>
      </c>
      <c r="D601" s="339" t="s">
        <v>3034</v>
      </c>
      <c r="E601" s="145">
        <v>2</v>
      </c>
      <c r="F601" s="62"/>
      <c r="G601" s="10" t="s">
        <v>869</v>
      </c>
      <c r="H601" s="43">
        <v>2</v>
      </c>
      <c r="I601" s="304" t="s">
        <v>61</v>
      </c>
      <c r="K601" s="2" t="s">
        <v>54</v>
      </c>
      <c r="L601" s="1" t="str">
        <f t="shared" si="10"/>
        <v>空白</v>
      </c>
      <c r="M601" s="1" t="str">
        <f t="shared" si="10"/>
        <v>對</v>
      </c>
      <c r="N601" s="1" t="str">
        <f t="shared" si="10"/>
        <v>對</v>
      </c>
    </row>
    <row r="602" spans="1:14">
      <c r="A602" s="573"/>
      <c r="B602" s="576"/>
      <c r="C602" s="25" t="s">
        <v>870</v>
      </c>
      <c r="D602" s="308" t="s">
        <v>2497</v>
      </c>
      <c r="E602" s="29">
        <v>2</v>
      </c>
      <c r="F602" s="30"/>
      <c r="G602" s="170"/>
      <c r="H602" s="170"/>
      <c r="I602" s="28"/>
      <c r="L602" s="1" t="str">
        <f t="shared" si="10"/>
        <v>空白</v>
      </c>
      <c r="M602" s="1" t="str">
        <f t="shared" si="10"/>
        <v>空白</v>
      </c>
      <c r="N602" s="1" t="str">
        <f t="shared" si="10"/>
        <v>空白</v>
      </c>
    </row>
    <row r="603" spans="1:14" ht="39">
      <c r="A603" s="573"/>
      <c r="B603" s="576"/>
      <c r="C603" s="25" t="s">
        <v>871</v>
      </c>
      <c r="D603" s="308" t="s">
        <v>3035</v>
      </c>
      <c r="E603" s="29">
        <v>3</v>
      </c>
      <c r="F603" s="30"/>
      <c r="G603" s="26" t="s">
        <v>872</v>
      </c>
      <c r="H603" s="27">
        <v>3</v>
      </c>
      <c r="I603" s="28" t="s">
        <v>61</v>
      </c>
      <c r="K603" s="2" t="s">
        <v>54</v>
      </c>
      <c r="L603" s="1" t="str">
        <f t="shared" si="10"/>
        <v>空白</v>
      </c>
      <c r="M603" s="1" t="str">
        <f t="shared" si="10"/>
        <v>對</v>
      </c>
      <c r="N603" s="1" t="str">
        <f t="shared" si="10"/>
        <v>對</v>
      </c>
    </row>
    <row r="604" spans="1:14">
      <c r="A604" s="573"/>
      <c r="B604" s="576"/>
      <c r="C604" s="25" t="s">
        <v>873</v>
      </c>
      <c r="D604" s="308" t="s">
        <v>2498</v>
      </c>
      <c r="E604" s="29">
        <v>3</v>
      </c>
      <c r="F604" s="30"/>
      <c r="G604" s="170"/>
      <c r="H604" s="170"/>
      <c r="I604" s="28"/>
      <c r="L604" s="1" t="str">
        <f t="shared" si="10"/>
        <v>空白</v>
      </c>
      <c r="M604" s="1" t="str">
        <f t="shared" si="10"/>
        <v>空白</v>
      </c>
      <c r="N604" s="1" t="str">
        <f t="shared" si="10"/>
        <v>空白</v>
      </c>
    </row>
    <row r="605" spans="1:14" ht="39">
      <c r="A605" s="573"/>
      <c r="B605" s="576"/>
      <c r="C605" s="25" t="s">
        <v>874</v>
      </c>
      <c r="D605" s="308" t="s">
        <v>3036</v>
      </c>
      <c r="E605" s="29">
        <v>1</v>
      </c>
      <c r="F605" s="30"/>
      <c r="G605" s="26" t="s">
        <v>875</v>
      </c>
      <c r="H605" s="27">
        <v>1</v>
      </c>
      <c r="I605" s="28" t="s">
        <v>61</v>
      </c>
      <c r="K605" s="2" t="s">
        <v>54</v>
      </c>
      <c r="L605" s="1" t="str">
        <f t="shared" si="10"/>
        <v>空白</v>
      </c>
      <c r="M605" s="1" t="str">
        <f t="shared" si="10"/>
        <v>對</v>
      </c>
      <c r="N605" s="1" t="str">
        <f t="shared" si="10"/>
        <v>對</v>
      </c>
    </row>
    <row r="606" spans="1:14" ht="39">
      <c r="A606" s="573"/>
      <c r="B606" s="576"/>
      <c r="C606" s="132" t="s">
        <v>876</v>
      </c>
      <c r="D606" s="332" t="s">
        <v>3037</v>
      </c>
      <c r="E606" s="29">
        <v>3</v>
      </c>
      <c r="F606" s="30"/>
      <c r="G606" s="31" t="s">
        <v>877</v>
      </c>
      <c r="H606" s="32">
        <v>3</v>
      </c>
      <c r="I606" s="28" t="s">
        <v>878</v>
      </c>
      <c r="K606" s="2" t="s">
        <v>35</v>
      </c>
      <c r="L606" s="1" t="str">
        <f t="shared" si="10"/>
        <v>空白</v>
      </c>
      <c r="M606" s="1" t="str">
        <f t="shared" si="10"/>
        <v>對</v>
      </c>
      <c r="N606" s="1" t="str">
        <f t="shared" si="10"/>
        <v>對</v>
      </c>
    </row>
    <row r="607" spans="1:14" ht="39">
      <c r="A607" s="573"/>
      <c r="B607" s="576"/>
      <c r="C607" s="25" t="s">
        <v>879</v>
      </c>
      <c r="D607" s="308" t="s">
        <v>3038</v>
      </c>
      <c r="E607" s="16">
        <v>2</v>
      </c>
      <c r="F607" s="9"/>
      <c r="G607" s="26" t="s">
        <v>880</v>
      </c>
      <c r="H607" s="27"/>
      <c r="I607" s="28" t="s">
        <v>61</v>
      </c>
      <c r="K607" s="2" t="s">
        <v>54</v>
      </c>
      <c r="L607" s="1" t="str">
        <f t="shared" si="10"/>
        <v>空白</v>
      </c>
      <c r="M607" s="1" t="str">
        <f t="shared" si="10"/>
        <v>對</v>
      </c>
      <c r="N607" s="1" t="str">
        <f t="shared" si="10"/>
        <v>空白</v>
      </c>
    </row>
    <row r="608" spans="1:14" ht="39">
      <c r="A608" s="573"/>
      <c r="B608" s="576"/>
      <c r="C608" s="25" t="s">
        <v>881</v>
      </c>
      <c r="D608" s="308" t="s">
        <v>3039</v>
      </c>
      <c r="E608" s="16">
        <v>2</v>
      </c>
      <c r="F608" s="9"/>
      <c r="G608" s="171" t="s">
        <v>882</v>
      </c>
      <c r="H608" s="32"/>
      <c r="I608" s="28" t="s">
        <v>223</v>
      </c>
      <c r="K608" s="2" t="s">
        <v>54</v>
      </c>
      <c r="L608" s="1" t="str">
        <f t="shared" si="10"/>
        <v>空白</v>
      </c>
      <c r="M608" s="1" t="str">
        <f t="shared" si="10"/>
        <v>對</v>
      </c>
      <c r="N608" s="1" t="str">
        <f t="shared" si="10"/>
        <v>空白</v>
      </c>
    </row>
    <row r="609" spans="1:14">
      <c r="A609" s="573"/>
      <c r="B609" s="576"/>
      <c r="C609" s="51" t="s">
        <v>883</v>
      </c>
      <c r="D609" s="319" t="s">
        <v>2499</v>
      </c>
      <c r="E609" s="16">
        <v>3</v>
      </c>
      <c r="F609" s="58"/>
      <c r="G609" s="53"/>
      <c r="H609" s="54"/>
      <c r="I609" s="55"/>
      <c r="L609" s="1" t="str">
        <f t="shared" si="10"/>
        <v>空白</v>
      </c>
      <c r="M609" s="1" t="str">
        <f t="shared" si="10"/>
        <v>空白</v>
      </c>
      <c r="N609" s="1" t="str">
        <f t="shared" si="10"/>
        <v>空白</v>
      </c>
    </row>
    <row r="610" spans="1:14" ht="58.5">
      <c r="A610" s="573"/>
      <c r="B610" s="580" t="s">
        <v>884</v>
      </c>
      <c r="C610" s="22" t="s">
        <v>885</v>
      </c>
      <c r="D610" s="313" t="s">
        <v>3040</v>
      </c>
      <c r="E610" s="145">
        <v>3</v>
      </c>
      <c r="F610" s="62"/>
      <c r="G610" s="125" t="s">
        <v>886</v>
      </c>
      <c r="H610" s="150">
        <v>3</v>
      </c>
      <c r="I610" s="304" t="s">
        <v>608</v>
      </c>
      <c r="K610" s="2" t="s">
        <v>12</v>
      </c>
      <c r="L610" s="1" t="str">
        <f t="shared" si="10"/>
        <v>空白</v>
      </c>
      <c r="M610" s="1" t="str">
        <f t="shared" si="10"/>
        <v>對</v>
      </c>
      <c r="N610" s="1" t="str">
        <f t="shared" si="10"/>
        <v>對</v>
      </c>
    </row>
    <row r="611" spans="1:14" ht="39">
      <c r="A611" s="573"/>
      <c r="B611" s="576"/>
      <c r="C611" s="25" t="s">
        <v>887</v>
      </c>
      <c r="D611" s="310" t="s">
        <v>3041</v>
      </c>
      <c r="E611" s="93">
        <v>4</v>
      </c>
      <c r="F611" s="64"/>
      <c r="G611" s="172" t="s">
        <v>888</v>
      </c>
      <c r="H611" s="19"/>
      <c r="I611" s="305" t="s">
        <v>223</v>
      </c>
      <c r="K611" s="2" t="s">
        <v>12</v>
      </c>
      <c r="L611" s="1" t="str">
        <f t="shared" si="10"/>
        <v>空白</v>
      </c>
      <c r="M611" s="1" t="str">
        <f t="shared" si="10"/>
        <v>對</v>
      </c>
      <c r="N611" s="1" t="str">
        <f t="shared" si="10"/>
        <v>空白</v>
      </c>
    </row>
    <row r="612" spans="1:14">
      <c r="A612" s="573"/>
      <c r="B612" s="580" t="s">
        <v>889</v>
      </c>
      <c r="C612" s="71" t="s">
        <v>890</v>
      </c>
      <c r="D612" s="325" t="s">
        <v>2500</v>
      </c>
      <c r="E612" s="159">
        <v>3</v>
      </c>
      <c r="F612" s="85"/>
      <c r="G612" s="95"/>
      <c r="H612" s="86"/>
      <c r="I612" s="98"/>
      <c r="L612" s="1" t="str">
        <f t="shared" si="10"/>
        <v>空白</v>
      </c>
      <c r="M612" s="1" t="str">
        <f t="shared" si="10"/>
        <v>空白</v>
      </c>
      <c r="N612" s="1" t="str">
        <f t="shared" si="10"/>
        <v>空白</v>
      </c>
    </row>
    <row r="613" spans="1:14" ht="58.5">
      <c r="A613" s="573"/>
      <c r="B613" s="576"/>
      <c r="C613" s="25" t="s">
        <v>891</v>
      </c>
      <c r="D613" s="310" t="s">
        <v>3042</v>
      </c>
      <c r="E613" s="83">
        <v>2</v>
      </c>
      <c r="F613" s="30"/>
      <c r="G613" s="69" t="s">
        <v>892</v>
      </c>
      <c r="H613" s="173">
        <v>2</v>
      </c>
      <c r="I613" s="28" t="s">
        <v>608</v>
      </c>
      <c r="K613" s="2" t="s">
        <v>12</v>
      </c>
      <c r="L613" s="1" t="str">
        <f t="shared" si="10"/>
        <v>空白</v>
      </c>
      <c r="M613" s="1" t="str">
        <f t="shared" si="10"/>
        <v>對</v>
      </c>
      <c r="N613" s="1" t="str">
        <f t="shared" si="10"/>
        <v>對</v>
      </c>
    </row>
    <row r="614" spans="1:14">
      <c r="A614" s="573"/>
      <c r="B614" s="576"/>
      <c r="C614" s="25" t="s">
        <v>893</v>
      </c>
      <c r="D614" s="310" t="s">
        <v>2478</v>
      </c>
      <c r="E614" s="16">
        <v>3</v>
      </c>
      <c r="F614" s="9"/>
      <c r="G614" s="26"/>
      <c r="H614" s="27"/>
      <c r="I614" s="28"/>
      <c r="L614" s="1" t="str">
        <f t="shared" si="10"/>
        <v>空白</v>
      </c>
      <c r="M614" s="1" t="str">
        <f t="shared" si="10"/>
        <v>空白</v>
      </c>
      <c r="N614" s="1" t="str">
        <f t="shared" si="10"/>
        <v>空白</v>
      </c>
    </row>
    <row r="615" spans="1:14">
      <c r="A615" s="573"/>
      <c r="B615" s="576"/>
      <c r="C615" s="25" t="s">
        <v>895</v>
      </c>
      <c r="D615" s="310" t="s">
        <v>2501</v>
      </c>
      <c r="E615" s="16">
        <v>3</v>
      </c>
      <c r="F615" s="9"/>
      <c r="G615" s="26"/>
      <c r="H615" s="27"/>
      <c r="I615" s="28"/>
      <c r="L615" s="1" t="str">
        <f t="shared" si="10"/>
        <v>空白</v>
      </c>
      <c r="M615" s="1" t="str">
        <f t="shared" si="10"/>
        <v>空白</v>
      </c>
      <c r="N615" s="1" t="str">
        <f t="shared" si="10"/>
        <v>空白</v>
      </c>
    </row>
    <row r="616" spans="1:14">
      <c r="A616" s="573"/>
      <c r="B616" s="576"/>
      <c r="C616" s="25" t="s">
        <v>896</v>
      </c>
      <c r="D616" s="310" t="s">
        <v>2502</v>
      </c>
      <c r="E616" s="16">
        <v>2</v>
      </c>
      <c r="F616" s="9"/>
      <c r="G616" s="26"/>
      <c r="H616" s="27"/>
      <c r="I616" s="28"/>
      <c r="L616" s="1" t="str">
        <f t="shared" si="10"/>
        <v>空白</v>
      </c>
      <c r="M616" s="1" t="str">
        <f t="shared" si="10"/>
        <v>空白</v>
      </c>
      <c r="N616" s="1" t="str">
        <f t="shared" si="10"/>
        <v>空白</v>
      </c>
    </row>
    <row r="617" spans="1:14" ht="39">
      <c r="A617" s="573"/>
      <c r="B617" s="576"/>
      <c r="C617" s="25" t="s">
        <v>897</v>
      </c>
      <c r="D617" s="308" t="s">
        <v>3043</v>
      </c>
      <c r="E617" s="16">
        <v>2</v>
      </c>
      <c r="F617" s="9"/>
      <c r="G617" s="26" t="s">
        <v>898</v>
      </c>
      <c r="H617" s="27">
        <v>2</v>
      </c>
      <c r="I617" s="28" t="s">
        <v>223</v>
      </c>
      <c r="K617" s="2" t="s">
        <v>54</v>
      </c>
      <c r="L617" s="1" t="str">
        <f t="shared" si="10"/>
        <v>空白</v>
      </c>
      <c r="M617" s="1" t="str">
        <f t="shared" si="10"/>
        <v>對</v>
      </c>
      <c r="N617" s="1" t="str">
        <f t="shared" si="10"/>
        <v>對</v>
      </c>
    </row>
    <row r="618" spans="1:14" ht="19.5">
      <c r="A618" s="573"/>
      <c r="B618" s="576"/>
      <c r="C618" s="25" t="s">
        <v>899</v>
      </c>
      <c r="D618" s="308" t="s">
        <v>3044</v>
      </c>
      <c r="E618" s="16">
        <v>2</v>
      </c>
      <c r="F618" s="9"/>
      <c r="G618" s="92" t="s">
        <v>900</v>
      </c>
      <c r="H618" s="73">
        <v>2</v>
      </c>
      <c r="I618" s="28"/>
      <c r="K618" s="2" t="s">
        <v>12</v>
      </c>
      <c r="L618" s="1" t="str">
        <f t="shared" si="10"/>
        <v>空白</v>
      </c>
      <c r="M618" s="1" t="str">
        <f t="shared" si="10"/>
        <v>對</v>
      </c>
      <c r="N618" s="1" t="str">
        <f t="shared" si="10"/>
        <v>對</v>
      </c>
    </row>
    <row r="619" spans="1:14" ht="39">
      <c r="A619" s="573"/>
      <c r="B619" s="576"/>
      <c r="C619" s="25" t="s">
        <v>901</v>
      </c>
      <c r="D619" s="308" t="s">
        <v>3045</v>
      </c>
      <c r="E619" s="16">
        <v>2</v>
      </c>
      <c r="F619" s="9"/>
      <c r="G619" s="26" t="s">
        <v>902</v>
      </c>
      <c r="H619" s="27">
        <v>2</v>
      </c>
      <c r="I619" s="28" t="s">
        <v>223</v>
      </c>
      <c r="K619" s="2" t="s">
        <v>54</v>
      </c>
      <c r="L619" s="1" t="str">
        <f t="shared" si="10"/>
        <v>空白</v>
      </c>
      <c r="M619" s="1" t="str">
        <f t="shared" si="10"/>
        <v>對</v>
      </c>
      <c r="N619" s="1" t="str">
        <f t="shared" si="10"/>
        <v>對</v>
      </c>
    </row>
    <row r="620" spans="1:14" ht="39">
      <c r="A620" s="573"/>
      <c r="B620" s="576"/>
      <c r="C620" s="25" t="s">
        <v>903</v>
      </c>
      <c r="D620" s="308" t="s">
        <v>2967</v>
      </c>
      <c r="E620" s="16">
        <v>2</v>
      </c>
      <c r="F620" s="9"/>
      <c r="G620" s="26" t="s">
        <v>904</v>
      </c>
      <c r="H620" s="27">
        <v>2</v>
      </c>
      <c r="I620" s="28" t="s">
        <v>61</v>
      </c>
      <c r="K620" s="2" t="s">
        <v>54</v>
      </c>
      <c r="L620" s="1" t="str">
        <f t="shared" si="10"/>
        <v>空白</v>
      </c>
      <c r="M620" s="1" t="str">
        <f t="shared" si="10"/>
        <v>對</v>
      </c>
      <c r="N620" s="1" t="str">
        <f t="shared" si="10"/>
        <v>對</v>
      </c>
    </row>
    <row r="621" spans="1:14">
      <c r="A621" s="573"/>
      <c r="B621" s="576"/>
      <c r="C621" s="25" t="s">
        <v>905</v>
      </c>
      <c r="D621" s="308" t="s">
        <v>2503</v>
      </c>
      <c r="E621" s="16">
        <v>3</v>
      </c>
      <c r="F621" s="9"/>
      <c r="G621" s="26"/>
      <c r="H621" s="27"/>
      <c r="I621" s="28"/>
      <c r="L621" s="1" t="str">
        <f t="shared" si="10"/>
        <v>空白</v>
      </c>
      <c r="M621" s="1" t="str">
        <f t="shared" si="10"/>
        <v>空白</v>
      </c>
      <c r="N621" s="1" t="str">
        <f t="shared" si="10"/>
        <v>空白</v>
      </c>
    </row>
    <row r="622" spans="1:14">
      <c r="A622" s="573"/>
      <c r="B622" s="576"/>
      <c r="C622" s="25" t="s">
        <v>906</v>
      </c>
      <c r="D622" s="308" t="s">
        <v>2354</v>
      </c>
      <c r="E622" s="16">
        <v>2</v>
      </c>
      <c r="F622" s="9"/>
      <c r="G622" s="26"/>
      <c r="H622" s="27"/>
      <c r="I622" s="28"/>
      <c r="L622" s="1" t="str">
        <f t="shared" si="10"/>
        <v>空白</v>
      </c>
      <c r="M622" s="1" t="str">
        <f t="shared" si="10"/>
        <v>空白</v>
      </c>
      <c r="N622" s="1" t="str">
        <f t="shared" si="10"/>
        <v>空白</v>
      </c>
    </row>
    <row r="623" spans="1:14">
      <c r="A623" s="573"/>
      <c r="B623" s="576"/>
      <c r="C623" s="25" t="s">
        <v>907</v>
      </c>
      <c r="D623" s="308" t="s">
        <v>2504</v>
      </c>
      <c r="E623" s="16">
        <v>2</v>
      </c>
      <c r="F623" s="9"/>
      <c r="G623" s="26"/>
      <c r="H623" s="27"/>
      <c r="I623" s="28"/>
      <c r="L623" s="1" t="str">
        <f t="shared" si="10"/>
        <v>空白</v>
      </c>
      <c r="M623" s="1" t="str">
        <f t="shared" si="10"/>
        <v>空白</v>
      </c>
      <c r="N623" s="1" t="str">
        <f t="shared" si="10"/>
        <v>空白</v>
      </c>
    </row>
    <row r="624" spans="1:14">
      <c r="A624" s="573"/>
      <c r="B624" s="576"/>
      <c r="C624" s="25" t="s">
        <v>908</v>
      </c>
      <c r="D624" s="308" t="s">
        <v>2505</v>
      </c>
      <c r="E624" s="16">
        <v>4</v>
      </c>
      <c r="F624" s="9"/>
      <c r="G624" s="26"/>
      <c r="H624" s="27"/>
      <c r="I624" s="28"/>
      <c r="L624" s="1" t="str">
        <f t="shared" si="10"/>
        <v>空白</v>
      </c>
      <c r="M624" s="1" t="str">
        <f t="shared" si="10"/>
        <v>空白</v>
      </c>
      <c r="N624" s="1" t="str">
        <f t="shared" si="10"/>
        <v>空白</v>
      </c>
    </row>
    <row r="625" spans="1:14">
      <c r="A625" s="573"/>
      <c r="B625" s="576"/>
      <c r="C625" s="34" t="s">
        <v>909</v>
      </c>
      <c r="D625" s="315" t="s">
        <v>2506</v>
      </c>
      <c r="E625" s="16">
        <v>4</v>
      </c>
      <c r="F625" s="9"/>
      <c r="G625" s="26"/>
      <c r="H625" s="27"/>
      <c r="I625" s="28"/>
      <c r="L625" s="1" t="str">
        <f t="shared" si="10"/>
        <v>空白</v>
      </c>
      <c r="M625" s="1" t="str">
        <f t="shared" si="10"/>
        <v>空白</v>
      </c>
      <c r="N625" s="1" t="str">
        <f t="shared" si="10"/>
        <v>空白</v>
      </c>
    </row>
    <row r="626" spans="1:14" ht="39">
      <c r="A626" s="573"/>
      <c r="B626" s="576"/>
      <c r="C626" s="35" t="s">
        <v>3046</v>
      </c>
      <c r="D626" s="396" t="s">
        <v>2939</v>
      </c>
      <c r="E626" s="16">
        <v>1</v>
      </c>
      <c r="F626" s="9" t="s">
        <v>910</v>
      </c>
      <c r="G626" s="137" t="s">
        <v>863</v>
      </c>
      <c r="H626" s="112">
        <v>1</v>
      </c>
      <c r="I626" s="28" t="s">
        <v>911</v>
      </c>
      <c r="K626" s="2" t="s">
        <v>242</v>
      </c>
      <c r="L626" s="1" t="str">
        <f t="shared" si="10"/>
        <v>對</v>
      </c>
      <c r="M626" s="1" t="str">
        <f t="shared" si="10"/>
        <v>對</v>
      </c>
      <c r="N626" s="1" t="str">
        <f t="shared" si="10"/>
        <v>對</v>
      </c>
    </row>
    <row r="627" spans="1:14" ht="39">
      <c r="A627" s="573"/>
      <c r="B627" s="576"/>
      <c r="C627" s="35" t="s">
        <v>3047</v>
      </c>
      <c r="D627" s="396" t="s">
        <v>2955</v>
      </c>
      <c r="E627" s="48">
        <v>2</v>
      </c>
      <c r="F627" s="9" t="s">
        <v>912</v>
      </c>
      <c r="G627" s="137" t="s">
        <v>913</v>
      </c>
      <c r="H627" s="75">
        <v>2</v>
      </c>
      <c r="I627" s="305" t="s">
        <v>914</v>
      </c>
      <c r="K627" s="2" t="s">
        <v>242</v>
      </c>
      <c r="L627" s="1" t="str">
        <f t="shared" si="10"/>
        <v>對</v>
      </c>
      <c r="M627" s="1" t="str">
        <f t="shared" si="10"/>
        <v>對</v>
      </c>
      <c r="N627" s="1" t="str">
        <f t="shared" si="10"/>
        <v>對</v>
      </c>
    </row>
    <row r="628" spans="1:14" ht="39">
      <c r="A628" s="573"/>
      <c r="B628" s="581"/>
      <c r="C628" s="143" t="s">
        <v>3048</v>
      </c>
      <c r="D628" s="396" t="s">
        <v>3049</v>
      </c>
      <c r="E628" s="48">
        <v>1</v>
      </c>
      <c r="F628" s="58" t="s">
        <v>915</v>
      </c>
      <c r="G628" s="37" t="s">
        <v>916</v>
      </c>
      <c r="H628" s="75">
        <v>1</v>
      </c>
      <c r="I628" s="55" t="s">
        <v>917</v>
      </c>
      <c r="K628" s="2" t="s">
        <v>242</v>
      </c>
      <c r="L628" s="1" t="str">
        <f t="shared" si="10"/>
        <v>對</v>
      </c>
      <c r="M628" s="1" t="str">
        <f t="shared" si="10"/>
        <v>對</v>
      </c>
      <c r="N628" s="1" t="str">
        <f t="shared" si="10"/>
        <v>對</v>
      </c>
    </row>
    <row r="629" spans="1:14" ht="58.5">
      <c r="A629" s="573"/>
      <c r="B629" s="580" t="s">
        <v>918</v>
      </c>
      <c r="C629" s="22" t="s">
        <v>919</v>
      </c>
      <c r="D629" s="313" t="s">
        <v>3050</v>
      </c>
      <c r="E629" s="82">
        <v>2</v>
      </c>
      <c r="F629" s="62"/>
      <c r="G629" s="88" t="s">
        <v>920</v>
      </c>
      <c r="H629" s="174" t="s">
        <v>3051</v>
      </c>
      <c r="I629" s="304" t="s">
        <v>608</v>
      </c>
      <c r="K629" s="2" t="s">
        <v>12</v>
      </c>
      <c r="L629" s="1" t="str">
        <f t="shared" si="10"/>
        <v>空白</v>
      </c>
      <c r="M629" s="1" t="str">
        <f t="shared" si="10"/>
        <v>對</v>
      </c>
      <c r="N629" s="1" t="str">
        <f>IF(ISBLANK(H629),"空白",IF(H629=E629,"對","錯"))</f>
        <v>錯</v>
      </c>
    </row>
    <row r="630" spans="1:14">
      <c r="A630" s="573"/>
      <c r="B630" s="576"/>
      <c r="C630" s="25" t="s">
        <v>921</v>
      </c>
      <c r="D630" s="310" t="s">
        <v>2507</v>
      </c>
      <c r="E630" s="83">
        <v>4</v>
      </c>
      <c r="F630" s="30"/>
      <c r="G630" s="175"/>
      <c r="H630" s="156"/>
      <c r="I630" s="28"/>
      <c r="L630" s="1" t="str">
        <f t="shared" si="10"/>
        <v>空白</v>
      </c>
      <c r="M630" s="1" t="str">
        <f t="shared" si="10"/>
        <v>空白</v>
      </c>
      <c r="N630" s="1" t="str">
        <f t="shared" si="10"/>
        <v>空白</v>
      </c>
    </row>
    <row r="631" spans="1:14">
      <c r="A631" s="573"/>
      <c r="B631" s="576"/>
      <c r="C631" s="25" t="s">
        <v>922</v>
      </c>
      <c r="D631" s="310" t="s">
        <v>2386</v>
      </c>
      <c r="E631" s="29">
        <v>3</v>
      </c>
      <c r="F631" s="30"/>
      <c r="G631" s="69"/>
      <c r="H631" s="173"/>
      <c r="I631" s="28"/>
      <c r="L631" s="1" t="str">
        <f t="shared" si="10"/>
        <v>空白</v>
      </c>
      <c r="M631" s="1" t="str">
        <f t="shared" si="10"/>
        <v>空白</v>
      </c>
      <c r="N631" s="1" t="str">
        <f t="shared" si="10"/>
        <v>空白</v>
      </c>
    </row>
    <row r="632" spans="1:14" ht="39">
      <c r="A632" s="573"/>
      <c r="B632" s="576"/>
      <c r="C632" s="25" t="s">
        <v>923</v>
      </c>
      <c r="D632" s="310" t="s">
        <v>2967</v>
      </c>
      <c r="E632" s="29">
        <v>3</v>
      </c>
      <c r="F632" s="30"/>
      <c r="G632" s="26" t="s">
        <v>924</v>
      </c>
      <c r="H632" s="27">
        <v>3</v>
      </c>
      <c r="I632" s="28" t="s">
        <v>61</v>
      </c>
      <c r="K632" s="2" t="s">
        <v>54</v>
      </c>
      <c r="L632" s="1" t="str">
        <f t="shared" si="10"/>
        <v>空白</v>
      </c>
      <c r="M632" s="1" t="str">
        <f t="shared" si="10"/>
        <v>對</v>
      </c>
      <c r="N632" s="1" t="str">
        <f t="shared" si="10"/>
        <v>對</v>
      </c>
    </row>
    <row r="633" spans="1:14">
      <c r="A633" s="573"/>
      <c r="B633" s="576"/>
      <c r="C633" s="25" t="s">
        <v>925</v>
      </c>
      <c r="D633" s="310" t="s">
        <v>2387</v>
      </c>
      <c r="E633" s="29">
        <v>5</v>
      </c>
      <c r="F633" s="30"/>
      <c r="G633" s="26"/>
      <c r="H633" s="27"/>
      <c r="I633" s="28"/>
      <c r="L633" s="1" t="str">
        <f t="shared" si="10"/>
        <v>空白</v>
      </c>
      <c r="M633" s="1" t="str">
        <f t="shared" si="10"/>
        <v>空白</v>
      </c>
      <c r="N633" s="1" t="str">
        <f t="shared" si="10"/>
        <v>空白</v>
      </c>
    </row>
    <row r="634" spans="1:14">
      <c r="A634" s="573"/>
      <c r="B634" s="576"/>
      <c r="C634" s="25" t="s">
        <v>926</v>
      </c>
      <c r="D634" s="310" t="s">
        <v>2398</v>
      </c>
      <c r="E634" s="29">
        <v>5</v>
      </c>
      <c r="F634" s="30"/>
      <c r="G634" s="26"/>
      <c r="H634" s="27"/>
      <c r="I634" s="28"/>
      <c r="L634" s="1" t="str">
        <f t="shared" si="10"/>
        <v>空白</v>
      </c>
      <c r="M634" s="1" t="str">
        <f t="shared" si="10"/>
        <v>空白</v>
      </c>
      <c r="N634" s="1" t="str">
        <f t="shared" si="10"/>
        <v>空白</v>
      </c>
    </row>
    <row r="635" spans="1:14">
      <c r="A635" s="573"/>
      <c r="B635" s="576"/>
      <c r="C635" s="25" t="s">
        <v>927</v>
      </c>
      <c r="D635" s="310" t="s">
        <v>2397</v>
      </c>
      <c r="E635" s="29">
        <v>5</v>
      </c>
      <c r="F635" s="30"/>
      <c r="G635" s="26"/>
      <c r="H635" s="27"/>
      <c r="I635" s="28"/>
      <c r="L635" s="1" t="str">
        <f t="shared" si="10"/>
        <v>空白</v>
      </c>
      <c r="M635" s="1" t="str">
        <f t="shared" si="10"/>
        <v>空白</v>
      </c>
      <c r="N635" s="1" t="str">
        <f t="shared" si="10"/>
        <v>空白</v>
      </c>
    </row>
    <row r="636" spans="1:14">
      <c r="A636" s="573"/>
      <c r="B636" s="576"/>
      <c r="C636" s="25" t="s">
        <v>928</v>
      </c>
      <c r="D636" s="308" t="s">
        <v>2396</v>
      </c>
      <c r="E636" s="29">
        <v>5</v>
      </c>
      <c r="F636" s="30"/>
      <c r="G636" s="26"/>
      <c r="H636" s="27"/>
      <c r="I636" s="28"/>
      <c r="L636" s="1" t="str">
        <f t="shared" si="10"/>
        <v>空白</v>
      </c>
      <c r="M636" s="1" t="str">
        <f t="shared" si="10"/>
        <v>空白</v>
      </c>
      <c r="N636" s="1" t="str">
        <f t="shared" si="10"/>
        <v>空白</v>
      </c>
    </row>
    <row r="637" spans="1:14" ht="39">
      <c r="A637" s="573"/>
      <c r="B637" s="576"/>
      <c r="C637" s="25" t="s">
        <v>3052</v>
      </c>
      <c r="D637" s="308" t="s">
        <v>2957</v>
      </c>
      <c r="E637" s="29">
        <v>4</v>
      </c>
      <c r="F637" s="30" t="s">
        <v>929</v>
      </c>
      <c r="G637" s="176" t="s">
        <v>930</v>
      </c>
      <c r="H637" s="112">
        <v>4</v>
      </c>
      <c r="I637" s="104" t="s">
        <v>931</v>
      </c>
      <c r="K637" s="2" t="s">
        <v>242</v>
      </c>
      <c r="L637" s="1" t="str">
        <f t="shared" si="10"/>
        <v>對</v>
      </c>
      <c r="M637" s="1" t="str">
        <f t="shared" si="10"/>
        <v>對</v>
      </c>
      <c r="N637" s="1" t="str">
        <f t="shared" si="10"/>
        <v>對</v>
      </c>
    </row>
    <row r="638" spans="1:14">
      <c r="A638" s="573"/>
      <c r="B638" s="576"/>
      <c r="C638" s="25" t="s">
        <v>932</v>
      </c>
      <c r="D638" s="308" t="s">
        <v>2390</v>
      </c>
      <c r="E638" s="29">
        <v>5</v>
      </c>
      <c r="F638" s="30"/>
      <c r="G638" s="26"/>
      <c r="H638" s="27"/>
      <c r="I638" s="28"/>
      <c r="L638" s="1" t="str">
        <f t="shared" si="10"/>
        <v>空白</v>
      </c>
      <c r="M638" s="1" t="str">
        <f t="shared" si="10"/>
        <v>空白</v>
      </c>
      <c r="N638" s="1" t="str">
        <f t="shared" si="10"/>
        <v>空白</v>
      </c>
    </row>
    <row r="639" spans="1:14">
      <c r="A639" s="573"/>
      <c r="B639" s="576"/>
      <c r="C639" s="25" t="s">
        <v>933</v>
      </c>
      <c r="D639" s="308" t="s">
        <v>2388</v>
      </c>
      <c r="E639" s="29">
        <v>4</v>
      </c>
      <c r="F639" s="30"/>
      <c r="G639" s="26"/>
      <c r="H639" s="27"/>
      <c r="I639" s="28"/>
      <c r="L639" s="1" t="str">
        <f t="shared" si="10"/>
        <v>空白</v>
      </c>
      <c r="M639" s="1" t="str">
        <f t="shared" si="10"/>
        <v>空白</v>
      </c>
      <c r="N639" s="1" t="str">
        <f t="shared" si="10"/>
        <v>空白</v>
      </c>
    </row>
    <row r="640" spans="1:14">
      <c r="A640" s="573"/>
      <c r="B640" s="576"/>
      <c r="C640" s="25" t="s">
        <v>934</v>
      </c>
      <c r="D640" s="308" t="s">
        <v>2389</v>
      </c>
      <c r="E640" s="29">
        <v>5</v>
      </c>
      <c r="F640" s="30"/>
      <c r="G640" s="26"/>
      <c r="H640" s="27"/>
      <c r="I640" s="28"/>
      <c r="L640" s="1" t="str">
        <f t="shared" si="10"/>
        <v>空白</v>
      </c>
      <c r="M640" s="1" t="str">
        <f t="shared" si="10"/>
        <v>空白</v>
      </c>
      <c r="N640" s="1" t="str">
        <f t="shared" si="10"/>
        <v>空白</v>
      </c>
    </row>
    <row r="641" spans="1:14" ht="58.5">
      <c r="A641" s="573"/>
      <c r="B641" s="576"/>
      <c r="C641" s="25" t="s">
        <v>935</v>
      </c>
      <c r="D641" s="308" t="s">
        <v>3053</v>
      </c>
      <c r="E641" s="177">
        <v>2</v>
      </c>
      <c r="F641" s="178"/>
      <c r="G641" s="92" t="s">
        <v>936</v>
      </c>
      <c r="H641" s="179">
        <v>2</v>
      </c>
      <c r="I641" s="28" t="s">
        <v>608</v>
      </c>
      <c r="K641" s="2" t="s">
        <v>12</v>
      </c>
      <c r="L641" s="1" t="str">
        <f t="shared" si="10"/>
        <v>空白</v>
      </c>
      <c r="M641" s="1" t="str">
        <f t="shared" si="10"/>
        <v>對</v>
      </c>
      <c r="N641" s="1" t="str">
        <f t="shared" si="10"/>
        <v>對</v>
      </c>
    </row>
    <row r="642" spans="1:14">
      <c r="A642" s="573"/>
      <c r="B642" s="576"/>
      <c r="C642" s="25" t="s">
        <v>937</v>
      </c>
      <c r="D642" s="308" t="s">
        <v>2508</v>
      </c>
      <c r="E642" s="177">
        <v>3</v>
      </c>
      <c r="F642" s="178"/>
      <c r="G642" s="26"/>
      <c r="H642" s="27"/>
      <c r="I642" s="28"/>
      <c r="L642" s="1" t="str">
        <f t="shared" si="10"/>
        <v>空白</v>
      </c>
      <c r="M642" s="1" t="str">
        <f t="shared" si="10"/>
        <v>空白</v>
      </c>
      <c r="N642" s="1" t="str">
        <f t="shared" si="10"/>
        <v>空白</v>
      </c>
    </row>
    <row r="643" spans="1:14" ht="39">
      <c r="A643" s="573"/>
      <c r="B643" s="576"/>
      <c r="C643" s="22" t="s">
        <v>3054</v>
      </c>
      <c r="D643" s="348" t="s">
        <v>2939</v>
      </c>
      <c r="E643" s="180">
        <v>1</v>
      </c>
      <c r="F643" s="178" t="s">
        <v>938</v>
      </c>
      <c r="G643" s="111" t="s">
        <v>863</v>
      </c>
      <c r="H643" s="112">
        <v>1</v>
      </c>
      <c r="I643" s="28" t="s">
        <v>939</v>
      </c>
      <c r="K643" s="2" t="s">
        <v>242</v>
      </c>
      <c r="L643" s="1" t="str">
        <f t="shared" si="10"/>
        <v>對</v>
      </c>
      <c r="M643" s="1" t="str">
        <f t="shared" si="10"/>
        <v>對</v>
      </c>
      <c r="N643" s="1" t="str">
        <f t="shared" si="10"/>
        <v>對</v>
      </c>
    </row>
    <row r="644" spans="1:14" ht="39">
      <c r="A644" s="573"/>
      <c r="B644" s="581"/>
      <c r="C644" s="22" t="s">
        <v>3055</v>
      </c>
      <c r="D644" s="348" t="s">
        <v>2955</v>
      </c>
      <c r="E644" s="181">
        <v>2</v>
      </c>
      <c r="F644" s="182" t="s">
        <v>940</v>
      </c>
      <c r="G644" s="37" t="s">
        <v>913</v>
      </c>
      <c r="H644" s="113">
        <v>2</v>
      </c>
      <c r="I644" s="55" t="s">
        <v>941</v>
      </c>
      <c r="K644" s="2" t="s">
        <v>242</v>
      </c>
      <c r="L644" s="1" t="str">
        <f t="shared" si="10"/>
        <v>對</v>
      </c>
      <c r="M644" s="1" t="str">
        <f t="shared" si="10"/>
        <v>對</v>
      </c>
      <c r="N644" s="1" t="str">
        <f t="shared" si="10"/>
        <v>對</v>
      </c>
    </row>
    <row r="645" spans="1:14" ht="19.5">
      <c r="A645" s="573"/>
      <c r="B645" s="577" t="s">
        <v>942</v>
      </c>
      <c r="C645" s="71" t="s">
        <v>943</v>
      </c>
      <c r="D645" s="346" t="s">
        <v>3056</v>
      </c>
      <c r="E645" s="183">
        <v>3</v>
      </c>
      <c r="F645" s="184"/>
      <c r="G645" s="185" t="s">
        <v>944</v>
      </c>
      <c r="H645" s="186">
        <v>3</v>
      </c>
      <c r="I645" s="618" t="s">
        <v>608</v>
      </c>
      <c r="K645" s="2" t="s">
        <v>12</v>
      </c>
      <c r="L645" s="1" t="str">
        <f t="shared" si="10"/>
        <v>空白</v>
      </c>
      <c r="M645" s="1" t="str">
        <f t="shared" si="10"/>
        <v>對</v>
      </c>
      <c r="N645" s="1" t="str">
        <f t="shared" si="10"/>
        <v>對</v>
      </c>
    </row>
    <row r="646" spans="1:14" ht="19.5">
      <c r="A646" s="573"/>
      <c r="B646" s="578"/>
      <c r="C646" s="25" t="s">
        <v>945</v>
      </c>
      <c r="D646" s="333" t="s">
        <v>3057</v>
      </c>
      <c r="E646" s="177">
        <v>3</v>
      </c>
      <c r="F646" s="178"/>
      <c r="G646" s="187" t="s">
        <v>946</v>
      </c>
      <c r="H646" s="179">
        <v>3</v>
      </c>
      <c r="I646" s="621"/>
      <c r="K646" s="2" t="s">
        <v>12</v>
      </c>
      <c r="L646" s="1" t="str">
        <f t="shared" ref="L646:N709" si="11">IF(ISBLANK(F646),"空白",IF(F646=C646,"對","錯"))</f>
        <v>空白</v>
      </c>
      <c r="M646" s="1" t="str">
        <f t="shared" si="11"/>
        <v>對</v>
      </c>
      <c r="N646" s="1" t="str">
        <f t="shared" si="11"/>
        <v>對</v>
      </c>
    </row>
    <row r="647" spans="1:14">
      <c r="A647" s="573"/>
      <c r="B647" s="578"/>
      <c r="C647" s="25" t="s">
        <v>947</v>
      </c>
      <c r="D647" s="333" t="s">
        <v>2509</v>
      </c>
      <c r="E647" s="177">
        <v>3</v>
      </c>
      <c r="F647" s="178"/>
      <c r="G647" s="26"/>
      <c r="H647" s="27"/>
      <c r="I647" s="28"/>
      <c r="L647" s="1" t="str">
        <f t="shared" si="11"/>
        <v>空白</v>
      </c>
      <c r="M647" s="1" t="str">
        <f t="shared" si="11"/>
        <v>空白</v>
      </c>
      <c r="N647" s="1" t="str">
        <f t="shared" si="11"/>
        <v>空白</v>
      </c>
    </row>
    <row r="648" spans="1:14">
      <c r="A648" s="573"/>
      <c r="B648" s="578"/>
      <c r="C648" s="34" t="s">
        <v>948</v>
      </c>
      <c r="D648" s="347" t="s">
        <v>2510</v>
      </c>
      <c r="E648" s="177">
        <v>4</v>
      </c>
      <c r="F648" s="178"/>
      <c r="G648" s="26"/>
      <c r="H648" s="27"/>
      <c r="I648" s="28"/>
      <c r="L648" s="1" t="str">
        <f t="shared" si="11"/>
        <v>空白</v>
      </c>
      <c r="M648" s="1" t="str">
        <f t="shared" si="11"/>
        <v>空白</v>
      </c>
      <c r="N648" s="1" t="str">
        <f t="shared" si="11"/>
        <v>空白</v>
      </c>
    </row>
    <row r="649" spans="1:14" ht="58.5">
      <c r="A649" s="573"/>
      <c r="B649" s="579"/>
      <c r="C649" s="143" t="s">
        <v>3058</v>
      </c>
      <c r="D649" s="398" t="s">
        <v>3059</v>
      </c>
      <c r="E649" s="188">
        <v>2</v>
      </c>
      <c r="F649" s="182" t="s">
        <v>949</v>
      </c>
      <c r="G649" s="189" t="s">
        <v>950</v>
      </c>
      <c r="H649" s="75">
        <v>2</v>
      </c>
      <c r="I649" s="55" t="s">
        <v>951</v>
      </c>
      <c r="K649" s="2" t="s">
        <v>242</v>
      </c>
      <c r="L649" s="1" t="str">
        <f t="shared" si="11"/>
        <v>對</v>
      </c>
      <c r="M649" s="1" t="str">
        <f t="shared" si="11"/>
        <v>對</v>
      </c>
      <c r="N649" s="1" t="str">
        <f t="shared" si="11"/>
        <v>對</v>
      </c>
    </row>
    <row r="650" spans="1:14" ht="19.5">
      <c r="A650" s="573"/>
      <c r="B650" s="592" t="s">
        <v>952</v>
      </c>
      <c r="C650" s="22" t="s">
        <v>953</v>
      </c>
      <c r="D650" s="348" t="s">
        <v>3060</v>
      </c>
      <c r="E650" s="183">
        <v>2</v>
      </c>
      <c r="F650" s="184"/>
      <c r="G650" s="190" t="s">
        <v>954</v>
      </c>
      <c r="H650" s="89">
        <v>2</v>
      </c>
      <c r="I650" s="618" t="s">
        <v>608</v>
      </c>
      <c r="K650" s="2" t="s">
        <v>12</v>
      </c>
      <c r="L650" s="1" t="str">
        <f t="shared" si="11"/>
        <v>空白</v>
      </c>
      <c r="M650" s="1" t="str">
        <f t="shared" si="11"/>
        <v>對</v>
      </c>
      <c r="N650" s="1" t="str">
        <f t="shared" si="11"/>
        <v>對</v>
      </c>
    </row>
    <row r="651" spans="1:14" ht="19.5">
      <c r="A651" s="573"/>
      <c r="B651" s="593"/>
      <c r="C651" s="25" t="s">
        <v>955</v>
      </c>
      <c r="D651" s="333" t="s">
        <v>3061</v>
      </c>
      <c r="E651" s="177">
        <v>2</v>
      </c>
      <c r="F651" s="182"/>
      <c r="G651" s="191" t="s">
        <v>956</v>
      </c>
      <c r="H651" s="192"/>
      <c r="I651" s="624"/>
      <c r="K651" s="2" t="s">
        <v>12</v>
      </c>
      <c r="L651" s="1" t="str">
        <f t="shared" si="11"/>
        <v>空白</v>
      </c>
      <c r="M651" s="1" t="str">
        <f t="shared" si="11"/>
        <v>對</v>
      </c>
      <c r="N651" s="1" t="str">
        <f t="shared" si="11"/>
        <v>空白</v>
      </c>
    </row>
    <row r="652" spans="1:14">
      <c r="A652" s="573"/>
      <c r="B652" s="580" t="s">
        <v>957</v>
      </c>
      <c r="C652" s="71" t="s">
        <v>958</v>
      </c>
      <c r="D652" s="325" t="s">
        <v>2511</v>
      </c>
      <c r="E652" s="193">
        <v>2</v>
      </c>
      <c r="F652" s="184"/>
      <c r="G652" s="190"/>
      <c r="H652" s="43"/>
      <c r="I652" s="98"/>
      <c r="L652" s="1" t="str">
        <f t="shared" si="11"/>
        <v>空白</v>
      </c>
      <c r="M652" s="1" t="str">
        <f t="shared" si="11"/>
        <v>空白</v>
      </c>
      <c r="N652" s="1" t="str">
        <f t="shared" si="11"/>
        <v>空白</v>
      </c>
    </row>
    <row r="653" spans="1:14">
      <c r="A653" s="573"/>
      <c r="B653" s="576"/>
      <c r="C653" s="22" t="s">
        <v>959</v>
      </c>
      <c r="D653" s="313" t="s">
        <v>2512</v>
      </c>
      <c r="E653" s="183">
        <v>3</v>
      </c>
      <c r="F653" s="178"/>
      <c r="G653" s="26"/>
      <c r="H653" s="27"/>
      <c r="I653" s="28"/>
      <c r="L653" s="1" t="str">
        <f t="shared" si="11"/>
        <v>空白</v>
      </c>
      <c r="M653" s="1" t="str">
        <f t="shared" si="11"/>
        <v>空白</v>
      </c>
      <c r="N653" s="1" t="str">
        <f t="shared" si="11"/>
        <v>空白</v>
      </c>
    </row>
    <row r="654" spans="1:14">
      <c r="A654" s="573"/>
      <c r="B654" s="576"/>
      <c r="C654" s="25" t="s">
        <v>960</v>
      </c>
      <c r="D654" s="333" t="s">
        <v>2513</v>
      </c>
      <c r="E654" s="177">
        <v>2</v>
      </c>
      <c r="F654" s="178"/>
      <c r="G654" s="26"/>
      <c r="H654" s="27"/>
      <c r="I654" s="28"/>
      <c r="L654" s="1" t="str">
        <f t="shared" si="11"/>
        <v>空白</v>
      </c>
      <c r="M654" s="1" t="str">
        <f t="shared" si="11"/>
        <v>空白</v>
      </c>
      <c r="N654" s="1" t="str">
        <f t="shared" si="11"/>
        <v>空白</v>
      </c>
    </row>
    <row r="655" spans="1:14">
      <c r="A655" s="573"/>
      <c r="B655" s="576"/>
      <c r="C655" s="25" t="s">
        <v>961</v>
      </c>
      <c r="D655" s="310" t="s">
        <v>2514</v>
      </c>
      <c r="E655" s="177">
        <v>2</v>
      </c>
      <c r="F655" s="178"/>
      <c r="G655" s="26"/>
      <c r="H655" s="27"/>
      <c r="I655" s="28"/>
      <c r="L655" s="1" t="str">
        <f t="shared" si="11"/>
        <v>空白</v>
      </c>
      <c r="M655" s="1" t="str">
        <f t="shared" si="11"/>
        <v>空白</v>
      </c>
      <c r="N655" s="1" t="str">
        <f t="shared" si="11"/>
        <v>空白</v>
      </c>
    </row>
    <row r="656" spans="1:14">
      <c r="A656" s="573"/>
      <c r="B656" s="576"/>
      <c r="C656" s="25" t="s">
        <v>962</v>
      </c>
      <c r="D656" s="333" t="s">
        <v>2515</v>
      </c>
      <c r="E656" s="177">
        <v>2</v>
      </c>
      <c r="F656" s="178"/>
      <c r="G656" s="26"/>
      <c r="H656" s="27"/>
      <c r="I656" s="28"/>
      <c r="L656" s="1" t="str">
        <f t="shared" si="11"/>
        <v>空白</v>
      </c>
      <c r="M656" s="1" t="str">
        <f t="shared" si="11"/>
        <v>空白</v>
      </c>
      <c r="N656" s="1" t="str">
        <f t="shared" si="11"/>
        <v>空白</v>
      </c>
    </row>
    <row r="657" spans="1:14">
      <c r="A657" s="573"/>
      <c r="B657" s="576"/>
      <c r="C657" s="25" t="s">
        <v>963</v>
      </c>
      <c r="D657" s="333" t="s">
        <v>2516</v>
      </c>
      <c r="E657" s="177">
        <v>2</v>
      </c>
      <c r="F657" s="178"/>
      <c r="G657" s="26"/>
      <c r="H657" s="27"/>
      <c r="I657" s="28"/>
      <c r="L657" s="1" t="str">
        <f t="shared" si="11"/>
        <v>空白</v>
      </c>
      <c r="M657" s="1" t="str">
        <f t="shared" si="11"/>
        <v>空白</v>
      </c>
      <c r="N657" s="1" t="str">
        <f t="shared" si="11"/>
        <v>空白</v>
      </c>
    </row>
    <row r="658" spans="1:14">
      <c r="A658" s="573"/>
      <c r="B658" s="576"/>
      <c r="C658" s="25" t="s">
        <v>964</v>
      </c>
      <c r="D658" s="333" t="s">
        <v>2517</v>
      </c>
      <c r="E658" s="177">
        <v>3</v>
      </c>
      <c r="F658" s="178"/>
      <c r="G658" s="26"/>
      <c r="H658" s="27"/>
      <c r="I658" s="28"/>
      <c r="L658" s="1" t="str">
        <f t="shared" si="11"/>
        <v>空白</v>
      </c>
      <c r="M658" s="1" t="str">
        <f t="shared" si="11"/>
        <v>空白</v>
      </c>
      <c r="N658" s="1" t="str">
        <f t="shared" si="11"/>
        <v>空白</v>
      </c>
    </row>
    <row r="659" spans="1:14" ht="39">
      <c r="A659" s="573"/>
      <c r="B659" s="576"/>
      <c r="C659" s="25" t="s">
        <v>965</v>
      </c>
      <c r="D659" s="333" t="s">
        <v>3062</v>
      </c>
      <c r="E659" s="177">
        <v>3</v>
      </c>
      <c r="F659" s="178"/>
      <c r="G659" s="110" t="s">
        <v>966</v>
      </c>
      <c r="H659" s="27">
        <v>3</v>
      </c>
      <c r="I659" s="28" t="s">
        <v>967</v>
      </c>
      <c r="K659" s="2" t="s">
        <v>54</v>
      </c>
      <c r="L659" s="1" t="str">
        <f t="shared" si="11"/>
        <v>空白</v>
      </c>
      <c r="M659" s="1" t="str">
        <f t="shared" si="11"/>
        <v>對</v>
      </c>
      <c r="N659" s="1" t="str">
        <f t="shared" si="11"/>
        <v>對</v>
      </c>
    </row>
    <row r="660" spans="1:14">
      <c r="A660" s="573"/>
      <c r="B660" s="576"/>
      <c r="C660" s="25" t="s">
        <v>968</v>
      </c>
      <c r="D660" s="333" t="s">
        <v>2518</v>
      </c>
      <c r="E660" s="177">
        <v>3</v>
      </c>
      <c r="F660" s="178"/>
      <c r="G660" s="26"/>
      <c r="H660" s="27"/>
      <c r="I660" s="28"/>
      <c r="L660" s="1" t="str">
        <f t="shared" si="11"/>
        <v>空白</v>
      </c>
      <c r="M660" s="1" t="str">
        <f t="shared" si="11"/>
        <v>空白</v>
      </c>
      <c r="N660" s="1" t="str">
        <f t="shared" si="11"/>
        <v>空白</v>
      </c>
    </row>
    <row r="661" spans="1:14">
      <c r="A661" s="573"/>
      <c r="B661" s="576"/>
      <c r="C661" s="25" t="s">
        <v>969</v>
      </c>
      <c r="D661" s="333" t="s">
        <v>2519</v>
      </c>
      <c r="E661" s="177">
        <v>3</v>
      </c>
      <c r="F661" s="178"/>
      <c r="G661" s="26"/>
      <c r="H661" s="27"/>
      <c r="I661" s="28"/>
      <c r="L661" s="1" t="str">
        <f t="shared" si="11"/>
        <v>空白</v>
      </c>
      <c r="M661" s="1" t="str">
        <f t="shared" si="11"/>
        <v>空白</v>
      </c>
      <c r="N661" s="1" t="str">
        <f t="shared" si="11"/>
        <v>空白</v>
      </c>
    </row>
    <row r="662" spans="1:14">
      <c r="A662" s="573"/>
      <c r="B662" s="576"/>
      <c r="C662" s="34" t="s">
        <v>970</v>
      </c>
      <c r="D662" s="334" t="s">
        <v>2520</v>
      </c>
      <c r="E662" s="177">
        <v>4</v>
      </c>
      <c r="F662" s="178"/>
      <c r="G662" s="26"/>
      <c r="H662" s="27"/>
      <c r="I662" s="28"/>
      <c r="L662" s="1" t="str">
        <f t="shared" si="11"/>
        <v>空白</v>
      </c>
      <c r="M662" s="1" t="str">
        <f t="shared" si="11"/>
        <v>空白</v>
      </c>
      <c r="N662" s="1" t="str">
        <f t="shared" si="11"/>
        <v>空白</v>
      </c>
    </row>
    <row r="663" spans="1:14" ht="39">
      <c r="A663" s="573"/>
      <c r="B663" s="576"/>
      <c r="C663" s="136" t="s">
        <v>3063</v>
      </c>
      <c r="D663" s="349" t="s">
        <v>3064</v>
      </c>
      <c r="E663" s="194">
        <v>3</v>
      </c>
      <c r="F663" s="195" t="s">
        <v>971</v>
      </c>
      <c r="G663" s="37" t="s">
        <v>972</v>
      </c>
      <c r="H663" s="75">
        <v>3</v>
      </c>
      <c r="I663" s="55" t="s">
        <v>973</v>
      </c>
      <c r="K663" s="2" t="s">
        <v>242</v>
      </c>
      <c r="L663" s="1" t="str">
        <f t="shared" si="11"/>
        <v>對</v>
      </c>
      <c r="M663" s="1" t="str">
        <f t="shared" si="11"/>
        <v>對</v>
      </c>
      <c r="N663" s="1" t="str">
        <f t="shared" si="11"/>
        <v>對</v>
      </c>
    </row>
    <row r="664" spans="1:14" ht="19.5">
      <c r="A664" s="573"/>
      <c r="B664" s="577" t="s">
        <v>3075</v>
      </c>
      <c r="C664" s="71" t="s">
        <v>3065</v>
      </c>
      <c r="D664" s="350" t="s">
        <v>3066</v>
      </c>
      <c r="E664" s="196">
        <v>2</v>
      </c>
      <c r="F664" s="197" t="s">
        <v>974</v>
      </c>
      <c r="G664" s="198" t="s">
        <v>975</v>
      </c>
      <c r="H664" s="199">
        <v>2</v>
      </c>
      <c r="I664" s="303" t="s">
        <v>976</v>
      </c>
      <c r="K664" s="2" t="s">
        <v>242</v>
      </c>
      <c r="L664" s="1" t="str">
        <f t="shared" si="11"/>
        <v>對</v>
      </c>
      <c r="M664" s="1" t="str">
        <f t="shared" si="11"/>
        <v>對</v>
      </c>
      <c r="N664" s="1" t="str">
        <f t="shared" si="11"/>
        <v>對</v>
      </c>
    </row>
    <row r="665" spans="1:14" ht="19.5">
      <c r="A665" s="573"/>
      <c r="B665" s="578"/>
      <c r="C665" s="25" t="s">
        <v>3067</v>
      </c>
      <c r="D665" s="351" t="s">
        <v>3068</v>
      </c>
      <c r="E665" s="200">
        <v>2</v>
      </c>
      <c r="F665" s="197" t="s">
        <v>977</v>
      </c>
      <c r="G665" s="198" t="s">
        <v>978</v>
      </c>
      <c r="H665" s="201">
        <v>2</v>
      </c>
      <c r="I665" s="305" t="s">
        <v>979</v>
      </c>
      <c r="K665" s="2" t="s">
        <v>242</v>
      </c>
      <c r="L665" s="1" t="str">
        <f t="shared" si="11"/>
        <v>對</v>
      </c>
      <c r="M665" s="1" t="str">
        <f t="shared" si="11"/>
        <v>對</v>
      </c>
      <c r="N665" s="1" t="str">
        <f t="shared" si="11"/>
        <v>對</v>
      </c>
    </row>
    <row r="666" spans="1:14" ht="39">
      <c r="A666" s="573"/>
      <c r="B666" s="578"/>
      <c r="C666" s="142" t="s">
        <v>3069</v>
      </c>
      <c r="D666" s="315" t="s">
        <v>3070</v>
      </c>
      <c r="E666" s="183">
        <v>2</v>
      </c>
      <c r="F666" s="197" t="s">
        <v>980</v>
      </c>
      <c r="G666" s="198" t="s">
        <v>981</v>
      </c>
      <c r="H666" s="202">
        <v>2</v>
      </c>
      <c r="I666" s="104" t="s">
        <v>982</v>
      </c>
      <c r="K666" s="2" t="s">
        <v>242</v>
      </c>
      <c r="L666" s="1" t="str">
        <f t="shared" si="11"/>
        <v>對</v>
      </c>
      <c r="M666" s="1" t="str">
        <f t="shared" si="11"/>
        <v>對</v>
      </c>
      <c r="N666" s="1" t="str">
        <f t="shared" si="11"/>
        <v>對</v>
      </c>
    </row>
    <row r="667" spans="1:14" ht="39">
      <c r="A667" s="573"/>
      <c r="B667" s="578"/>
      <c r="C667" s="35" t="s">
        <v>3071</v>
      </c>
      <c r="D667" s="396" t="s">
        <v>3072</v>
      </c>
      <c r="E667" s="177">
        <v>2</v>
      </c>
      <c r="F667" s="197" t="s">
        <v>983</v>
      </c>
      <c r="G667" s="203" t="s">
        <v>984</v>
      </c>
      <c r="H667" s="201">
        <v>2</v>
      </c>
      <c r="I667" s="104" t="s">
        <v>982</v>
      </c>
      <c r="K667" s="2" t="s">
        <v>242</v>
      </c>
      <c r="L667" s="1" t="str">
        <f t="shared" si="11"/>
        <v>對</v>
      </c>
      <c r="M667" s="1" t="str">
        <f t="shared" si="11"/>
        <v>對</v>
      </c>
      <c r="N667" s="1" t="str">
        <f t="shared" si="11"/>
        <v>對</v>
      </c>
    </row>
    <row r="668" spans="1:14" ht="20.25" thickBot="1">
      <c r="A668" s="573"/>
      <c r="B668" s="589"/>
      <c r="C668" s="35" t="s">
        <v>3073</v>
      </c>
      <c r="D668" s="423" t="s">
        <v>3074</v>
      </c>
      <c r="E668" s="204">
        <v>2</v>
      </c>
      <c r="F668" s="205" t="s">
        <v>985</v>
      </c>
      <c r="G668" s="206" t="s">
        <v>986</v>
      </c>
      <c r="H668" s="112">
        <v>2</v>
      </c>
      <c r="I668" s="122" t="s">
        <v>987</v>
      </c>
      <c r="K668" s="2" t="s">
        <v>242</v>
      </c>
      <c r="L668" s="1" t="str">
        <f t="shared" si="11"/>
        <v>對</v>
      </c>
      <c r="M668" s="1" t="str">
        <f t="shared" si="11"/>
        <v>對</v>
      </c>
      <c r="N668" s="1" t="str">
        <f t="shared" si="11"/>
        <v>對</v>
      </c>
    </row>
    <row r="669" spans="1:14" ht="19.5" thickTop="1">
      <c r="A669" s="572" t="s">
        <v>988</v>
      </c>
      <c r="B669" s="590" t="s">
        <v>989</v>
      </c>
      <c r="C669" s="7" t="s">
        <v>990</v>
      </c>
      <c r="D669" s="313" t="s">
        <v>2080</v>
      </c>
      <c r="E669" s="48">
        <v>1</v>
      </c>
      <c r="F669" s="23"/>
      <c r="G669" s="24"/>
      <c r="H669" s="11"/>
      <c r="I669" s="304"/>
      <c r="L669" s="1" t="str">
        <f t="shared" si="11"/>
        <v>空白</v>
      </c>
      <c r="M669" s="1" t="str">
        <f t="shared" si="11"/>
        <v>空白</v>
      </c>
      <c r="N669" s="1" t="str">
        <f t="shared" si="11"/>
        <v>空白</v>
      </c>
    </row>
    <row r="670" spans="1:14">
      <c r="A670" s="573"/>
      <c r="B670" s="585"/>
      <c r="C670" s="25" t="s">
        <v>991</v>
      </c>
      <c r="D670" s="310" t="s">
        <v>2521</v>
      </c>
      <c r="E670" s="16">
        <v>2</v>
      </c>
      <c r="F670" s="9"/>
      <c r="G670" s="26"/>
      <c r="H670" s="27"/>
      <c r="I670" s="28"/>
      <c r="L670" s="1" t="str">
        <f t="shared" si="11"/>
        <v>空白</v>
      </c>
      <c r="M670" s="1" t="str">
        <f t="shared" si="11"/>
        <v>空白</v>
      </c>
      <c r="N670" s="1" t="str">
        <f t="shared" si="11"/>
        <v>空白</v>
      </c>
    </row>
    <row r="671" spans="1:14">
      <c r="A671" s="573"/>
      <c r="B671" s="585"/>
      <c r="C671" s="25" t="s">
        <v>992</v>
      </c>
      <c r="D671" s="310" t="s">
        <v>2522</v>
      </c>
      <c r="E671" s="16">
        <v>2</v>
      </c>
      <c r="F671" s="9"/>
      <c r="G671" s="26"/>
      <c r="H671" s="27"/>
      <c r="I671" s="28"/>
      <c r="L671" s="1" t="str">
        <f t="shared" si="11"/>
        <v>空白</v>
      </c>
      <c r="M671" s="1" t="str">
        <f t="shared" si="11"/>
        <v>空白</v>
      </c>
      <c r="N671" s="1" t="str">
        <f t="shared" si="11"/>
        <v>空白</v>
      </c>
    </row>
    <row r="672" spans="1:14" ht="19.5">
      <c r="A672" s="573"/>
      <c r="B672" s="585"/>
      <c r="C672" s="25" t="s">
        <v>993</v>
      </c>
      <c r="D672" s="310" t="s">
        <v>2523</v>
      </c>
      <c r="E672" s="16" t="s">
        <v>746</v>
      </c>
      <c r="F672" s="9"/>
      <c r="G672" s="26"/>
      <c r="H672" s="27"/>
      <c r="I672" s="28"/>
      <c r="L672" s="1" t="str">
        <f t="shared" si="11"/>
        <v>空白</v>
      </c>
      <c r="M672" s="1" t="str">
        <f t="shared" si="11"/>
        <v>空白</v>
      </c>
      <c r="N672" s="1" t="str">
        <f t="shared" si="11"/>
        <v>空白</v>
      </c>
    </row>
    <row r="673" spans="1:14">
      <c r="A673" s="573"/>
      <c r="B673" s="585"/>
      <c r="C673" s="25" t="s">
        <v>994</v>
      </c>
      <c r="D673" s="310" t="s">
        <v>2524</v>
      </c>
      <c r="E673" s="16">
        <v>2</v>
      </c>
      <c r="F673" s="9"/>
      <c r="G673" s="26"/>
      <c r="H673" s="27"/>
      <c r="I673" s="28"/>
      <c r="L673" s="1" t="str">
        <f t="shared" si="11"/>
        <v>空白</v>
      </c>
      <c r="M673" s="1" t="str">
        <f t="shared" si="11"/>
        <v>空白</v>
      </c>
      <c r="N673" s="1" t="str">
        <f t="shared" si="11"/>
        <v>空白</v>
      </c>
    </row>
    <row r="674" spans="1:14" ht="19.5">
      <c r="A674" s="573"/>
      <c r="B674" s="585"/>
      <c r="C674" s="25" t="s">
        <v>995</v>
      </c>
      <c r="D674" s="310" t="s">
        <v>3076</v>
      </c>
      <c r="E674" s="16">
        <v>2</v>
      </c>
      <c r="F674" s="9"/>
      <c r="G674" s="198" t="s">
        <v>996</v>
      </c>
      <c r="H674" s="27">
        <v>2</v>
      </c>
      <c r="I674" s="620" t="s">
        <v>61</v>
      </c>
      <c r="K674" s="2" t="s">
        <v>54</v>
      </c>
      <c r="L674" s="1" t="str">
        <f t="shared" si="11"/>
        <v>空白</v>
      </c>
      <c r="M674" s="1" t="str">
        <f t="shared" si="11"/>
        <v>對</v>
      </c>
      <c r="N674" s="1" t="str">
        <f t="shared" si="11"/>
        <v>對</v>
      </c>
    </row>
    <row r="675" spans="1:14" ht="19.5">
      <c r="A675" s="573"/>
      <c r="B675" s="585"/>
      <c r="C675" s="25" t="s">
        <v>997</v>
      </c>
      <c r="D675" s="310" t="s">
        <v>3077</v>
      </c>
      <c r="E675" s="16">
        <v>1</v>
      </c>
      <c r="F675" s="9"/>
      <c r="G675" s="198" t="s">
        <v>998</v>
      </c>
      <c r="H675" s="27">
        <v>1</v>
      </c>
      <c r="I675" s="624"/>
      <c r="K675" s="2" t="s">
        <v>54</v>
      </c>
      <c r="L675" s="1" t="str">
        <f t="shared" si="11"/>
        <v>空白</v>
      </c>
      <c r="M675" s="1" t="str">
        <f t="shared" si="11"/>
        <v>對</v>
      </c>
      <c r="N675" s="1" t="str">
        <f t="shared" si="11"/>
        <v>對</v>
      </c>
    </row>
    <row r="676" spans="1:14" ht="19.5">
      <c r="A676" s="573"/>
      <c r="B676" s="585"/>
      <c r="C676" s="25" t="s">
        <v>999</v>
      </c>
      <c r="D676" s="308" t="s">
        <v>3078</v>
      </c>
      <c r="E676" s="16">
        <v>2</v>
      </c>
      <c r="F676" s="9"/>
      <c r="G676" s="198" t="s">
        <v>1000</v>
      </c>
      <c r="H676" s="27">
        <v>2</v>
      </c>
      <c r="I676" s="621"/>
      <c r="K676" s="2" t="s">
        <v>54</v>
      </c>
      <c r="L676" s="1" t="str">
        <f t="shared" si="11"/>
        <v>空白</v>
      </c>
      <c r="M676" s="1" t="str">
        <f t="shared" si="11"/>
        <v>對</v>
      </c>
      <c r="N676" s="1" t="str">
        <f t="shared" si="11"/>
        <v>對</v>
      </c>
    </row>
    <row r="677" spans="1:14" ht="19.5">
      <c r="A677" s="573"/>
      <c r="B677" s="585"/>
      <c r="C677" s="132" t="s">
        <v>1001</v>
      </c>
      <c r="D677" s="332" t="s">
        <v>3079</v>
      </c>
      <c r="E677" s="16">
        <v>2</v>
      </c>
      <c r="F677" s="9"/>
      <c r="G677" s="198" t="s">
        <v>1002</v>
      </c>
      <c r="H677" s="73">
        <v>2</v>
      </c>
      <c r="I677" s="28" t="s">
        <v>1003</v>
      </c>
      <c r="K677" s="2" t="s">
        <v>54</v>
      </c>
      <c r="L677" s="1" t="str">
        <f t="shared" si="11"/>
        <v>空白</v>
      </c>
      <c r="M677" s="1" t="str">
        <f t="shared" si="11"/>
        <v>對</v>
      </c>
      <c r="N677" s="1" t="str">
        <f t="shared" si="11"/>
        <v>對</v>
      </c>
    </row>
    <row r="678" spans="1:14">
      <c r="A678" s="573"/>
      <c r="B678" s="585"/>
      <c r="C678" s="25" t="s">
        <v>1004</v>
      </c>
      <c r="D678" s="308" t="s">
        <v>2525</v>
      </c>
      <c r="E678" s="16">
        <v>2</v>
      </c>
      <c r="F678" s="9"/>
      <c r="G678" s="26"/>
      <c r="H678" s="27"/>
      <c r="I678" s="28"/>
      <c r="L678" s="1" t="str">
        <f t="shared" si="11"/>
        <v>空白</v>
      </c>
      <c r="M678" s="1" t="str">
        <f t="shared" si="11"/>
        <v>空白</v>
      </c>
      <c r="N678" s="1" t="str">
        <f t="shared" si="11"/>
        <v>空白</v>
      </c>
    </row>
    <row r="679" spans="1:14">
      <c r="A679" s="573"/>
      <c r="B679" s="585"/>
      <c r="C679" s="25" t="s">
        <v>1005</v>
      </c>
      <c r="D679" s="308" t="s">
        <v>2526</v>
      </c>
      <c r="E679" s="16">
        <v>3</v>
      </c>
      <c r="F679" s="9"/>
      <c r="G679" s="26"/>
      <c r="H679" s="27"/>
      <c r="I679" s="28"/>
      <c r="L679" s="1" t="str">
        <f t="shared" si="11"/>
        <v>空白</v>
      </c>
      <c r="M679" s="1" t="str">
        <f t="shared" si="11"/>
        <v>空白</v>
      </c>
      <c r="N679" s="1" t="str">
        <f t="shared" si="11"/>
        <v>空白</v>
      </c>
    </row>
    <row r="680" spans="1:14">
      <c r="A680" s="573"/>
      <c r="B680" s="591"/>
      <c r="C680" s="63" t="s">
        <v>1006</v>
      </c>
      <c r="D680" s="337" t="s">
        <v>2489</v>
      </c>
      <c r="E680" s="52">
        <v>3</v>
      </c>
      <c r="F680" s="58"/>
      <c r="G680" s="18"/>
      <c r="H680" s="19"/>
      <c r="I680" s="55"/>
      <c r="L680" s="1" t="str">
        <f t="shared" si="11"/>
        <v>空白</v>
      </c>
      <c r="M680" s="1" t="str">
        <f t="shared" si="11"/>
        <v>空白</v>
      </c>
      <c r="N680" s="1" t="str">
        <f t="shared" si="11"/>
        <v>空白</v>
      </c>
    </row>
    <row r="681" spans="1:14">
      <c r="A681" s="573"/>
      <c r="B681" s="584" t="s">
        <v>1007</v>
      </c>
      <c r="C681" s="71" t="s">
        <v>1008</v>
      </c>
      <c r="D681" s="325" t="s">
        <v>2203</v>
      </c>
      <c r="E681" s="48">
        <v>1</v>
      </c>
      <c r="F681" s="23"/>
      <c r="G681" s="95"/>
      <c r="H681" s="89"/>
      <c r="I681" s="304"/>
      <c r="L681" s="1" t="str">
        <f t="shared" si="11"/>
        <v>空白</v>
      </c>
      <c r="M681" s="1" t="str">
        <f t="shared" si="11"/>
        <v>空白</v>
      </c>
      <c r="N681" s="1" t="str">
        <f t="shared" si="11"/>
        <v>空白</v>
      </c>
    </row>
    <row r="682" spans="1:14">
      <c r="A682" s="573"/>
      <c r="B682" s="585"/>
      <c r="C682" s="25" t="s">
        <v>1009</v>
      </c>
      <c r="D682" s="310" t="s">
        <v>2527</v>
      </c>
      <c r="E682" s="16">
        <v>2</v>
      </c>
      <c r="F682" s="9"/>
      <c r="G682" s="175"/>
      <c r="H682" s="73"/>
      <c r="I682" s="28"/>
      <c r="L682" s="1" t="str">
        <f t="shared" si="11"/>
        <v>空白</v>
      </c>
      <c r="M682" s="1" t="str">
        <f t="shared" si="11"/>
        <v>空白</v>
      </c>
      <c r="N682" s="1" t="str">
        <f t="shared" si="11"/>
        <v>空白</v>
      </c>
    </row>
    <row r="683" spans="1:14">
      <c r="A683" s="573"/>
      <c r="B683" s="585"/>
      <c r="C683" s="25" t="s">
        <v>1010</v>
      </c>
      <c r="D683" s="310" t="s">
        <v>2528</v>
      </c>
      <c r="E683" s="16">
        <v>2</v>
      </c>
      <c r="F683" s="9"/>
      <c r="G683" s="26"/>
      <c r="H683" s="27"/>
      <c r="I683" s="28"/>
      <c r="L683" s="1" t="str">
        <f t="shared" si="11"/>
        <v>空白</v>
      </c>
      <c r="M683" s="1" t="str">
        <f t="shared" si="11"/>
        <v>空白</v>
      </c>
      <c r="N683" s="1" t="str">
        <f t="shared" si="11"/>
        <v>空白</v>
      </c>
    </row>
    <row r="684" spans="1:14">
      <c r="A684" s="573"/>
      <c r="B684" s="585"/>
      <c r="C684" s="25" t="s">
        <v>1011</v>
      </c>
      <c r="D684" s="308" t="s">
        <v>2529</v>
      </c>
      <c r="E684" s="16">
        <v>5</v>
      </c>
      <c r="F684" s="9"/>
      <c r="G684" s="26"/>
      <c r="H684" s="27"/>
      <c r="I684" s="28"/>
      <c r="L684" s="1" t="str">
        <f t="shared" si="11"/>
        <v>空白</v>
      </c>
      <c r="M684" s="1" t="str">
        <f t="shared" si="11"/>
        <v>空白</v>
      </c>
      <c r="N684" s="1" t="str">
        <f t="shared" si="11"/>
        <v>空白</v>
      </c>
    </row>
    <row r="685" spans="1:14">
      <c r="A685" s="573"/>
      <c r="B685" s="585"/>
      <c r="C685" s="25" t="s">
        <v>1012</v>
      </c>
      <c r="D685" s="308" t="s">
        <v>2530</v>
      </c>
      <c r="E685" s="16">
        <v>2</v>
      </c>
      <c r="F685" s="9"/>
      <c r="G685" s="26"/>
      <c r="H685" s="27"/>
      <c r="I685" s="28"/>
      <c r="L685" s="1" t="str">
        <f t="shared" si="11"/>
        <v>空白</v>
      </c>
      <c r="M685" s="1" t="str">
        <f t="shared" si="11"/>
        <v>空白</v>
      </c>
      <c r="N685" s="1" t="str">
        <f t="shared" si="11"/>
        <v>空白</v>
      </c>
    </row>
    <row r="686" spans="1:14">
      <c r="A686" s="573"/>
      <c r="B686" s="585"/>
      <c r="C686" s="25" t="s">
        <v>1013</v>
      </c>
      <c r="D686" s="308" t="s">
        <v>2531</v>
      </c>
      <c r="E686" s="16">
        <v>2</v>
      </c>
      <c r="F686" s="9"/>
      <c r="G686" s="26"/>
      <c r="H686" s="27"/>
      <c r="I686" s="28"/>
      <c r="L686" s="1" t="str">
        <f t="shared" si="11"/>
        <v>空白</v>
      </c>
      <c r="M686" s="1" t="str">
        <f t="shared" si="11"/>
        <v>空白</v>
      </c>
      <c r="N686" s="1" t="str">
        <f t="shared" si="11"/>
        <v>空白</v>
      </c>
    </row>
    <row r="687" spans="1:14">
      <c r="A687" s="573"/>
      <c r="B687" s="585"/>
      <c r="C687" s="25" t="s">
        <v>1014</v>
      </c>
      <c r="D687" s="308" t="s">
        <v>2532</v>
      </c>
      <c r="E687" s="16">
        <v>2</v>
      </c>
      <c r="F687" s="9"/>
      <c r="G687" s="26"/>
      <c r="H687" s="27"/>
      <c r="I687" s="28"/>
      <c r="L687" s="1" t="str">
        <f t="shared" si="11"/>
        <v>空白</v>
      </c>
      <c r="M687" s="1" t="str">
        <f t="shared" si="11"/>
        <v>空白</v>
      </c>
      <c r="N687" s="1" t="str">
        <f t="shared" si="11"/>
        <v>空白</v>
      </c>
    </row>
    <row r="688" spans="1:14">
      <c r="A688" s="573"/>
      <c r="B688" s="585"/>
      <c r="C688" s="63" t="s">
        <v>1015</v>
      </c>
      <c r="D688" s="337" t="s">
        <v>2533</v>
      </c>
      <c r="E688" s="67">
        <v>3</v>
      </c>
      <c r="F688" s="9"/>
      <c r="G688" s="26"/>
      <c r="H688" s="27"/>
      <c r="I688" s="28"/>
      <c r="L688" s="1" t="str">
        <f t="shared" si="11"/>
        <v>空白</v>
      </c>
      <c r="M688" s="1" t="str">
        <f t="shared" si="11"/>
        <v>空白</v>
      </c>
      <c r="N688" s="1" t="str">
        <f t="shared" si="11"/>
        <v>空白</v>
      </c>
    </row>
    <row r="689" spans="1:14" ht="39.75" thickBot="1">
      <c r="A689" s="574"/>
      <c r="B689" s="586"/>
      <c r="C689" s="15" t="s">
        <v>3080</v>
      </c>
      <c r="D689" s="399" t="s">
        <v>3081</v>
      </c>
      <c r="E689" s="139">
        <v>2</v>
      </c>
      <c r="F689" s="17" t="s">
        <v>1016</v>
      </c>
      <c r="G689" s="137" t="s">
        <v>1017</v>
      </c>
      <c r="H689" s="121">
        <v>2</v>
      </c>
      <c r="I689" s="65" t="s">
        <v>1018</v>
      </c>
      <c r="K689" s="2" t="s">
        <v>242</v>
      </c>
      <c r="L689" s="1" t="str">
        <f t="shared" si="11"/>
        <v>對</v>
      </c>
      <c r="M689" s="1" t="str">
        <f t="shared" si="11"/>
        <v>對</v>
      </c>
      <c r="N689" s="1" t="str">
        <f t="shared" si="11"/>
        <v>對</v>
      </c>
    </row>
    <row r="690" spans="1:14" ht="19.5" thickTop="1">
      <c r="A690" s="572" t="s">
        <v>1019</v>
      </c>
      <c r="B690" s="575" t="s">
        <v>1020</v>
      </c>
      <c r="C690" s="22" t="s">
        <v>1021</v>
      </c>
      <c r="D690" s="313" t="s">
        <v>2534</v>
      </c>
      <c r="E690" s="48">
        <v>1</v>
      </c>
      <c r="F690" s="23"/>
      <c r="G690" s="24"/>
      <c r="H690" s="43"/>
      <c r="I690" s="304"/>
      <c r="L690" s="1" t="str">
        <f t="shared" si="11"/>
        <v>空白</v>
      </c>
      <c r="M690" s="1" t="str">
        <f t="shared" si="11"/>
        <v>空白</v>
      </c>
      <c r="N690" s="1" t="str">
        <f t="shared" si="11"/>
        <v>空白</v>
      </c>
    </row>
    <row r="691" spans="1:14" ht="19.5">
      <c r="A691" s="573"/>
      <c r="B691" s="576"/>
      <c r="C691" s="25" t="s">
        <v>1022</v>
      </c>
      <c r="D691" s="310" t="s">
        <v>3082</v>
      </c>
      <c r="E691" s="16">
        <v>1</v>
      </c>
      <c r="F691" s="9"/>
      <c r="G691" s="109" t="s">
        <v>1023</v>
      </c>
      <c r="H691" s="27">
        <v>1</v>
      </c>
      <c r="I691" s="620" t="s">
        <v>1024</v>
      </c>
      <c r="K691" s="2" t="s">
        <v>13</v>
      </c>
      <c r="L691" s="1" t="str">
        <f t="shared" si="11"/>
        <v>空白</v>
      </c>
      <c r="M691" s="1" t="str">
        <f t="shared" si="11"/>
        <v>對</v>
      </c>
      <c r="N691" s="1" t="str">
        <f t="shared" si="11"/>
        <v>對</v>
      </c>
    </row>
    <row r="692" spans="1:14" ht="19.5">
      <c r="A692" s="573"/>
      <c r="B692" s="576"/>
      <c r="C692" s="25" t="s">
        <v>1025</v>
      </c>
      <c r="D692" s="310" t="s">
        <v>3083</v>
      </c>
      <c r="E692" s="16">
        <v>1</v>
      </c>
      <c r="F692" s="9" t="s">
        <v>1025</v>
      </c>
      <c r="G692" s="109" t="s">
        <v>1026</v>
      </c>
      <c r="H692" s="27">
        <v>1</v>
      </c>
      <c r="I692" s="624"/>
      <c r="K692" s="2" t="s">
        <v>116</v>
      </c>
      <c r="L692" s="1" t="str">
        <f t="shared" si="11"/>
        <v>對</v>
      </c>
      <c r="M692" s="1" t="str">
        <f t="shared" si="11"/>
        <v>對</v>
      </c>
      <c r="N692" s="1" t="str">
        <f t="shared" si="11"/>
        <v>對</v>
      </c>
    </row>
    <row r="693" spans="1:14" ht="19.5">
      <c r="A693" s="573"/>
      <c r="B693" s="576"/>
      <c r="C693" s="25" t="s">
        <v>1027</v>
      </c>
      <c r="D693" s="310" t="s">
        <v>3084</v>
      </c>
      <c r="E693" s="16">
        <v>1</v>
      </c>
      <c r="F693" s="9" t="s">
        <v>1027</v>
      </c>
      <c r="G693" s="109" t="s">
        <v>1028</v>
      </c>
      <c r="H693" s="27">
        <v>1</v>
      </c>
      <c r="I693" s="621"/>
      <c r="K693" s="2" t="s">
        <v>116</v>
      </c>
      <c r="L693" s="1" t="str">
        <f t="shared" si="11"/>
        <v>對</v>
      </c>
      <c r="M693" s="1" t="str">
        <f t="shared" si="11"/>
        <v>對</v>
      </c>
      <c r="N693" s="1" t="str">
        <f t="shared" si="11"/>
        <v>對</v>
      </c>
    </row>
    <row r="694" spans="1:14" ht="19.5">
      <c r="A694" s="573"/>
      <c r="B694" s="576"/>
      <c r="C694" s="25" t="s">
        <v>1029</v>
      </c>
      <c r="D694" s="310" t="s">
        <v>3085</v>
      </c>
      <c r="E694" s="16">
        <v>3</v>
      </c>
      <c r="F694" s="9"/>
      <c r="G694" s="109" t="s">
        <v>1030</v>
      </c>
      <c r="H694" s="27">
        <v>3</v>
      </c>
      <c r="I694" s="620" t="s">
        <v>1024</v>
      </c>
      <c r="K694" s="2" t="s">
        <v>13</v>
      </c>
      <c r="L694" s="1" t="str">
        <f t="shared" si="11"/>
        <v>空白</v>
      </c>
      <c r="M694" s="1" t="str">
        <f t="shared" si="11"/>
        <v>對</v>
      </c>
      <c r="N694" s="1" t="str">
        <f t="shared" si="11"/>
        <v>對</v>
      </c>
    </row>
    <row r="695" spans="1:14" ht="19.5">
      <c r="A695" s="573"/>
      <c r="B695" s="576"/>
      <c r="C695" s="25" t="s">
        <v>1031</v>
      </c>
      <c r="D695" s="310" t="s">
        <v>3086</v>
      </c>
      <c r="E695" s="16">
        <v>3</v>
      </c>
      <c r="F695" s="9" t="s">
        <v>1031</v>
      </c>
      <c r="G695" s="109" t="s">
        <v>1032</v>
      </c>
      <c r="H695" s="27">
        <v>3</v>
      </c>
      <c r="I695" s="624"/>
      <c r="K695" s="2" t="s">
        <v>116</v>
      </c>
      <c r="L695" s="1" t="str">
        <f t="shared" si="11"/>
        <v>對</v>
      </c>
      <c r="M695" s="1" t="str">
        <f t="shared" si="11"/>
        <v>對</v>
      </c>
      <c r="N695" s="1" t="str">
        <f t="shared" si="11"/>
        <v>對</v>
      </c>
    </row>
    <row r="696" spans="1:14" ht="19.5">
      <c r="A696" s="573"/>
      <c r="B696" s="576"/>
      <c r="C696" s="25" t="s">
        <v>1033</v>
      </c>
      <c r="D696" s="308" t="s">
        <v>3087</v>
      </c>
      <c r="E696" s="16">
        <v>3</v>
      </c>
      <c r="F696" s="9" t="s">
        <v>1033</v>
      </c>
      <c r="G696" s="111" t="s">
        <v>1034</v>
      </c>
      <c r="H696" s="32">
        <v>3</v>
      </c>
      <c r="I696" s="621"/>
      <c r="K696" s="2" t="s">
        <v>116</v>
      </c>
      <c r="L696" s="1" t="str">
        <f t="shared" si="11"/>
        <v>對</v>
      </c>
      <c r="M696" s="1" t="str">
        <f t="shared" si="11"/>
        <v>對</v>
      </c>
      <c r="N696" s="1" t="str">
        <f t="shared" si="11"/>
        <v>對</v>
      </c>
    </row>
    <row r="697" spans="1:14">
      <c r="A697" s="573"/>
      <c r="B697" s="576"/>
      <c r="C697" s="25" t="s">
        <v>1035</v>
      </c>
      <c r="D697" s="310" t="s">
        <v>2535</v>
      </c>
      <c r="E697" s="16">
        <v>2</v>
      </c>
      <c r="F697" s="9"/>
      <c r="G697" s="26"/>
      <c r="H697" s="27"/>
      <c r="I697" s="28"/>
      <c r="L697" s="1" t="str">
        <f t="shared" si="11"/>
        <v>空白</v>
      </c>
      <c r="M697" s="1" t="str">
        <f t="shared" si="11"/>
        <v>空白</v>
      </c>
      <c r="N697" s="1" t="str">
        <f t="shared" si="11"/>
        <v>空白</v>
      </c>
    </row>
    <row r="698" spans="1:14">
      <c r="A698" s="573"/>
      <c r="B698" s="576"/>
      <c r="C698" s="25" t="s">
        <v>1036</v>
      </c>
      <c r="D698" s="310" t="s">
        <v>2536</v>
      </c>
      <c r="E698" s="16">
        <v>2</v>
      </c>
      <c r="F698" s="9"/>
      <c r="G698" s="26"/>
      <c r="H698" s="27"/>
      <c r="I698" s="28"/>
      <c r="L698" s="1" t="str">
        <f t="shared" si="11"/>
        <v>空白</v>
      </c>
      <c r="M698" s="1" t="str">
        <f t="shared" si="11"/>
        <v>空白</v>
      </c>
      <c r="N698" s="1" t="str">
        <f t="shared" si="11"/>
        <v>空白</v>
      </c>
    </row>
    <row r="699" spans="1:14">
      <c r="A699" s="573"/>
      <c r="B699" s="576"/>
      <c r="C699" s="25" t="s">
        <v>1037</v>
      </c>
      <c r="D699" s="310" t="s">
        <v>2537</v>
      </c>
      <c r="E699" s="16">
        <v>2</v>
      </c>
      <c r="F699" s="9"/>
      <c r="G699" s="69"/>
      <c r="H699" s="27"/>
      <c r="I699" s="28"/>
      <c r="L699" s="1" t="str">
        <f t="shared" si="11"/>
        <v>空白</v>
      </c>
      <c r="M699" s="1" t="str">
        <f t="shared" si="11"/>
        <v>空白</v>
      </c>
      <c r="N699" s="1" t="str">
        <f t="shared" si="11"/>
        <v>空白</v>
      </c>
    </row>
    <row r="700" spans="1:14" ht="39">
      <c r="A700" s="573"/>
      <c r="B700" s="576"/>
      <c r="C700" s="25" t="s">
        <v>1038</v>
      </c>
      <c r="D700" s="310" t="s">
        <v>2909</v>
      </c>
      <c r="E700" s="16">
        <v>2</v>
      </c>
      <c r="F700" s="9"/>
      <c r="G700" s="69" t="s">
        <v>1039</v>
      </c>
      <c r="H700" s="27">
        <v>2</v>
      </c>
      <c r="I700" s="28" t="s">
        <v>61</v>
      </c>
      <c r="K700" s="2" t="s">
        <v>54</v>
      </c>
      <c r="L700" s="1" t="str">
        <f t="shared" si="11"/>
        <v>空白</v>
      </c>
      <c r="M700" s="1" t="str">
        <f t="shared" si="11"/>
        <v>對</v>
      </c>
      <c r="N700" s="1" t="str">
        <f t="shared" si="11"/>
        <v>對</v>
      </c>
    </row>
    <row r="701" spans="1:14" ht="19.5">
      <c r="A701" s="573"/>
      <c r="B701" s="576"/>
      <c r="C701" s="132" t="s">
        <v>1040</v>
      </c>
      <c r="D701" s="314" t="s">
        <v>3088</v>
      </c>
      <c r="E701" s="16">
        <v>2</v>
      </c>
      <c r="F701" s="9"/>
      <c r="G701" s="107" t="s">
        <v>1041</v>
      </c>
      <c r="H701" s="73">
        <v>2</v>
      </c>
      <c r="I701" s="28" t="s">
        <v>1042</v>
      </c>
      <c r="K701" s="2" t="s">
        <v>35</v>
      </c>
      <c r="L701" s="1" t="str">
        <f t="shared" si="11"/>
        <v>空白</v>
      </c>
      <c r="M701" s="1" t="str">
        <f t="shared" si="11"/>
        <v>對</v>
      </c>
      <c r="N701" s="1" t="str">
        <f t="shared" si="11"/>
        <v>對</v>
      </c>
    </row>
    <row r="702" spans="1:14">
      <c r="A702" s="573"/>
      <c r="B702" s="576"/>
      <c r="C702" s="25" t="s">
        <v>1043</v>
      </c>
      <c r="D702" s="310" t="s">
        <v>2538</v>
      </c>
      <c r="E702" s="16">
        <v>1</v>
      </c>
      <c r="F702" s="9"/>
      <c r="G702" s="26"/>
      <c r="H702" s="27"/>
      <c r="I702" s="28"/>
      <c r="L702" s="1" t="str">
        <f t="shared" si="11"/>
        <v>空白</v>
      </c>
      <c r="M702" s="1" t="str">
        <f t="shared" si="11"/>
        <v>空白</v>
      </c>
      <c r="N702" s="1" t="str">
        <f t="shared" si="11"/>
        <v>空白</v>
      </c>
    </row>
    <row r="703" spans="1:14" ht="58.5">
      <c r="A703" s="573"/>
      <c r="B703" s="576"/>
      <c r="C703" s="22" t="s">
        <v>3089</v>
      </c>
      <c r="D703" s="310" t="s">
        <v>3090</v>
      </c>
      <c r="E703" s="67">
        <v>1</v>
      </c>
      <c r="F703" s="9" t="s">
        <v>1044</v>
      </c>
      <c r="G703" s="109" t="s">
        <v>1045</v>
      </c>
      <c r="H703" s="112">
        <v>1</v>
      </c>
      <c r="I703" s="28" t="s">
        <v>1046</v>
      </c>
      <c r="K703" s="2" t="s">
        <v>242</v>
      </c>
      <c r="L703" s="1" t="str">
        <f t="shared" si="11"/>
        <v>對</v>
      </c>
      <c r="M703" s="1" t="str">
        <f t="shared" si="11"/>
        <v>對</v>
      </c>
      <c r="N703" s="1" t="str">
        <f t="shared" si="11"/>
        <v>對</v>
      </c>
    </row>
    <row r="704" spans="1:14" ht="39">
      <c r="A704" s="573"/>
      <c r="B704" s="576"/>
      <c r="C704" s="22" t="s">
        <v>3091</v>
      </c>
      <c r="D704" s="310" t="s">
        <v>3092</v>
      </c>
      <c r="E704" s="67">
        <v>2</v>
      </c>
      <c r="F704" s="9" t="s">
        <v>1047</v>
      </c>
      <c r="G704" s="109" t="s">
        <v>1048</v>
      </c>
      <c r="H704" s="112">
        <v>2</v>
      </c>
      <c r="I704" s="28" t="s">
        <v>1049</v>
      </c>
      <c r="K704" s="2" t="s">
        <v>242</v>
      </c>
      <c r="L704" s="1" t="str">
        <f t="shared" si="11"/>
        <v>對</v>
      </c>
      <c r="M704" s="1" t="str">
        <f t="shared" si="11"/>
        <v>對</v>
      </c>
      <c r="N704" s="1" t="str">
        <f t="shared" si="11"/>
        <v>對</v>
      </c>
    </row>
    <row r="705" spans="1:14" ht="58.5">
      <c r="A705" s="573"/>
      <c r="B705" s="576"/>
      <c r="C705" s="22" t="s">
        <v>1050</v>
      </c>
      <c r="D705" s="310" t="s">
        <v>3093</v>
      </c>
      <c r="E705" s="67">
        <v>2</v>
      </c>
      <c r="F705" s="9" t="s">
        <v>1050</v>
      </c>
      <c r="G705" s="109" t="s">
        <v>1051</v>
      </c>
      <c r="H705" s="112">
        <v>2</v>
      </c>
      <c r="I705" s="28" t="s">
        <v>1052</v>
      </c>
      <c r="K705" s="2" t="s">
        <v>242</v>
      </c>
      <c r="L705" s="1" t="str">
        <f t="shared" si="11"/>
        <v>對</v>
      </c>
      <c r="M705" s="1" t="str">
        <f t="shared" si="11"/>
        <v>對</v>
      </c>
      <c r="N705" s="1" t="str">
        <f t="shared" si="11"/>
        <v>對</v>
      </c>
    </row>
    <row r="706" spans="1:14" ht="19.5">
      <c r="A706" s="573"/>
      <c r="B706" s="576"/>
      <c r="C706" s="22" t="s">
        <v>1053</v>
      </c>
      <c r="D706" s="310" t="s">
        <v>3094</v>
      </c>
      <c r="E706" s="52">
        <v>1</v>
      </c>
      <c r="F706" s="9" t="s">
        <v>1053</v>
      </c>
      <c r="G706" s="109" t="s">
        <v>1054</v>
      </c>
      <c r="H706" s="112">
        <v>1</v>
      </c>
      <c r="I706" s="28" t="s">
        <v>1055</v>
      </c>
      <c r="K706" s="2" t="s">
        <v>242</v>
      </c>
      <c r="L706" s="1" t="str">
        <f t="shared" si="11"/>
        <v>對</v>
      </c>
      <c r="M706" s="1" t="str">
        <f t="shared" si="11"/>
        <v>對</v>
      </c>
      <c r="N706" s="1" t="str">
        <f t="shared" si="11"/>
        <v>對</v>
      </c>
    </row>
    <row r="707" spans="1:14" ht="39">
      <c r="A707" s="573"/>
      <c r="B707" s="576"/>
      <c r="C707" s="22" t="s">
        <v>1056</v>
      </c>
      <c r="D707" s="444" t="s">
        <v>3095</v>
      </c>
      <c r="E707" s="48">
        <v>1</v>
      </c>
      <c r="F707" s="9" t="s">
        <v>1056</v>
      </c>
      <c r="G707" s="114" t="s">
        <v>1057</v>
      </c>
      <c r="H707" s="112">
        <v>1</v>
      </c>
      <c r="I707" s="28" t="s">
        <v>1058</v>
      </c>
      <c r="K707" s="2" t="s">
        <v>242</v>
      </c>
      <c r="L707" s="1" t="str">
        <f t="shared" si="11"/>
        <v>對</v>
      </c>
      <c r="M707" s="1" t="str">
        <f t="shared" si="11"/>
        <v>對</v>
      </c>
      <c r="N707" s="1" t="str">
        <f t="shared" si="11"/>
        <v>對</v>
      </c>
    </row>
    <row r="708" spans="1:14" ht="19.5">
      <c r="A708" s="573"/>
      <c r="B708" s="576"/>
      <c r="C708" s="22" t="s">
        <v>1059</v>
      </c>
      <c r="D708" s="444" t="s">
        <v>3096</v>
      </c>
      <c r="E708" s="16">
        <v>1</v>
      </c>
      <c r="F708" s="9" t="s">
        <v>1059</v>
      </c>
      <c r="G708" s="114" t="s">
        <v>1060</v>
      </c>
      <c r="H708" s="112">
        <v>1</v>
      </c>
      <c r="I708" s="620" t="s">
        <v>1061</v>
      </c>
      <c r="K708" s="2" t="s">
        <v>242</v>
      </c>
      <c r="L708" s="1" t="str">
        <f t="shared" si="11"/>
        <v>對</v>
      </c>
      <c r="M708" s="1" t="str">
        <f t="shared" si="11"/>
        <v>對</v>
      </c>
      <c r="N708" s="1" t="str">
        <f t="shared" si="11"/>
        <v>對</v>
      </c>
    </row>
    <row r="709" spans="1:14" ht="19.5">
      <c r="A709" s="573"/>
      <c r="B709" s="581"/>
      <c r="C709" s="22" t="s">
        <v>1062</v>
      </c>
      <c r="D709" s="445" t="s">
        <v>3097</v>
      </c>
      <c r="E709" s="118">
        <v>2</v>
      </c>
      <c r="F709" s="9" t="s">
        <v>1062</v>
      </c>
      <c r="G709" s="115" t="s">
        <v>1063</v>
      </c>
      <c r="H709" s="75">
        <v>2</v>
      </c>
      <c r="I709" s="619"/>
      <c r="K709" s="2" t="s">
        <v>242</v>
      </c>
      <c r="L709" s="1" t="str">
        <f t="shared" si="11"/>
        <v>對</v>
      </c>
      <c r="M709" s="1" t="str">
        <f t="shared" si="11"/>
        <v>對</v>
      </c>
      <c r="N709" s="1" t="str">
        <f t="shared" si="11"/>
        <v>對</v>
      </c>
    </row>
    <row r="710" spans="1:14">
      <c r="A710" s="573"/>
      <c r="B710" s="580" t="s">
        <v>1064</v>
      </c>
      <c r="C710" s="71" t="s">
        <v>1065</v>
      </c>
      <c r="D710" s="325" t="s">
        <v>2539</v>
      </c>
      <c r="E710" s="48">
        <v>1</v>
      </c>
      <c r="F710" s="42"/>
      <c r="G710" s="208"/>
      <c r="H710" s="209"/>
      <c r="I710" s="304"/>
      <c r="L710" s="1" t="str">
        <f t="shared" ref="L710:N773" si="12">IF(ISBLANK(F710),"空白",IF(F710=C710,"對","錯"))</f>
        <v>空白</v>
      </c>
      <c r="M710" s="1" t="str">
        <f t="shared" si="12"/>
        <v>空白</v>
      </c>
      <c r="N710" s="1" t="str">
        <f t="shared" si="12"/>
        <v>空白</v>
      </c>
    </row>
    <row r="711" spans="1:14">
      <c r="A711" s="573"/>
      <c r="B711" s="576"/>
      <c r="C711" s="25" t="s">
        <v>1066</v>
      </c>
      <c r="D711" s="310" t="s">
        <v>2540</v>
      </c>
      <c r="E711" s="16">
        <v>1</v>
      </c>
      <c r="F711" s="9"/>
      <c r="G711" s="163"/>
      <c r="H711" s="210"/>
      <c r="I711" s="28"/>
      <c r="L711" s="1" t="str">
        <f t="shared" si="12"/>
        <v>空白</v>
      </c>
      <c r="M711" s="1" t="str">
        <f t="shared" si="12"/>
        <v>空白</v>
      </c>
      <c r="N711" s="1" t="str">
        <f t="shared" si="12"/>
        <v>空白</v>
      </c>
    </row>
    <row r="712" spans="1:14">
      <c r="A712" s="573"/>
      <c r="B712" s="576"/>
      <c r="C712" s="25" t="s">
        <v>1067</v>
      </c>
      <c r="D712" s="310" t="s">
        <v>2541</v>
      </c>
      <c r="E712" s="16">
        <v>2</v>
      </c>
      <c r="F712" s="9"/>
      <c r="G712" s="163"/>
      <c r="H712" s="210"/>
      <c r="I712" s="28"/>
      <c r="L712" s="1" t="str">
        <f t="shared" si="12"/>
        <v>空白</v>
      </c>
      <c r="M712" s="1" t="str">
        <f t="shared" si="12"/>
        <v>空白</v>
      </c>
      <c r="N712" s="1" t="str">
        <f t="shared" si="12"/>
        <v>空白</v>
      </c>
    </row>
    <row r="713" spans="1:14">
      <c r="A713" s="573"/>
      <c r="B713" s="576"/>
      <c r="C713" s="25" t="s">
        <v>1068</v>
      </c>
      <c r="D713" s="310" t="s">
        <v>2542</v>
      </c>
      <c r="E713" s="16">
        <v>4</v>
      </c>
      <c r="F713" s="9"/>
      <c r="G713" s="163"/>
      <c r="H713" s="210"/>
      <c r="I713" s="28"/>
      <c r="L713" s="1" t="str">
        <f t="shared" si="12"/>
        <v>空白</v>
      </c>
      <c r="M713" s="1" t="str">
        <f t="shared" si="12"/>
        <v>空白</v>
      </c>
      <c r="N713" s="1" t="str">
        <f t="shared" si="12"/>
        <v>空白</v>
      </c>
    </row>
    <row r="714" spans="1:14">
      <c r="A714" s="573"/>
      <c r="B714" s="576"/>
      <c r="C714" s="25" t="s">
        <v>1069</v>
      </c>
      <c r="D714" s="310" t="s">
        <v>2543</v>
      </c>
      <c r="E714" s="16">
        <v>2</v>
      </c>
      <c r="F714" s="9"/>
      <c r="G714" s="163"/>
      <c r="H714" s="210"/>
      <c r="I714" s="28"/>
      <c r="L714" s="1" t="str">
        <f t="shared" si="12"/>
        <v>空白</v>
      </c>
      <c r="M714" s="1" t="str">
        <f t="shared" si="12"/>
        <v>空白</v>
      </c>
      <c r="N714" s="1" t="str">
        <f t="shared" si="12"/>
        <v>空白</v>
      </c>
    </row>
    <row r="715" spans="1:14">
      <c r="A715" s="573"/>
      <c r="B715" s="576"/>
      <c r="C715" s="132" t="s">
        <v>1070</v>
      </c>
      <c r="D715" s="314" t="s">
        <v>2544</v>
      </c>
      <c r="E715" s="16">
        <v>2</v>
      </c>
      <c r="F715" s="9"/>
      <c r="G715" s="26"/>
      <c r="H715" s="27"/>
      <c r="I715" s="28"/>
      <c r="L715" s="1" t="str">
        <f t="shared" si="12"/>
        <v>空白</v>
      </c>
      <c r="M715" s="1" t="str">
        <f t="shared" si="12"/>
        <v>空白</v>
      </c>
      <c r="N715" s="1" t="str">
        <f t="shared" si="12"/>
        <v>空白</v>
      </c>
    </row>
    <row r="716" spans="1:14">
      <c r="A716" s="573"/>
      <c r="B716" s="576"/>
      <c r="C716" s="25" t="s">
        <v>1071</v>
      </c>
      <c r="D716" s="308" t="s">
        <v>2545</v>
      </c>
      <c r="E716" s="16">
        <v>2</v>
      </c>
      <c r="F716" s="9"/>
      <c r="G716" s="211"/>
      <c r="H716" s="156"/>
      <c r="I716" s="28"/>
      <c r="L716" s="1" t="str">
        <f t="shared" si="12"/>
        <v>空白</v>
      </c>
      <c r="M716" s="1" t="str">
        <f t="shared" si="12"/>
        <v>空白</v>
      </c>
      <c r="N716" s="1" t="str">
        <f t="shared" si="12"/>
        <v>空白</v>
      </c>
    </row>
    <row r="717" spans="1:14">
      <c r="A717" s="573"/>
      <c r="B717" s="576"/>
      <c r="C717" s="25" t="s">
        <v>1072</v>
      </c>
      <c r="D717" s="308" t="s">
        <v>2546</v>
      </c>
      <c r="E717" s="16">
        <v>1</v>
      </c>
      <c r="F717" s="9"/>
      <c r="G717" s="26"/>
      <c r="H717" s="27"/>
      <c r="I717" s="28"/>
      <c r="L717" s="1" t="str">
        <f t="shared" si="12"/>
        <v>空白</v>
      </c>
      <c r="M717" s="1" t="str">
        <f t="shared" si="12"/>
        <v>空白</v>
      </c>
      <c r="N717" s="1" t="str">
        <f t="shared" si="12"/>
        <v>空白</v>
      </c>
    </row>
    <row r="718" spans="1:14">
      <c r="A718" s="573"/>
      <c r="B718" s="576"/>
      <c r="C718" s="25" t="s">
        <v>1073</v>
      </c>
      <c r="D718" s="308" t="s">
        <v>2547</v>
      </c>
      <c r="E718" s="16">
        <v>1</v>
      </c>
      <c r="F718" s="9"/>
      <c r="G718" s="26"/>
      <c r="H718" s="27"/>
      <c r="I718" s="28"/>
      <c r="L718" s="1" t="str">
        <f t="shared" si="12"/>
        <v>空白</v>
      </c>
      <c r="M718" s="1" t="str">
        <f t="shared" si="12"/>
        <v>空白</v>
      </c>
      <c r="N718" s="1" t="str">
        <f t="shared" si="12"/>
        <v>空白</v>
      </c>
    </row>
    <row r="719" spans="1:14">
      <c r="A719" s="573"/>
      <c r="B719" s="576"/>
      <c r="C719" s="25" t="s">
        <v>1074</v>
      </c>
      <c r="D719" s="308" t="s">
        <v>2548</v>
      </c>
      <c r="E719" s="16">
        <v>2</v>
      </c>
      <c r="F719" s="9"/>
      <c r="G719" s="26"/>
      <c r="H719" s="27"/>
      <c r="I719" s="28"/>
      <c r="L719" s="1" t="str">
        <f t="shared" si="12"/>
        <v>空白</v>
      </c>
      <c r="M719" s="1" t="str">
        <f t="shared" si="12"/>
        <v>空白</v>
      </c>
      <c r="N719" s="1" t="str">
        <f t="shared" si="12"/>
        <v>空白</v>
      </c>
    </row>
    <row r="720" spans="1:14">
      <c r="A720" s="573"/>
      <c r="B720" s="576"/>
      <c r="C720" s="25" t="s">
        <v>1075</v>
      </c>
      <c r="D720" s="308" t="s">
        <v>2549</v>
      </c>
      <c r="E720" s="16">
        <v>2</v>
      </c>
      <c r="F720" s="9"/>
      <c r="G720" s="26"/>
      <c r="H720" s="27"/>
      <c r="I720" s="28"/>
      <c r="L720" s="1" t="str">
        <f t="shared" si="12"/>
        <v>空白</v>
      </c>
      <c r="M720" s="1" t="str">
        <f t="shared" si="12"/>
        <v>空白</v>
      </c>
      <c r="N720" s="1" t="str">
        <f t="shared" si="12"/>
        <v>空白</v>
      </c>
    </row>
    <row r="721" spans="1:14">
      <c r="A721" s="573"/>
      <c r="B721" s="576"/>
      <c r="C721" s="63" t="s">
        <v>1076</v>
      </c>
      <c r="D721" s="337" t="s">
        <v>2550</v>
      </c>
      <c r="E721" s="67">
        <v>3</v>
      </c>
      <c r="F721" s="9"/>
      <c r="G721" s="26"/>
      <c r="H721" s="27"/>
      <c r="I721" s="28"/>
      <c r="L721" s="1" t="str">
        <f t="shared" si="12"/>
        <v>空白</v>
      </c>
      <c r="M721" s="1" t="str">
        <f t="shared" si="12"/>
        <v>空白</v>
      </c>
      <c r="N721" s="1" t="str">
        <f t="shared" si="12"/>
        <v>空白</v>
      </c>
    </row>
    <row r="722" spans="1:14" ht="39">
      <c r="A722" s="573"/>
      <c r="B722" s="576"/>
      <c r="C722" s="63" t="s">
        <v>3098</v>
      </c>
      <c r="D722" s="352" t="s">
        <v>3099</v>
      </c>
      <c r="E722" s="67">
        <v>2</v>
      </c>
      <c r="F722" s="9" t="s">
        <v>1077</v>
      </c>
      <c r="G722" s="111" t="s">
        <v>1078</v>
      </c>
      <c r="H722" s="116">
        <v>2</v>
      </c>
      <c r="I722" s="28" t="s">
        <v>1079</v>
      </c>
      <c r="K722" s="2" t="s">
        <v>242</v>
      </c>
      <c r="L722" s="1" t="str">
        <f t="shared" si="12"/>
        <v>對</v>
      </c>
      <c r="M722" s="1" t="str">
        <f t="shared" si="12"/>
        <v>對</v>
      </c>
      <c r="N722" s="1" t="str">
        <f t="shared" si="12"/>
        <v>對</v>
      </c>
    </row>
    <row r="723" spans="1:14" ht="19.5">
      <c r="A723" s="573"/>
      <c r="B723" s="576"/>
      <c r="C723" s="63" t="s">
        <v>3100</v>
      </c>
      <c r="D723" s="400" t="s">
        <v>3101</v>
      </c>
      <c r="E723" s="16">
        <v>1</v>
      </c>
      <c r="F723" s="9" t="s">
        <v>1080</v>
      </c>
      <c r="G723" s="114" t="s">
        <v>1081</v>
      </c>
      <c r="H723" s="112">
        <v>1</v>
      </c>
      <c r="I723" s="620" t="s">
        <v>1082</v>
      </c>
      <c r="K723" s="2" t="s">
        <v>242</v>
      </c>
      <c r="L723" s="1" t="str">
        <f t="shared" si="12"/>
        <v>對</v>
      </c>
      <c r="M723" s="1" t="str">
        <f t="shared" si="12"/>
        <v>對</v>
      </c>
      <c r="N723" s="1" t="str">
        <f t="shared" si="12"/>
        <v>對</v>
      </c>
    </row>
    <row r="724" spans="1:14" ht="39">
      <c r="A724" s="573"/>
      <c r="B724" s="576"/>
      <c r="C724" s="63" t="s">
        <v>1083</v>
      </c>
      <c r="D724" s="446" t="s">
        <v>3102</v>
      </c>
      <c r="E724" s="67">
        <v>1</v>
      </c>
      <c r="F724" s="9" t="s">
        <v>1083</v>
      </c>
      <c r="G724" s="114" t="s">
        <v>1084</v>
      </c>
      <c r="H724" s="112">
        <v>1</v>
      </c>
      <c r="I724" s="624"/>
      <c r="K724" s="2" t="s">
        <v>242</v>
      </c>
      <c r="L724" s="1" t="str">
        <f t="shared" si="12"/>
        <v>對</v>
      </c>
      <c r="M724" s="1" t="str">
        <f t="shared" si="12"/>
        <v>對</v>
      </c>
      <c r="N724" s="1" t="str">
        <f t="shared" si="12"/>
        <v>對</v>
      </c>
    </row>
    <row r="725" spans="1:14" ht="19.5">
      <c r="A725" s="573"/>
      <c r="B725" s="576"/>
      <c r="C725" s="63" t="s">
        <v>1085</v>
      </c>
      <c r="D725" s="446" t="s">
        <v>3103</v>
      </c>
      <c r="E725" s="67">
        <v>1</v>
      </c>
      <c r="F725" s="9" t="s">
        <v>1085</v>
      </c>
      <c r="G725" s="114" t="s">
        <v>1086</v>
      </c>
      <c r="H725" s="112">
        <v>1</v>
      </c>
      <c r="I725" s="621"/>
      <c r="K725" s="2" t="s">
        <v>242</v>
      </c>
      <c r="L725" s="1" t="str">
        <f t="shared" si="12"/>
        <v>對</v>
      </c>
      <c r="M725" s="1" t="str">
        <f t="shared" si="12"/>
        <v>對</v>
      </c>
      <c r="N725" s="1" t="str">
        <f t="shared" si="12"/>
        <v>對</v>
      </c>
    </row>
    <row r="726" spans="1:14" ht="39">
      <c r="A726" s="573"/>
      <c r="B726" s="576"/>
      <c r="C726" s="63" t="s">
        <v>1087</v>
      </c>
      <c r="D726" s="446" t="s">
        <v>3104</v>
      </c>
      <c r="E726" s="67">
        <v>2</v>
      </c>
      <c r="F726" s="9" t="s">
        <v>1087</v>
      </c>
      <c r="G726" s="114" t="s">
        <v>1088</v>
      </c>
      <c r="H726" s="112">
        <v>2</v>
      </c>
      <c r="I726" s="304" t="s">
        <v>1089</v>
      </c>
      <c r="K726" s="2" t="s">
        <v>242</v>
      </c>
      <c r="L726" s="1" t="str">
        <f t="shared" si="12"/>
        <v>對</v>
      </c>
      <c r="M726" s="1" t="str">
        <f t="shared" si="12"/>
        <v>對</v>
      </c>
      <c r="N726" s="1" t="str">
        <f t="shared" si="12"/>
        <v>對</v>
      </c>
    </row>
    <row r="727" spans="1:14" ht="58.5">
      <c r="A727" s="573"/>
      <c r="B727" s="576"/>
      <c r="C727" s="63" t="s">
        <v>1090</v>
      </c>
      <c r="D727" s="446" t="s">
        <v>3105</v>
      </c>
      <c r="E727" s="67">
        <v>1</v>
      </c>
      <c r="F727" s="9" t="s">
        <v>1090</v>
      </c>
      <c r="G727" s="212" t="s">
        <v>1091</v>
      </c>
      <c r="H727" s="112">
        <v>1</v>
      </c>
      <c r="I727" s="104" t="s">
        <v>1092</v>
      </c>
      <c r="K727" s="2" t="s">
        <v>242</v>
      </c>
      <c r="L727" s="1" t="str">
        <f t="shared" si="12"/>
        <v>對</v>
      </c>
      <c r="M727" s="1" t="str">
        <f t="shared" si="12"/>
        <v>對</v>
      </c>
      <c r="N727" s="1" t="str">
        <f t="shared" si="12"/>
        <v>對</v>
      </c>
    </row>
    <row r="728" spans="1:14" ht="39">
      <c r="A728" s="573"/>
      <c r="B728" s="576"/>
      <c r="C728" s="63" t="s">
        <v>1093</v>
      </c>
      <c r="D728" s="446" t="s">
        <v>3106</v>
      </c>
      <c r="E728" s="67">
        <v>2</v>
      </c>
      <c r="F728" s="9" t="s">
        <v>1093</v>
      </c>
      <c r="G728" s="114" t="s">
        <v>1094</v>
      </c>
      <c r="H728" s="112">
        <v>2</v>
      </c>
      <c r="I728" s="28" t="s">
        <v>1095</v>
      </c>
      <c r="K728" s="2" t="s">
        <v>242</v>
      </c>
      <c r="L728" s="1" t="str">
        <f t="shared" si="12"/>
        <v>對</v>
      </c>
      <c r="M728" s="1" t="str">
        <f t="shared" si="12"/>
        <v>對</v>
      </c>
      <c r="N728" s="1" t="str">
        <f t="shared" si="12"/>
        <v>對</v>
      </c>
    </row>
    <row r="729" spans="1:14" ht="59.25" thickBot="1">
      <c r="A729" s="573"/>
      <c r="B729" s="576"/>
      <c r="C729" s="63" t="s">
        <v>1096</v>
      </c>
      <c r="D729" s="446" t="s">
        <v>3107</v>
      </c>
      <c r="E729" s="67">
        <v>1</v>
      </c>
      <c r="F729" s="9" t="s">
        <v>1096</v>
      </c>
      <c r="G729" s="115" t="s">
        <v>1097</v>
      </c>
      <c r="H729" s="75">
        <v>1</v>
      </c>
      <c r="I729" s="65" t="s">
        <v>1098</v>
      </c>
      <c r="K729" s="2" t="s">
        <v>242</v>
      </c>
      <c r="L729" s="1" t="str">
        <f t="shared" si="12"/>
        <v>對</v>
      </c>
      <c r="M729" s="1" t="str">
        <f t="shared" si="12"/>
        <v>對</v>
      </c>
      <c r="N729" s="1" t="str">
        <f t="shared" si="12"/>
        <v>對</v>
      </c>
    </row>
    <row r="730" spans="1:14" ht="19.5" thickTop="1">
      <c r="A730" s="572" t="s">
        <v>1099</v>
      </c>
      <c r="B730" s="575" t="s">
        <v>1100</v>
      </c>
      <c r="C730" s="7" t="s">
        <v>1101</v>
      </c>
      <c r="D730" s="311" t="s">
        <v>2551</v>
      </c>
      <c r="E730" s="213">
        <v>1</v>
      </c>
      <c r="F730" s="79"/>
      <c r="G730" s="101"/>
      <c r="H730" s="102"/>
      <c r="I730" s="304"/>
      <c r="L730" s="1" t="str">
        <f t="shared" si="12"/>
        <v>空白</v>
      </c>
      <c r="M730" s="1" t="str">
        <f t="shared" si="12"/>
        <v>空白</v>
      </c>
      <c r="N730" s="1" t="str">
        <f t="shared" si="12"/>
        <v>空白</v>
      </c>
    </row>
    <row r="731" spans="1:14" ht="19.5">
      <c r="A731" s="573"/>
      <c r="B731" s="576"/>
      <c r="C731" s="132" t="s">
        <v>1102</v>
      </c>
      <c r="D731" s="314" t="s">
        <v>3108</v>
      </c>
      <c r="E731" s="214">
        <v>1</v>
      </c>
      <c r="F731" s="30"/>
      <c r="G731" s="107" t="s">
        <v>1103</v>
      </c>
      <c r="H731" s="32">
        <v>1</v>
      </c>
      <c r="I731" s="620" t="s">
        <v>1104</v>
      </c>
      <c r="K731" s="2" t="s">
        <v>13</v>
      </c>
      <c r="L731" s="1" t="str">
        <f t="shared" si="12"/>
        <v>空白</v>
      </c>
      <c r="M731" s="1" t="str">
        <f t="shared" si="12"/>
        <v>對</v>
      </c>
      <c r="N731" s="1" t="str">
        <f t="shared" si="12"/>
        <v>對</v>
      </c>
    </row>
    <row r="732" spans="1:14" ht="19.5">
      <c r="A732" s="573"/>
      <c r="B732" s="576"/>
      <c r="C732" s="132" t="s">
        <v>3110</v>
      </c>
      <c r="D732" s="314" t="s">
        <v>3109</v>
      </c>
      <c r="E732" s="214">
        <v>1</v>
      </c>
      <c r="F732" s="30" t="s">
        <v>1105</v>
      </c>
      <c r="G732" s="134" t="s">
        <v>1106</v>
      </c>
      <c r="H732" s="112">
        <v>1</v>
      </c>
      <c r="I732" s="621"/>
      <c r="K732" s="2" t="s">
        <v>116</v>
      </c>
      <c r="L732" s="1" t="str">
        <f t="shared" si="12"/>
        <v>對</v>
      </c>
      <c r="M732" s="1" t="str">
        <f t="shared" si="12"/>
        <v>對</v>
      </c>
      <c r="N732" s="1" t="str">
        <f t="shared" si="12"/>
        <v>對</v>
      </c>
    </row>
    <row r="733" spans="1:14">
      <c r="A733" s="573"/>
      <c r="B733" s="576"/>
      <c r="C733" s="25" t="s">
        <v>1107</v>
      </c>
      <c r="D733" s="310" t="s">
        <v>2552</v>
      </c>
      <c r="E733" s="214">
        <v>1</v>
      </c>
      <c r="F733" s="30"/>
      <c r="G733" s="26"/>
      <c r="H733" s="32"/>
      <c r="I733" s="28"/>
      <c r="L733" s="1" t="str">
        <f t="shared" si="12"/>
        <v>空白</v>
      </c>
      <c r="M733" s="1" t="str">
        <f t="shared" si="12"/>
        <v>空白</v>
      </c>
      <c r="N733" s="1" t="str">
        <f t="shared" si="12"/>
        <v>空白</v>
      </c>
    </row>
    <row r="734" spans="1:14">
      <c r="A734" s="573"/>
      <c r="B734" s="576"/>
      <c r="C734" s="132" t="s">
        <v>1108</v>
      </c>
      <c r="D734" s="314" t="s">
        <v>2553</v>
      </c>
      <c r="E734" s="214">
        <v>2</v>
      </c>
      <c r="F734" s="30"/>
      <c r="G734" s="215"/>
      <c r="H734" s="156"/>
      <c r="I734" s="28"/>
      <c r="L734" s="1" t="str">
        <f t="shared" si="12"/>
        <v>空白</v>
      </c>
      <c r="M734" s="1" t="str">
        <f t="shared" si="12"/>
        <v>空白</v>
      </c>
      <c r="N734" s="1" t="str">
        <f t="shared" si="12"/>
        <v>空白</v>
      </c>
    </row>
    <row r="735" spans="1:14" ht="39">
      <c r="A735" s="573"/>
      <c r="B735" s="576"/>
      <c r="C735" s="132" t="s">
        <v>3111</v>
      </c>
      <c r="D735" s="314" t="s">
        <v>3112</v>
      </c>
      <c r="E735" s="214">
        <v>2</v>
      </c>
      <c r="F735" s="30" t="s">
        <v>1109</v>
      </c>
      <c r="G735" s="109" t="s">
        <v>1110</v>
      </c>
      <c r="H735" s="112">
        <v>2</v>
      </c>
      <c r="I735" s="28" t="s">
        <v>1111</v>
      </c>
      <c r="K735" s="2" t="s">
        <v>242</v>
      </c>
      <c r="L735" s="1" t="str">
        <f t="shared" si="12"/>
        <v>對</v>
      </c>
      <c r="M735" s="1" t="str">
        <f t="shared" si="12"/>
        <v>對</v>
      </c>
      <c r="N735" s="1" t="str">
        <f t="shared" si="12"/>
        <v>對</v>
      </c>
    </row>
    <row r="736" spans="1:14">
      <c r="A736" s="573"/>
      <c r="B736" s="576"/>
      <c r="C736" s="25" t="s">
        <v>1112</v>
      </c>
      <c r="D736" s="310" t="s">
        <v>2554</v>
      </c>
      <c r="E736" s="216">
        <v>5</v>
      </c>
      <c r="F736" s="30"/>
      <c r="G736" s="26"/>
      <c r="H736" s="27"/>
      <c r="I736" s="28"/>
      <c r="L736" s="1" t="str">
        <f t="shared" si="12"/>
        <v>空白</v>
      </c>
      <c r="M736" s="1" t="str">
        <f t="shared" si="12"/>
        <v>空白</v>
      </c>
      <c r="N736" s="1" t="str">
        <f t="shared" si="12"/>
        <v>空白</v>
      </c>
    </row>
    <row r="737" spans="1:14" ht="19.5">
      <c r="A737" s="573"/>
      <c r="B737" s="576"/>
      <c r="C737" s="25" t="s">
        <v>1113</v>
      </c>
      <c r="D737" s="310" t="s">
        <v>2555</v>
      </c>
      <c r="E737" s="216" t="s">
        <v>746</v>
      </c>
      <c r="F737" s="30"/>
      <c r="G737" s="26"/>
      <c r="H737" s="27"/>
      <c r="I737" s="28"/>
      <c r="L737" s="1" t="str">
        <f t="shared" si="12"/>
        <v>空白</v>
      </c>
      <c r="M737" s="1" t="str">
        <f t="shared" si="12"/>
        <v>空白</v>
      </c>
      <c r="N737" s="1" t="str">
        <f t="shared" si="12"/>
        <v>空白</v>
      </c>
    </row>
    <row r="738" spans="1:14">
      <c r="A738" s="573"/>
      <c r="B738" s="576"/>
      <c r="C738" s="25" t="s">
        <v>1114</v>
      </c>
      <c r="D738" s="310" t="s">
        <v>2556</v>
      </c>
      <c r="E738" s="216">
        <v>1</v>
      </c>
      <c r="F738" s="30"/>
      <c r="G738" s="26"/>
      <c r="H738" s="27"/>
      <c r="I738" s="28"/>
      <c r="L738" s="1" t="str">
        <f t="shared" si="12"/>
        <v>空白</v>
      </c>
      <c r="M738" s="1" t="str">
        <f t="shared" si="12"/>
        <v>空白</v>
      </c>
      <c r="N738" s="1" t="str">
        <f t="shared" si="12"/>
        <v>空白</v>
      </c>
    </row>
    <row r="739" spans="1:14">
      <c r="A739" s="573"/>
      <c r="B739" s="576"/>
      <c r="C739" s="25" t="s">
        <v>1115</v>
      </c>
      <c r="D739" s="310" t="s">
        <v>2557</v>
      </c>
      <c r="E739" s="214">
        <v>2</v>
      </c>
      <c r="F739" s="30"/>
      <c r="G739" s="107"/>
      <c r="H739" s="32"/>
      <c r="I739" s="28"/>
      <c r="L739" s="1" t="str">
        <f t="shared" si="12"/>
        <v>空白</v>
      </c>
      <c r="M739" s="1" t="str">
        <f t="shared" si="12"/>
        <v>空白</v>
      </c>
      <c r="N739" s="1" t="str">
        <f t="shared" si="12"/>
        <v>空白</v>
      </c>
    </row>
    <row r="740" spans="1:14">
      <c r="A740" s="573"/>
      <c r="B740" s="576"/>
      <c r="C740" s="25" t="s">
        <v>1116</v>
      </c>
      <c r="D740" s="308" t="s">
        <v>2558</v>
      </c>
      <c r="E740" s="214">
        <v>2</v>
      </c>
      <c r="F740" s="30"/>
      <c r="G740" s="217"/>
      <c r="H740" s="156"/>
      <c r="I740" s="28"/>
      <c r="L740" s="1" t="str">
        <f t="shared" si="12"/>
        <v>空白</v>
      </c>
      <c r="M740" s="1" t="str">
        <f t="shared" si="12"/>
        <v>空白</v>
      </c>
      <c r="N740" s="1" t="str">
        <f t="shared" si="12"/>
        <v>空白</v>
      </c>
    </row>
    <row r="741" spans="1:14">
      <c r="A741" s="573"/>
      <c r="B741" s="576"/>
      <c r="C741" s="25" t="s">
        <v>1117</v>
      </c>
      <c r="D741" s="308" t="s">
        <v>2559</v>
      </c>
      <c r="E741" s="214">
        <v>2</v>
      </c>
      <c r="F741" s="30"/>
      <c r="G741" s="26"/>
      <c r="H741" s="27"/>
      <c r="I741" s="28"/>
      <c r="L741" s="1" t="str">
        <f t="shared" si="12"/>
        <v>空白</v>
      </c>
      <c r="M741" s="1" t="str">
        <f t="shared" si="12"/>
        <v>空白</v>
      </c>
      <c r="N741" s="1" t="str">
        <f t="shared" si="12"/>
        <v>空白</v>
      </c>
    </row>
    <row r="742" spans="1:14">
      <c r="A742" s="573"/>
      <c r="B742" s="576"/>
      <c r="C742" s="25" t="s">
        <v>1118</v>
      </c>
      <c r="D742" s="308" t="s">
        <v>2560</v>
      </c>
      <c r="E742" s="214">
        <v>2</v>
      </c>
      <c r="F742" s="30"/>
      <c r="G742" s="26"/>
      <c r="H742" s="32"/>
      <c r="I742" s="28"/>
      <c r="L742" s="1" t="str">
        <f t="shared" si="12"/>
        <v>空白</v>
      </c>
      <c r="M742" s="1" t="str">
        <f t="shared" si="12"/>
        <v>空白</v>
      </c>
      <c r="N742" s="1" t="str">
        <f t="shared" si="12"/>
        <v>空白</v>
      </c>
    </row>
    <row r="743" spans="1:14">
      <c r="A743" s="573"/>
      <c r="B743" s="576"/>
      <c r="C743" s="25" t="s">
        <v>1119</v>
      </c>
      <c r="D743" s="308" t="s">
        <v>2561</v>
      </c>
      <c r="E743" s="214">
        <v>2</v>
      </c>
      <c r="F743" s="30"/>
      <c r="G743" s="163"/>
      <c r="H743" s="156"/>
      <c r="I743" s="28"/>
      <c r="L743" s="1" t="str">
        <f t="shared" si="12"/>
        <v>空白</v>
      </c>
      <c r="M743" s="1" t="str">
        <f t="shared" si="12"/>
        <v>空白</v>
      </c>
      <c r="N743" s="1" t="str">
        <f t="shared" si="12"/>
        <v>空白</v>
      </c>
    </row>
    <row r="744" spans="1:14">
      <c r="A744" s="573"/>
      <c r="B744" s="576"/>
      <c r="C744" s="25" t="s">
        <v>1120</v>
      </c>
      <c r="D744" s="308" t="s">
        <v>2562</v>
      </c>
      <c r="E744" s="214">
        <v>2</v>
      </c>
      <c r="F744" s="30"/>
      <c r="G744" s="26"/>
      <c r="H744" s="27"/>
      <c r="I744" s="28"/>
      <c r="L744" s="1" t="str">
        <f t="shared" si="12"/>
        <v>空白</v>
      </c>
      <c r="M744" s="1" t="str">
        <f t="shared" si="12"/>
        <v>空白</v>
      </c>
      <c r="N744" s="1" t="str">
        <f t="shared" si="12"/>
        <v>空白</v>
      </c>
    </row>
    <row r="745" spans="1:14">
      <c r="A745" s="573"/>
      <c r="B745" s="576"/>
      <c r="C745" s="25" t="s">
        <v>1121</v>
      </c>
      <c r="D745" s="308" t="s">
        <v>2563</v>
      </c>
      <c r="E745" s="214">
        <v>4</v>
      </c>
      <c r="F745" s="30"/>
      <c r="G745" s="26"/>
      <c r="H745" s="27"/>
      <c r="I745" s="28"/>
      <c r="L745" s="1" t="str">
        <f t="shared" si="12"/>
        <v>空白</v>
      </c>
      <c r="M745" s="1" t="str">
        <f t="shared" si="12"/>
        <v>空白</v>
      </c>
      <c r="N745" s="1" t="str">
        <f t="shared" si="12"/>
        <v>空白</v>
      </c>
    </row>
    <row r="746" spans="1:14">
      <c r="A746" s="573"/>
      <c r="B746" s="576"/>
      <c r="C746" s="25" t="s">
        <v>1122</v>
      </c>
      <c r="D746" s="308" t="s">
        <v>2564</v>
      </c>
      <c r="E746" s="214">
        <v>4</v>
      </c>
      <c r="F746" s="30"/>
      <c r="G746" s="26"/>
      <c r="H746" s="27"/>
      <c r="I746" s="28"/>
      <c r="L746" s="1" t="str">
        <f t="shared" si="12"/>
        <v>空白</v>
      </c>
      <c r="M746" s="1" t="str">
        <f t="shared" si="12"/>
        <v>空白</v>
      </c>
      <c r="N746" s="1" t="str">
        <f t="shared" si="12"/>
        <v>空白</v>
      </c>
    </row>
    <row r="747" spans="1:14">
      <c r="A747" s="573"/>
      <c r="B747" s="576"/>
      <c r="C747" s="25" t="s">
        <v>1123</v>
      </c>
      <c r="D747" s="308" t="s">
        <v>2565</v>
      </c>
      <c r="E747" s="214">
        <v>1</v>
      </c>
      <c r="F747" s="30"/>
      <c r="G747" s="218"/>
      <c r="H747" s="156"/>
      <c r="I747" s="28"/>
      <c r="L747" s="1" t="str">
        <f t="shared" si="12"/>
        <v>空白</v>
      </c>
      <c r="M747" s="1" t="str">
        <f t="shared" si="12"/>
        <v>空白</v>
      </c>
      <c r="N747" s="1" t="str">
        <f t="shared" si="12"/>
        <v>空白</v>
      </c>
    </row>
    <row r="748" spans="1:14">
      <c r="A748" s="573"/>
      <c r="B748" s="576"/>
      <c r="C748" s="25" t="s">
        <v>1124</v>
      </c>
      <c r="D748" s="308" t="s">
        <v>2566</v>
      </c>
      <c r="E748" s="214">
        <v>2</v>
      </c>
      <c r="F748" s="30"/>
      <c r="G748" s="26"/>
      <c r="H748" s="27"/>
      <c r="I748" s="28"/>
      <c r="L748" s="1" t="str">
        <f t="shared" si="12"/>
        <v>空白</v>
      </c>
      <c r="M748" s="1" t="str">
        <f t="shared" si="12"/>
        <v>空白</v>
      </c>
      <c r="N748" s="1" t="str">
        <f t="shared" si="12"/>
        <v>空白</v>
      </c>
    </row>
    <row r="749" spans="1:14">
      <c r="A749" s="573"/>
      <c r="B749" s="576"/>
      <c r="C749" s="25" t="s">
        <v>1125</v>
      </c>
      <c r="D749" s="308" t="s">
        <v>2567</v>
      </c>
      <c r="E749" s="214">
        <v>2</v>
      </c>
      <c r="F749" s="30"/>
      <c r="G749" s="26"/>
      <c r="H749" s="27"/>
      <c r="I749" s="28"/>
      <c r="L749" s="1" t="str">
        <f t="shared" si="12"/>
        <v>空白</v>
      </c>
      <c r="M749" s="1" t="str">
        <f t="shared" si="12"/>
        <v>空白</v>
      </c>
      <c r="N749" s="1" t="str">
        <f t="shared" si="12"/>
        <v>空白</v>
      </c>
    </row>
    <row r="750" spans="1:14">
      <c r="A750" s="573"/>
      <c r="B750" s="576"/>
      <c r="C750" s="25" t="s">
        <v>1126</v>
      </c>
      <c r="D750" s="308" t="s">
        <v>2568</v>
      </c>
      <c r="E750" s="214">
        <v>1</v>
      </c>
      <c r="F750" s="30"/>
      <c r="G750" s="26"/>
      <c r="H750" s="27"/>
      <c r="I750" s="28"/>
      <c r="L750" s="1" t="str">
        <f t="shared" si="12"/>
        <v>空白</v>
      </c>
      <c r="M750" s="1" t="str">
        <f t="shared" si="12"/>
        <v>空白</v>
      </c>
      <c r="N750" s="1" t="str">
        <f t="shared" si="12"/>
        <v>空白</v>
      </c>
    </row>
    <row r="751" spans="1:14" ht="19.5">
      <c r="A751" s="573"/>
      <c r="B751" s="576"/>
      <c r="C751" s="25" t="s">
        <v>1127</v>
      </c>
      <c r="D751" s="308" t="s">
        <v>3113</v>
      </c>
      <c r="E751" s="214">
        <v>1</v>
      </c>
      <c r="F751" s="30"/>
      <c r="G751" s="92" t="s">
        <v>1128</v>
      </c>
      <c r="H751" s="27">
        <v>1</v>
      </c>
      <c r="I751" s="28" t="s">
        <v>1129</v>
      </c>
      <c r="K751" s="2" t="s">
        <v>13</v>
      </c>
      <c r="L751" s="1" t="str">
        <f t="shared" si="12"/>
        <v>空白</v>
      </c>
      <c r="M751" s="1" t="str">
        <f t="shared" si="12"/>
        <v>對</v>
      </c>
      <c r="N751" s="1" t="str">
        <f t="shared" si="12"/>
        <v>對</v>
      </c>
    </row>
    <row r="752" spans="1:14">
      <c r="A752" s="573"/>
      <c r="B752" s="576"/>
      <c r="C752" s="63" t="s">
        <v>1130</v>
      </c>
      <c r="D752" s="308" t="s">
        <v>2569</v>
      </c>
      <c r="E752" s="214">
        <v>4</v>
      </c>
      <c r="F752" s="30"/>
      <c r="G752" s="26"/>
      <c r="H752" s="27"/>
      <c r="I752" s="28"/>
      <c r="L752" s="1" t="str">
        <f t="shared" si="12"/>
        <v>空白</v>
      </c>
      <c r="M752" s="1" t="str">
        <f t="shared" si="12"/>
        <v>空白</v>
      </c>
      <c r="N752" s="1" t="str">
        <f t="shared" si="12"/>
        <v>空白</v>
      </c>
    </row>
    <row r="753" spans="1:14">
      <c r="A753" s="573"/>
      <c r="B753" s="576"/>
      <c r="C753" s="25" t="s">
        <v>1131</v>
      </c>
      <c r="D753" s="308" t="s">
        <v>2570</v>
      </c>
      <c r="E753" s="214">
        <v>2</v>
      </c>
      <c r="F753" s="30"/>
      <c r="G753" s="26"/>
      <c r="H753" s="27"/>
      <c r="I753" s="28"/>
      <c r="L753" s="1" t="str">
        <f t="shared" si="12"/>
        <v>空白</v>
      </c>
      <c r="M753" s="1" t="str">
        <f t="shared" si="12"/>
        <v>空白</v>
      </c>
      <c r="N753" s="1" t="str">
        <f t="shared" si="12"/>
        <v>空白</v>
      </c>
    </row>
    <row r="754" spans="1:14">
      <c r="A754" s="573"/>
      <c r="B754" s="576"/>
      <c r="C754" s="25" t="s">
        <v>1132</v>
      </c>
      <c r="D754" s="308" t="s">
        <v>2571</v>
      </c>
      <c r="E754" s="214">
        <v>3</v>
      </c>
      <c r="F754" s="30"/>
      <c r="G754" s="26"/>
      <c r="H754" s="27"/>
      <c r="I754" s="28"/>
      <c r="L754" s="1" t="str">
        <f t="shared" si="12"/>
        <v>空白</v>
      </c>
      <c r="M754" s="1" t="str">
        <f t="shared" si="12"/>
        <v>空白</v>
      </c>
      <c r="N754" s="1" t="str">
        <f t="shared" si="12"/>
        <v>空白</v>
      </c>
    </row>
    <row r="755" spans="1:14">
      <c r="A755" s="573"/>
      <c r="B755" s="576"/>
      <c r="C755" s="25" t="s">
        <v>1133</v>
      </c>
      <c r="D755" s="308" t="s">
        <v>2572</v>
      </c>
      <c r="E755" s="214">
        <v>3</v>
      </c>
      <c r="F755" s="30"/>
      <c r="G755" s="26"/>
      <c r="H755" s="27"/>
      <c r="I755" s="28"/>
      <c r="L755" s="1" t="str">
        <f t="shared" si="12"/>
        <v>空白</v>
      </c>
      <c r="M755" s="1" t="str">
        <f t="shared" si="12"/>
        <v>空白</v>
      </c>
      <c r="N755" s="1" t="str">
        <f t="shared" si="12"/>
        <v>空白</v>
      </c>
    </row>
    <row r="756" spans="1:14">
      <c r="A756" s="573"/>
      <c r="B756" s="576"/>
      <c r="C756" s="25" t="s">
        <v>1134</v>
      </c>
      <c r="D756" s="308" t="s">
        <v>2573</v>
      </c>
      <c r="E756" s="214">
        <v>4</v>
      </c>
      <c r="F756" s="30"/>
      <c r="G756" s="26"/>
      <c r="H756" s="27"/>
      <c r="I756" s="28"/>
      <c r="L756" s="1" t="str">
        <f t="shared" si="12"/>
        <v>空白</v>
      </c>
      <c r="M756" s="1" t="str">
        <f t="shared" si="12"/>
        <v>空白</v>
      </c>
      <c r="N756" s="1" t="str">
        <f t="shared" si="12"/>
        <v>空白</v>
      </c>
    </row>
    <row r="757" spans="1:14">
      <c r="A757" s="573"/>
      <c r="B757" s="576"/>
      <c r="C757" s="25" t="s">
        <v>1135</v>
      </c>
      <c r="D757" s="337" t="s">
        <v>2574</v>
      </c>
      <c r="E757" s="219">
        <v>2</v>
      </c>
      <c r="F757" s="30"/>
      <c r="G757" s="26"/>
      <c r="H757" s="27"/>
      <c r="I757" s="28"/>
      <c r="L757" s="1" t="str">
        <f t="shared" si="12"/>
        <v>空白</v>
      </c>
      <c r="M757" s="1" t="str">
        <f t="shared" si="12"/>
        <v>空白</v>
      </c>
      <c r="N757" s="1" t="str">
        <f t="shared" si="12"/>
        <v>空白</v>
      </c>
    </row>
    <row r="758" spans="1:14" ht="39">
      <c r="A758" s="573"/>
      <c r="B758" s="576"/>
      <c r="C758" s="25" t="s">
        <v>3114</v>
      </c>
      <c r="D758" s="401" t="s">
        <v>3115</v>
      </c>
      <c r="E758" s="402">
        <v>2</v>
      </c>
      <c r="F758" s="30" t="s">
        <v>1136</v>
      </c>
      <c r="G758" s="114" t="s">
        <v>1137</v>
      </c>
      <c r="H758" s="112">
        <v>2</v>
      </c>
      <c r="I758" s="28" t="s">
        <v>1138</v>
      </c>
      <c r="K758" s="2" t="s">
        <v>242</v>
      </c>
      <c r="L758" s="1" t="str">
        <f t="shared" si="12"/>
        <v>對</v>
      </c>
      <c r="M758" s="1" t="str">
        <f t="shared" si="12"/>
        <v>對</v>
      </c>
      <c r="N758" s="1" t="str">
        <f t="shared" si="12"/>
        <v>對</v>
      </c>
    </row>
    <row r="759" spans="1:14" ht="39">
      <c r="A759" s="573"/>
      <c r="B759" s="581"/>
      <c r="C759" s="47" t="s">
        <v>3116</v>
      </c>
      <c r="D759" s="320" t="s">
        <v>3117</v>
      </c>
      <c r="E759" s="403">
        <v>1</v>
      </c>
      <c r="F759" s="64" t="s">
        <v>1139</v>
      </c>
      <c r="G759" s="115" t="s">
        <v>1140</v>
      </c>
      <c r="H759" s="75">
        <v>1</v>
      </c>
      <c r="I759" s="55" t="s">
        <v>1141</v>
      </c>
      <c r="K759" s="2" t="s">
        <v>242</v>
      </c>
      <c r="L759" s="1" t="str">
        <f t="shared" si="12"/>
        <v>對</v>
      </c>
      <c r="M759" s="1" t="str">
        <f t="shared" si="12"/>
        <v>對</v>
      </c>
      <c r="N759" s="1" t="str">
        <f t="shared" si="12"/>
        <v>對</v>
      </c>
    </row>
    <row r="760" spans="1:14">
      <c r="A760" s="573"/>
      <c r="B760" s="580" t="s">
        <v>1142</v>
      </c>
      <c r="C760" s="71" t="s">
        <v>1143</v>
      </c>
      <c r="D760" s="325" t="s">
        <v>2575</v>
      </c>
      <c r="E760" s="220">
        <v>2</v>
      </c>
      <c r="F760" s="85"/>
      <c r="G760" s="95"/>
      <c r="H760" s="89"/>
      <c r="I760" s="304"/>
      <c r="L760" s="1" t="str">
        <f t="shared" si="12"/>
        <v>空白</v>
      </c>
      <c r="M760" s="1" t="str">
        <f t="shared" si="12"/>
        <v>空白</v>
      </c>
      <c r="N760" s="1" t="str">
        <f t="shared" si="12"/>
        <v>空白</v>
      </c>
    </row>
    <row r="761" spans="1:14">
      <c r="A761" s="573"/>
      <c r="B761" s="576"/>
      <c r="C761" s="25" t="s">
        <v>1144</v>
      </c>
      <c r="D761" s="310" t="s">
        <v>2576</v>
      </c>
      <c r="E761" s="214">
        <v>2</v>
      </c>
      <c r="F761" s="30"/>
      <c r="G761" s="26"/>
      <c r="H761" s="27"/>
      <c r="I761" s="28"/>
      <c r="L761" s="1" t="str">
        <f t="shared" si="12"/>
        <v>空白</v>
      </c>
      <c r="M761" s="1" t="str">
        <f t="shared" si="12"/>
        <v>空白</v>
      </c>
      <c r="N761" s="1" t="str">
        <f t="shared" si="12"/>
        <v>空白</v>
      </c>
    </row>
    <row r="762" spans="1:14" ht="58.5">
      <c r="A762" s="573"/>
      <c r="B762" s="576"/>
      <c r="C762" s="25" t="s">
        <v>1145</v>
      </c>
      <c r="D762" s="310" t="s">
        <v>3118</v>
      </c>
      <c r="E762" s="214">
        <v>2</v>
      </c>
      <c r="F762" s="30"/>
      <c r="G762" s="26" t="s">
        <v>1146</v>
      </c>
      <c r="H762" s="27">
        <v>2</v>
      </c>
      <c r="I762" s="28" t="s">
        <v>608</v>
      </c>
      <c r="K762" s="2" t="s">
        <v>12</v>
      </c>
      <c r="L762" s="1" t="str">
        <f t="shared" si="12"/>
        <v>空白</v>
      </c>
      <c r="M762" s="1" t="str">
        <f t="shared" si="12"/>
        <v>對</v>
      </c>
      <c r="N762" s="1" t="str">
        <f t="shared" si="12"/>
        <v>對</v>
      </c>
    </row>
    <row r="763" spans="1:14">
      <c r="A763" s="573"/>
      <c r="B763" s="576"/>
      <c r="C763" s="51" t="s">
        <v>1147</v>
      </c>
      <c r="D763" s="345" t="s">
        <v>2577</v>
      </c>
      <c r="E763" s="214">
        <v>2</v>
      </c>
      <c r="F763" s="96"/>
      <c r="G763" s="221"/>
      <c r="H763" s="222"/>
      <c r="I763" s="55"/>
      <c r="L763" s="1" t="str">
        <f t="shared" si="12"/>
        <v>空白</v>
      </c>
      <c r="M763" s="1" t="str">
        <f t="shared" si="12"/>
        <v>空白</v>
      </c>
      <c r="N763" s="1" t="str">
        <f t="shared" si="12"/>
        <v>空白</v>
      </c>
    </row>
    <row r="764" spans="1:14">
      <c r="A764" s="573"/>
      <c r="B764" s="580" t="s">
        <v>1148</v>
      </c>
      <c r="C764" s="22" t="s">
        <v>1149</v>
      </c>
      <c r="D764" s="313" t="s">
        <v>2578</v>
      </c>
      <c r="E764" s="223">
        <v>1</v>
      </c>
      <c r="F764" s="62"/>
      <c r="G764" s="224"/>
      <c r="H764" s="225"/>
      <c r="I764" s="304"/>
      <c r="L764" s="1" t="str">
        <f t="shared" si="12"/>
        <v>空白</v>
      </c>
      <c r="M764" s="1" t="str">
        <f t="shared" si="12"/>
        <v>空白</v>
      </c>
      <c r="N764" s="1" t="str">
        <f t="shared" si="12"/>
        <v>空白</v>
      </c>
    </row>
    <row r="765" spans="1:14" ht="19.5">
      <c r="A765" s="573"/>
      <c r="B765" s="576"/>
      <c r="C765" s="25" t="s">
        <v>1150</v>
      </c>
      <c r="D765" s="310" t="s">
        <v>2911</v>
      </c>
      <c r="E765" s="214">
        <v>1</v>
      </c>
      <c r="F765" s="30"/>
      <c r="G765" s="226" t="s">
        <v>402</v>
      </c>
      <c r="H765" s="32">
        <v>1</v>
      </c>
      <c r="I765" s="28" t="s">
        <v>1151</v>
      </c>
      <c r="K765" s="2" t="s">
        <v>13</v>
      </c>
      <c r="L765" s="1" t="str">
        <f t="shared" si="12"/>
        <v>空白</v>
      </c>
      <c r="M765" s="1" t="str">
        <f t="shared" si="12"/>
        <v>對</v>
      </c>
      <c r="N765" s="1" t="str">
        <f t="shared" si="12"/>
        <v>對</v>
      </c>
    </row>
    <row r="766" spans="1:14">
      <c r="A766" s="573"/>
      <c r="B766" s="576"/>
      <c r="C766" s="25" t="s">
        <v>1152</v>
      </c>
      <c r="D766" s="310" t="s">
        <v>2579</v>
      </c>
      <c r="E766" s="214">
        <v>3</v>
      </c>
      <c r="F766" s="30"/>
      <c r="G766" s="226"/>
      <c r="H766" s="156"/>
      <c r="I766" s="28"/>
      <c r="L766" s="1" t="str">
        <f t="shared" si="12"/>
        <v>空白</v>
      </c>
      <c r="M766" s="1" t="str">
        <f t="shared" si="12"/>
        <v>空白</v>
      </c>
      <c r="N766" s="1" t="str">
        <f t="shared" si="12"/>
        <v>空白</v>
      </c>
    </row>
    <row r="767" spans="1:14" ht="39">
      <c r="A767" s="573"/>
      <c r="B767" s="576"/>
      <c r="C767" s="25" t="s">
        <v>1153</v>
      </c>
      <c r="D767" s="310" t="s">
        <v>2909</v>
      </c>
      <c r="E767" s="214">
        <v>2</v>
      </c>
      <c r="F767" s="30"/>
      <c r="G767" s="227" t="s">
        <v>1154</v>
      </c>
      <c r="H767" s="228">
        <v>2</v>
      </c>
      <c r="I767" s="28" t="s">
        <v>61</v>
      </c>
      <c r="K767" s="2" t="s">
        <v>54</v>
      </c>
      <c r="L767" s="1" t="str">
        <f t="shared" si="12"/>
        <v>空白</v>
      </c>
      <c r="M767" s="1" t="str">
        <f t="shared" si="12"/>
        <v>對</v>
      </c>
      <c r="N767" s="1" t="str">
        <f t="shared" si="12"/>
        <v>對</v>
      </c>
    </row>
    <row r="768" spans="1:14" ht="58.5">
      <c r="A768" s="573"/>
      <c r="B768" s="576"/>
      <c r="C768" s="63" t="s">
        <v>1155</v>
      </c>
      <c r="D768" s="322" t="s">
        <v>3119</v>
      </c>
      <c r="E768" s="214">
        <v>1</v>
      </c>
      <c r="F768" s="64"/>
      <c r="G768" s="68" t="s">
        <v>1156</v>
      </c>
      <c r="H768" s="229">
        <v>1</v>
      </c>
      <c r="I768" s="55" t="s">
        <v>608</v>
      </c>
      <c r="K768" s="2" t="s">
        <v>12</v>
      </c>
      <c r="L768" s="1" t="str">
        <f t="shared" si="12"/>
        <v>空白</v>
      </c>
      <c r="M768" s="1" t="str">
        <f t="shared" si="12"/>
        <v>對</v>
      </c>
      <c r="N768" s="1" t="str">
        <f t="shared" si="12"/>
        <v>對</v>
      </c>
    </row>
    <row r="769" spans="1:14" ht="78">
      <c r="A769" s="573"/>
      <c r="B769" s="580" t="s">
        <v>1157</v>
      </c>
      <c r="C769" s="97" t="s">
        <v>1158</v>
      </c>
      <c r="D769" s="328" t="s">
        <v>3120</v>
      </c>
      <c r="E769" s="145">
        <v>1</v>
      </c>
      <c r="F769" s="85"/>
      <c r="G769" s="230" t="s">
        <v>1159</v>
      </c>
      <c r="H769" s="231">
        <v>1</v>
      </c>
      <c r="I769" s="232" t="s">
        <v>1160</v>
      </c>
      <c r="K769" s="2" t="s">
        <v>14</v>
      </c>
      <c r="L769" s="1" t="str">
        <f t="shared" si="12"/>
        <v>空白</v>
      </c>
      <c r="M769" s="1" t="str">
        <f t="shared" si="12"/>
        <v>對</v>
      </c>
      <c r="N769" s="1" t="str">
        <f t="shared" si="12"/>
        <v>對</v>
      </c>
    </row>
    <row r="770" spans="1:14" ht="39">
      <c r="A770" s="573"/>
      <c r="B770" s="576"/>
      <c r="C770" s="142" t="s">
        <v>1161</v>
      </c>
      <c r="D770" s="353" t="s">
        <v>1162</v>
      </c>
      <c r="E770" s="94">
        <v>1</v>
      </c>
      <c r="F770" s="30"/>
      <c r="G770" s="233" t="s">
        <v>1162</v>
      </c>
      <c r="H770" s="112">
        <v>1</v>
      </c>
      <c r="I770" s="234" t="s">
        <v>1163</v>
      </c>
      <c r="K770" s="2" t="s">
        <v>14</v>
      </c>
      <c r="L770" s="1" t="str">
        <f t="shared" si="12"/>
        <v>空白</v>
      </c>
      <c r="M770" s="1" t="str">
        <f t="shared" si="12"/>
        <v>對</v>
      </c>
      <c r="N770" s="1" t="str">
        <f t="shared" si="12"/>
        <v>對</v>
      </c>
    </row>
    <row r="771" spans="1:14" ht="19.5">
      <c r="A771" s="573"/>
      <c r="B771" s="576"/>
      <c r="C771" s="35" t="s">
        <v>3121</v>
      </c>
      <c r="D771" s="329" t="s">
        <v>3122</v>
      </c>
      <c r="E771" s="29">
        <v>2</v>
      </c>
      <c r="F771" s="30" t="s">
        <v>1164</v>
      </c>
      <c r="G771" s="109" t="s">
        <v>1165</v>
      </c>
      <c r="H771" s="112">
        <v>2</v>
      </c>
      <c r="I771" s="28" t="s">
        <v>1166</v>
      </c>
      <c r="K771" s="2" t="s">
        <v>242</v>
      </c>
      <c r="L771" s="1" t="str">
        <f t="shared" si="12"/>
        <v>對</v>
      </c>
      <c r="M771" s="1" t="str">
        <f t="shared" si="12"/>
        <v>對</v>
      </c>
      <c r="N771" s="1" t="str">
        <f t="shared" si="12"/>
        <v>對</v>
      </c>
    </row>
    <row r="772" spans="1:14" ht="19.5">
      <c r="A772" s="573"/>
      <c r="B772" s="576"/>
      <c r="C772" s="35" t="s">
        <v>3123</v>
      </c>
      <c r="D772" s="404" t="s">
        <v>3124</v>
      </c>
      <c r="E772" s="94">
        <v>1</v>
      </c>
      <c r="F772" s="30" t="s">
        <v>1167</v>
      </c>
      <c r="G772" s="134" t="s">
        <v>1168</v>
      </c>
      <c r="H772" s="112">
        <v>1</v>
      </c>
      <c r="I772" s="28" t="s">
        <v>1166</v>
      </c>
      <c r="K772" s="2" t="s">
        <v>242</v>
      </c>
      <c r="L772" s="1" t="str">
        <f t="shared" si="12"/>
        <v>對</v>
      </c>
      <c r="M772" s="1" t="str">
        <f t="shared" si="12"/>
        <v>對</v>
      </c>
      <c r="N772" s="1" t="str">
        <f t="shared" si="12"/>
        <v>對</v>
      </c>
    </row>
    <row r="773" spans="1:14" ht="19.5">
      <c r="A773" s="573"/>
      <c r="B773" s="576"/>
      <c r="C773" s="136" t="s">
        <v>3125</v>
      </c>
      <c r="D773" s="405" t="s">
        <v>3126</v>
      </c>
      <c r="E773" s="406">
        <v>2</v>
      </c>
      <c r="F773" s="64" t="s">
        <v>1169</v>
      </c>
      <c r="G773" s="87" t="s">
        <v>1170</v>
      </c>
      <c r="H773" s="75">
        <v>2</v>
      </c>
      <c r="I773" s="55" t="s">
        <v>1166</v>
      </c>
      <c r="K773" s="2" t="s">
        <v>242</v>
      </c>
      <c r="L773" s="1" t="str">
        <f t="shared" si="12"/>
        <v>對</v>
      </c>
      <c r="M773" s="1" t="str">
        <f t="shared" si="12"/>
        <v>對</v>
      </c>
      <c r="N773" s="1" t="str">
        <f t="shared" si="12"/>
        <v>對</v>
      </c>
    </row>
    <row r="774" spans="1:14" ht="58.5">
      <c r="A774" s="573"/>
      <c r="B774" s="580" t="s">
        <v>1171</v>
      </c>
      <c r="C774" s="22" t="s">
        <v>1172</v>
      </c>
      <c r="D774" s="313" t="s">
        <v>3127</v>
      </c>
      <c r="E774" s="235">
        <v>1</v>
      </c>
      <c r="F774" s="85"/>
      <c r="G774" s="88" t="s">
        <v>1173</v>
      </c>
      <c r="H774" s="236">
        <v>1</v>
      </c>
      <c r="I774" s="304" t="s">
        <v>608</v>
      </c>
      <c r="K774" s="2" t="s">
        <v>12</v>
      </c>
      <c r="L774" s="1" t="str">
        <f t="shared" ref="L774:N837" si="13">IF(ISBLANK(F774),"空白",IF(F774=C774,"對","錯"))</f>
        <v>空白</v>
      </c>
      <c r="M774" s="1" t="str">
        <f t="shared" si="13"/>
        <v>對</v>
      </c>
      <c r="N774" s="1" t="str">
        <f t="shared" si="13"/>
        <v>對</v>
      </c>
    </row>
    <row r="775" spans="1:14">
      <c r="A775" s="573"/>
      <c r="B775" s="576"/>
      <c r="C775" s="25" t="s">
        <v>1174</v>
      </c>
      <c r="D775" s="310" t="s">
        <v>2580</v>
      </c>
      <c r="E775" s="214">
        <v>1</v>
      </c>
      <c r="F775" s="30"/>
      <c r="G775" s="10"/>
      <c r="H775" s="27"/>
      <c r="I775" s="28"/>
      <c r="L775" s="1" t="str">
        <f t="shared" si="13"/>
        <v>空白</v>
      </c>
      <c r="M775" s="1" t="str">
        <f t="shared" si="13"/>
        <v>空白</v>
      </c>
      <c r="N775" s="1" t="str">
        <f t="shared" si="13"/>
        <v>空白</v>
      </c>
    </row>
    <row r="776" spans="1:14">
      <c r="A776" s="573"/>
      <c r="B776" s="576"/>
      <c r="C776" s="25" t="s">
        <v>1175</v>
      </c>
      <c r="D776" s="310" t="s">
        <v>2581</v>
      </c>
      <c r="E776" s="214">
        <v>2</v>
      </c>
      <c r="F776" s="30"/>
      <c r="G776" s="69"/>
      <c r="H776" s="32"/>
      <c r="I776" s="28"/>
      <c r="L776" s="1" t="str">
        <f t="shared" si="13"/>
        <v>空白</v>
      </c>
      <c r="M776" s="1" t="str">
        <f t="shared" si="13"/>
        <v>空白</v>
      </c>
      <c r="N776" s="1" t="str">
        <f t="shared" si="13"/>
        <v>空白</v>
      </c>
    </row>
    <row r="777" spans="1:14">
      <c r="A777" s="573"/>
      <c r="B777" s="576"/>
      <c r="C777" s="25" t="s">
        <v>1176</v>
      </c>
      <c r="D777" s="310" t="s">
        <v>2582</v>
      </c>
      <c r="E777" s="214">
        <v>1</v>
      </c>
      <c r="F777" s="30"/>
      <c r="G777" s="69"/>
      <c r="H777" s="156"/>
      <c r="I777" s="28"/>
      <c r="L777" s="1" t="str">
        <f t="shared" si="13"/>
        <v>空白</v>
      </c>
      <c r="M777" s="1" t="str">
        <f t="shared" si="13"/>
        <v>空白</v>
      </c>
      <c r="N777" s="1" t="str">
        <f t="shared" si="13"/>
        <v>空白</v>
      </c>
    </row>
    <row r="778" spans="1:14">
      <c r="A778" s="573"/>
      <c r="B778" s="576"/>
      <c r="C778" s="25" t="s">
        <v>1177</v>
      </c>
      <c r="D778" s="310" t="s">
        <v>2583</v>
      </c>
      <c r="E778" s="214">
        <v>4</v>
      </c>
      <c r="F778" s="30"/>
      <c r="G778" s="69"/>
      <c r="H778" s="156"/>
      <c r="I778" s="28"/>
      <c r="L778" s="1" t="str">
        <f t="shared" si="13"/>
        <v>空白</v>
      </c>
      <c r="M778" s="1" t="str">
        <f t="shared" si="13"/>
        <v>空白</v>
      </c>
      <c r="N778" s="1" t="str">
        <f t="shared" si="13"/>
        <v>空白</v>
      </c>
    </row>
    <row r="779" spans="1:14" ht="19.5">
      <c r="A779" s="573"/>
      <c r="B779" s="576"/>
      <c r="C779" s="132" t="s">
        <v>3128</v>
      </c>
      <c r="D779" s="314" t="s">
        <v>3129</v>
      </c>
      <c r="E779" s="214">
        <v>2</v>
      </c>
      <c r="F779" s="30" t="s">
        <v>1178</v>
      </c>
      <c r="G779" s="134" t="s">
        <v>1179</v>
      </c>
      <c r="H779" s="112">
        <v>2</v>
      </c>
      <c r="I779" s="28" t="s">
        <v>1180</v>
      </c>
      <c r="K779" s="2" t="s">
        <v>242</v>
      </c>
      <c r="L779" s="1" t="str">
        <f t="shared" si="13"/>
        <v>對</v>
      </c>
      <c r="M779" s="1" t="str">
        <f t="shared" si="13"/>
        <v>對</v>
      </c>
      <c r="N779" s="1" t="str">
        <f t="shared" si="13"/>
        <v>對</v>
      </c>
    </row>
    <row r="780" spans="1:14" ht="19.5">
      <c r="A780" s="573"/>
      <c r="B780" s="576"/>
      <c r="C780" s="132" t="s">
        <v>3130</v>
      </c>
      <c r="D780" s="314" t="s">
        <v>3131</v>
      </c>
      <c r="E780" s="214">
        <v>2</v>
      </c>
      <c r="F780" s="64" t="s">
        <v>1181</v>
      </c>
      <c r="G780" s="237" t="s">
        <v>1182</v>
      </c>
      <c r="H780" s="75">
        <v>2</v>
      </c>
      <c r="I780" s="305" t="s">
        <v>1180</v>
      </c>
      <c r="K780" s="2" t="s">
        <v>242</v>
      </c>
      <c r="L780" s="1" t="str">
        <f t="shared" si="13"/>
        <v>對</v>
      </c>
      <c r="M780" s="1" t="str">
        <f t="shared" si="13"/>
        <v>對</v>
      </c>
      <c r="N780" s="1" t="str">
        <f t="shared" si="13"/>
        <v>對</v>
      </c>
    </row>
    <row r="781" spans="1:14" ht="58.5">
      <c r="A781" s="573"/>
      <c r="B781" s="580" t="s">
        <v>1183</v>
      </c>
      <c r="C781" s="238" t="s">
        <v>1184</v>
      </c>
      <c r="D781" s="344" t="s">
        <v>3132</v>
      </c>
      <c r="E781" s="223">
        <v>1</v>
      </c>
      <c r="F781" s="85"/>
      <c r="G781" s="239" t="s">
        <v>1185</v>
      </c>
      <c r="H781" s="89">
        <v>1</v>
      </c>
      <c r="I781" s="98" t="s">
        <v>1186</v>
      </c>
      <c r="K781" s="2" t="s">
        <v>12</v>
      </c>
      <c r="L781" s="1" t="str">
        <f t="shared" si="13"/>
        <v>空白</v>
      </c>
      <c r="M781" s="1" t="str">
        <f t="shared" si="13"/>
        <v>對</v>
      </c>
      <c r="N781" s="1" t="str">
        <f t="shared" si="13"/>
        <v>對</v>
      </c>
    </row>
    <row r="782" spans="1:14">
      <c r="A782" s="573"/>
      <c r="B782" s="576"/>
      <c r="C782" s="22" t="s">
        <v>1187</v>
      </c>
      <c r="D782" s="313" t="s">
        <v>2580</v>
      </c>
      <c r="E782" s="240">
        <v>1</v>
      </c>
      <c r="F782" s="30"/>
      <c r="G782" s="217"/>
      <c r="H782" s="156"/>
      <c r="I782" s="28"/>
      <c r="L782" s="1" t="str">
        <f t="shared" si="13"/>
        <v>空白</v>
      </c>
      <c r="M782" s="1" t="str">
        <f t="shared" si="13"/>
        <v>空白</v>
      </c>
      <c r="N782" s="1" t="str">
        <f t="shared" si="13"/>
        <v>空白</v>
      </c>
    </row>
    <row r="783" spans="1:14">
      <c r="A783" s="573"/>
      <c r="B783" s="576"/>
      <c r="C783" s="25" t="s">
        <v>1188</v>
      </c>
      <c r="D783" s="310" t="s">
        <v>2584</v>
      </c>
      <c r="E783" s="214">
        <v>1</v>
      </c>
      <c r="F783" s="30"/>
      <c r="G783" s="26"/>
      <c r="H783" s="27"/>
      <c r="I783" s="28"/>
      <c r="L783" s="1" t="str">
        <f t="shared" si="13"/>
        <v>空白</v>
      </c>
      <c r="M783" s="1" t="str">
        <f t="shared" si="13"/>
        <v>空白</v>
      </c>
      <c r="N783" s="1" t="str">
        <f t="shared" si="13"/>
        <v>空白</v>
      </c>
    </row>
    <row r="784" spans="1:14">
      <c r="A784" s="573"/>
      <c r="B784" s="576"/>
      <c r="C784" s="63" t="s">
        <v>1189</v>
      </c>
      <c r="D784" s="322" t="s">
        <v>2583</v>
      </c>
      <c r="E784" s="214">
        <v>5</v>
      </c>
      <c r="F784" s="30"/>
      <c r="G784" s="26"/>
      <c r="H784" s="27"/>
      <c r="I784" s="28"/>
      <c r="L784" s="1" t="str">
        <f t="shared" si="13"/>
        <v>空白</v>
      </c>
      <c r="M784" s="1" t="str">
        <f t="shared" si="13"/>
        <v>空白</v>
      </c>
      <c r="N784" s="1" t="str">
        <f t="shared" si="13"/>
        <v>空白</v>
      </c>
    </row>
    <row r="785" spans="1:14" ht="19.5">
      <c r="A785" s="573"/>
      <c r="B785" s="576"/>
      <c r="C785" s="266" t="s">
        <v>3133</v>
      </c>
      <c r="D785" s="407" t="s">
        <v>3134</v>
      </c>
      <c r="E785" s="216">
        <v>2</v>
      </c>
      <c r="F785" s="30" t="s">
        <v>1190</v>
      </c>
      <c r="G785" s="134" t="s">
        <v>1191</v>
      </c>
      <c r="H785" s="112">
        <v>2</v>
      </c>
      <c r="I785" s="305" t="s">
        <v>1192</v>
      </c>
      <c r="K785" s="2" t="s">
        <v>242</v>
      </c>
      <c r="L785" s="1" t="str">
        <f t="shared" si="13"/>
        <v>對</v>
      </c>
      <c r="M785" s="1" t="str">
        <f t="shared" si="13"/>
        <v>對</v>
      </c>
      <c r="N785" s="1" t="str">
        <f t="shared" si="13"/>
        <v>對</v>
      </c>
    </row>
    <row r="786" spans="1:14" ht="19.5">
      <c r="A786" s="573"/>
      <c r="B786" s="576"/>
      <c r="C786" s="408" t="s">
        <v>3135</v>
      </c>
      <c r="D786" s="405" t="s">
        <v>3136</v>
      </c>
      <c r="E786" s="216">
        <v>2</v>
      </c>
      <c r="F786" s="96" t="s">
        <v>1193</v>
      </c>
      <c r="G786" s="237" t="s">
        <v>1194</v>
      </c>
      <c r="H786" s="75">
        <v>2</v>
      </c>
      <c r="I786" s="55" t="s">
        <v>1192</v>
      </c>
      <c r="K786" s="2" t="s">
        <v>242</v>
      </c>
      <c r="L786" s="1" t="str">
        <f t="shared" si="13"/>
        <v>對</v>
      </c>
      <c r="M786" s="1" t="str">
        <f t="shared" si="13"/>
        <v>對</v>
      </c>
      <c r="N786" s="1" t="str">
        <f t="shared" si="13"/>
        <v>對</v>
      </c>
    </row>
    <row r="787" spans="1:14" ht="58.5">
      <c r="A787" s="573"/>
      <c r="B787" s="580" t="s">
        <v>1195</v>
      </c>
      <c r="C787" s="22" t="s">
        <v>1196</v>
      </c>
      <c r="D787" s="313" t="s">
        <v>3137</v>
      </c>
      <c r="E787" s="223">
        <v>1</v>
      </c>
      <c r="F787" s="62"/>
      <c r="G787" s="125" t="s">
        <v>1197</v>
      </c>
      <c r="H787" s="89">
        <v>1</v>
      </c>
      <c r="I787" s="304" t="s">
        <v>608</v>
      </c>
      <c r="K787" s="2" t="s">
        <v>12</v>
      </c>
      <c r="L787" s="1" t="str">
        <f t="shared" si="13"/>
        <v>空白</v>
      </c>
      <c r="M787" s="1" t="str">
        <f t="shared" si="13"/>
        <v>對</v>
      </c>
      <c r="N787" s="1" t="str">
        <f t="shared" si="13"/>
        <v>對</v>
      </c>
    </row>
    <row r="788" spans="1:14">
      <c r="A788" s="573"/>
      <c r="B788" s="576"/>
      <c r="C788" s="25" t="s">
        <v>1198</v>
      </c>
      <c r="D788" s="310" t="s">
        <v>2584</v>
      </c>
      <c r="E788" s="214">
        <v>1</v>
      </c>
      <c r="F788" s="30"/>
      <c r="G788" s="217"/>
      <c r="H788" s="156"/>
      <c r="I788" s="28"/>
      <c r="L788" s="1" t="str">
        <f t="shared" si="13"/>
        <v>空白</v>
      </c>
      <c r="M788" s="1" t="str">
        <f t="shared" si="13"/>
        <v>空白</v>
      </c>
      <c r="N788" s="1" t="str">
        <f t="shared" si="13"/>
        <v>空白</v>
      </c>
    </row>
    <row r="789" spans="1:14">
      <c r="A789" s="573"/>
      <c r="B789" s="576"/>
      <c r="C789" s="25" t="s">
        <v>1199</v>
      </c>
      <c r="D789" s="310" t="s">
        <v>2585</v>
      </c>
      <c r="E789" s="214">
        <v>2</v>
      </c>
      <c r="F789" s="30"/>
      <c r="G789" s="217"/>
      <c r="H789" s="156"/>
      <c r="I789" s="28"/>
      <c r="L789" s="1" t="str">
        <f t="shared" si="13"/>
        <v>空白</v>
      </c>
      <c r="M789" s="1" t="str">
        <f t="shared" si="13"/>
        <v>空白</v>
      </c>
      <c r="N789" s="1" t="str">
        <f t="shared" si="13"/>
        <v>空白</v>
      </c>
    </row>
    <row r="790" spans="1:14" ht="19.5">
      <c r="A790" s="573"/>
      <c r="B790" s="576"/>
      <c r="C790" s="25" t="s">
        <v>1200</v>
      </c>
      <c r="D790" s="310" t="s">
        <v>3138</v>
      </c>
      <c r="E790" s="214">
        <v>2</v>
      </c>
      <c r="F790" s="30"/>
      <c r="G790" s="217" t="s">
        <v>1201</v>
      </c>
      <c r="H790" s="27">
        <v>2</v>
      </c>
      <c r="I790" s="620" t="s">
        <v>61</v>
      </c>
      <c r="K790" s="2" t="s">
        <v>54</v>
      </c>
      <c r="L790" s="1" t="str">
        <f t="shared" si="13"/>
        <v>空白</v>
      </c>
      <c r="M790" s="1" t="str">
        <f t="shared" si="13"/>
        <v>對</v>
      </c>
      <c r="N790" s="1" t="str">
        <f t="shared" si="13"/>
        <v>對</v>
      </c>
    </row>
    <row r="791" spans="1:14" ht="19.5">
      <c r="A791" s="573"/>
      <c r="B791" s="576"/>
      <c r="C791" s="25" t="s">
        <v>1202</v>
      </c>
      <c r="D791" s="310" t="s">
        <v>3139</v>
      </c>
      <c r="E791" s="214">
        <v>4</v>
      </c>
      <c r="F791" s="30"/>
      <c r="G791" s="217" t="s">
        <v>1203</v>
      </c>
      <c r="H791" s="27">
        <v>4</v>
      </c>
      <c r="I791" s="621"/>
      <c r="K791" s="2" t="s">
        <v>54</v>
      </c>
      <c r="L791" s="1" t="str">
        <f t="shared" si="13"/>
        <v>空白</v>
      </c>
      <c r="M791" s="1" t="str">
        <f t="shared" si="13"/>
        <v>對</v>
      </c>
      <c r="N791" s="1" t="str">
        <f t="shared" si="13"/>
        <v>對</v>
      </c>
    </row>
    <row r="792" spans="1:14">
      <c r="A792" s="573"/>
      <c r="B792" s="576"/>
      <c r="C792" s="25" t="s">
        <v>1204</v>
      </c>
      <c r="D792" s="310" t="s">
        <v>2586</v>
      </c>
      <c r="E792" s="214">
        <v>4</v>
      </c>
      <c r="F792" s="30"/>
      <c r="G792" s="217"/>
      <c r="H792" s="27"/>
      <c r="I792" s="28"/>
      <c r="L792" s="1" t="str">
        <f t="shared" si="13"/>
        <v>空白</v>
      </c>
      <c r="M792" s="1" t="str">
        <f t="shared" si="13"/>
        <v>空白</v>
      </c>
      <c r="N792" s="1" t="str">
        <f t="shared" si="13"/>
        <v>空白</v>
      </c>
    </row>
    <row r="793" spans="1:14" ht="19.5">
      <c r="A793" s="573"/>
      <c r="B793" s="576"/>
      <c r="C793" s="25" t="s">
        <v>1205</v>
      </c>
      <c r="D793" s="310" t="s">
        <v>2587</v>
      </c>
      <c r="E793" s="216" t="s">
        <v>746</v>
      </c>
      <c r="F793" s="30"/>
      <c r="G793" s="217"/>
      <c r="H793" s="27"/>
      <c r="I793" s="28"/>
      <c r="L793" s="1" t="str">
        <f t="shared" si="13"/>
        <v>空白</v>
      </c>
      <c r="M793" s="1" t="str">
        <f t="shared" si="13"/>
        <v>空白</v>
      </c>
      <c r="N793" s="1" t="str">
        <f t="shared" si="13"/>
        <v>空白</v>
      </c>
    </row>
    <row r="794" spans="1:14">
      <c r="A794" s="573"/>
      <c r="B794" s="576"/>
      <c r="C794" s="25" t="s">
        <v>1206</v>
      </c>
      <c r="D794" s="308" t="s">
        <v>2588</v>
      </c>
      <c r="E794" s="214">
        <v>4</v>
      </c>
      <c r="F794" s="30"/>
      <c r="G794" s="217"/>
      <c r="H794" s="156"/>
      <c r="I794" s="28"/>
      <c r="L794" s="1" t="str">
        <f t="shared" si="13"/>
        <v>空白</v>
      </c>
      <c r="M794" s="1" t="str">
        <f t="shared" si="13"/>
        <v>空白</v>
      </c>
      <c r="N794" s="1" t="str">
        <f t="shared" si="13"/>
        <v>空白</v>
      </c>
    </row>
    <row r="795" spans="1:14">
      <c r="A795" s="573"/>
      <c r="B795" s="576"/>
      <c r="C795" s="25" t="s">
        <v>1207</v>
      </c>
      <c r="D795" s="308" t="s">
        <v>2589</v>
      </c>
      <c r="E795" s="214">
        <v>3</v>
      </c>
      <c r="F795" s="30"/>
      <c r="G795" s="217"/>
      <c r="H795" s="156"/>
      <c r="I795" s="28"/>
      <c r="L795" s="1" t="str">
        <f t="shared" si="13"/>
        <v>空白</v>
      </c>
      <c r="M795" s="1" t="str">
        <f t="shared" si="13"/>
        <v>空白</v>
      </c>
      <c r="N795" s="1" t="str">
        <f t="shared" si="13"/>
        <v>空白</v>
      </c>
    </row>
    <row r="796" spans="1:14">
      <c r="A796" s="573"/>
      <c r="B796" s="576"/>
      <c r="C796" s="25" t="s">
        <v>1208</v>
      </c>
      <c r="D796" s="308" t="s">
        <v>2590</v>
      </c>
      <c r="E796" s="214">
        <v>3</v>
      </c>
      <c r="F796" s="30"/>
      <c r="G796" s="217"/>
      <c r="H796" s="27"/>
      <c r="I796" s="28"/>
      <c r="L796" s="1" t="str">
        <f t="shared" si="13"/>
        <v>空白</v>
      </c>
      <c r="M796" s="1" t="str">
        <f t="shared" si="13"/>
        <v>空白</v>
      </c>
      <c r="N796" s="1" t="str">
        <f t="shared" si="13"/>
        <v>空白</v>
      </c>
    </row>
    <row r="797" spans="1:14">
      <c r="A797" s="573"/>
      <c r="B797" s="576"/>
      <c r="C797" s="25" t="s">
        <v>1209</v>
      </c>
      <c r="D797" s="308" t="s">
        <v>2591</v>
      </c>
      <c r="E797" s="214">
        <v>2</v>
      </c>
      <c r="F797" s="30"/>
      <c r="G797" s="217"/>
      <c r="H797" s="27"/>
      <c r="I797" s="28"/>
      <c r="L797" s="1" t="str">
        <f t="shared" si="13"/>
        <v>空白</v>
      </c>
      <c r="M797" s="1" t="str">
        <f t="shared" si="13"/>
        <v>空白</v>
      </c>
      <c r="N797" s="1" t="str">
        <f t="shared" si="13"/>
        <v>空白</v>
      </c>
    </row>
    <row r="798" spans="1:14">
      <c r="A798" s="573"/>
      <c r="B798" s="576"/>
      <c r="C798" s="63" t="s">
        <v>1210</v>
      </c>
      <c r="D798" s="337" t="s">
        <v>2592</v>
      </c>
      <c r="E798" s="214">
        <v>2</v>
      </c>
      <c r="F798" s="30"/>
      <c r="G798" s="217"/>
      <c r="H798" s="27"/>
      <c r="I798" s="28"/>
      <c r="L798" s="1" t="str">
        <f t="shared" si="13"/>
        <v>空白</v>
      </c>
      <c r="M798" s="1" t="str">
        <f t="shared" si="13"/>
        <v>空白</v>
      </c>
      <c r="N798" s="1" t="str">
        <f t="shared" si="13"/>
        <v>空白</v>
      </c>
    </row>
    <row r="799" spans="1:14">
      <c r="A799" s="573"/>
      <c r="B799" s="576"/>
      <c r="C799" s="63" t="s">
        <v>1211</v>
      </c>
      <c r="D799" s="337" t="s">
        <v>2593</v>
      </c>
      <c r="E799" s="214">
        <v>5</v>
      </c>
      <c r="F799" s="30"/>
      <c r="G799" s="217"/>
      <c r="H799" s="27"/>
      <c r="I799" s="28"/>
      <c r="L799" s="1" t="str">
        <f t="shared" si="13"/>
        <v>空白</v>
      </c>
      <c r="M799" s="1" t="str">
        <f t="shared" si="13"/>
        <v>空白</v>
      </c>
      <c r="N799" s="1" t="str">
        <f t="shared" si="13"/>
        <v>空白</v>
      </c>
    </row>
    <row r="800" spans="1:14" ht="58.5">
      <c r="A800" s="573"/>
      <c r="B800" s="576"/>
      <c r="C800" s="283" t="s">
        <v>3140</v>
      </c>
      <c r="D800" s="422" t="s">
        <v>3141</v>
      </c>
      <c r="E800" s="214">
        <v>2</v>
      </c>
      <c r="F800" s="30" t="s">
        <v>1212</v>
      </c>
      <c r="G800" s="114" t="s">
        <v>1213</v>
      </c>
      <c r="H800" s="112">
        <v>2</v>
      </c>
      <c r="I800" s="28" t="s">
        <v>1214</v>
      </c>
      <c r="K800" s="2" t="s">
        <v>242</v>
      </c>
      <c r="L800" s="1" t="str">
        <f t="shared" si="13"/>
        <v>對</v>
      </c>
      <c r="M800" s="1" t="str">
        <f t="shared" si="13"/>
        <v>對</v>
      </c>
      <c r="N800" s="1" t="str">
        <f t="shared" si="13"/>
        <v>對</v>
      </c>
    </row>
    <row r="801" spans="1:14" ht="39">
      <c r="A801" s="573"/>
      <c r="B801" s="581"/>
      <c r="C801" s="409" t="s">
        <v>3142</v>
      </c>
      <c r="D801" s="447" t="s">
        <v>3143</v>
      </c>
      <c r="E801" s="240">
        <v>2</v>
      </c>
      <c r="F801" s="64" t="s">
        <v>1215</v>
      </c>
      <c r="G801" s="115" t="s">
        <v>1216</v>
      </c>
      <c r="H801" s="75">
        <v>2</v>
      </c>
      <c r="I801" s="55" t="s">
        <v>1217</v>
      </c>
      <c r="K801" s="2" t="s">
        <v>242</v>
      </c>
      <c r="L801" s="1" t="str">
        <f t="shared" si="13"/>
        <v>對</v>
      </c>
      <c r="M801" s="1" t="str">
        <f t="shared" si="13"/>
        <v>對</v>
      </c>
      <c r="N801" s="1" t="str">
        <f t="shared" si="13"/>
        <v>對</v>
      </c>
    </row>
    <row r="802" spans="1:14">
      <c r="A802" s="573"/>
      <c r="B802" s="580" t="s">
        <v>1218</v>
      </c>
      <c r="C802" s="71" t="s">
        <v>1219</v>
      </c>
      <c r="D802" s="325" t="s">
        <v>2594</v>
      </c>
      <c r="E802" s="223">
        <v>1</v>
      </c>
      <c r="F802" s="85"/>
      <c r="G802" s="95"/>
      <c r="H802" s="89"/>
      <c r="I802" s="304"/>
      <c r="L802" s="1" t="str">
        <f t="shared" si="13"/>
        <v>空白</v>
      </c>
      <c r="M802" s="1" t="str">
        <f t="shared" si="13"/>
        <v>空白</v>
      </c>
      <c r="N802" s="1" t="str">
        <f t="shared" si="13"/>
        <v>空白</v>
      </c>
    </row>
    <row r="803" spans="1:14">
      <c r="A803" s="573"/>
      <c r="B803" s="576"/>
      <c r="C803" s="25" t="s">
        <v>1220</v>
      </c>
      <c r="D803" s="310" t="s">
        <v>2595</v>
      </c>
      <c r="E803" s="214">
        <v>1</v>
      </c>
      <c r="F803" s="30"/>
      <c r="G803" s="26"/>
      <c r="H803" s="27"/>
      <c r="I803" s="28"/>
      <c r="L803" s="1" t="str">
        <f t="shared" si="13"/>
        <v>空白</v>
      </c>
      <c r="M803" s="1" t="str">
        <f t="shared" si="13"/>
        <v>空白</v>
      </c>
      <c r="N803" s="1" t="str">
        <f t="shared" si="13"/>
        <v>空白</v>
      </c>
    </row>
    <row r="804" spans="1:14">
      <c r="A804" s="573"/>
      <c r="B804" s="576"/>
      <c r="C804" s="25" t="s">
        <v>1221</v>
      </c>
      <c r="D804" s="310" t="s">
        <v>2596</v>
      </c>
      <c r="E804" s="214">
        <v>1</v>
      </c>
      <c r="F804" s="30"/>
      <c r="G804" s="26"/>
      <c r="H804" s="27"/>
      <c r="I804" s="28"/>
      <c r="L804" s="1" t="str">
        <f t="shared" si="13"/>
        <v>空白</v>
      </c>
      <c r="M804" s="1" t="str">
        <f t="shared" si="13"/>
        <v>空白</v>
      </c>
      <c r="N804" s="1" t="str">
        <f t="shared" si="13"/>
        <v>空白</v>
      </c>
    </row>
    <row r="805" spans="1:14">
      <c r="A805" s="573"/>
      <c r="B805" s="576"/>
      <c r="C805" s="63" t="s">
        <v>1222</v>
      </c>
      <c r="D805" s="337" t="s">
        <v>2597</v>
      </c>
      <c r="E805" s="219">
        <v>1</v>
      </c>
      <c r="F805" s="30"/>
      <c r="G805" s="26"/>
      <c r="H805" s="27"/>
      <c r="I805" s="28"/>
      <c r="L805" s="1" t="str">
        <f t="shared" si="13"/>
        <v>空白</v>
      </c>
      <c r="M805" s="1" t="str">
        <f t="shared" si="13"/>
        <v>空白</v>
      </c>
      <c r="N805" s="1" t="str">
        <f t="shared" si="13"/>
        <v>空白</v>
      </c>
    </row>
    <row r="806" spans="1:14">
      <c r="A806" s="573"/>
      <c r="B806" s="576"/>
      <c r="C806" s="25" t="s">
        <v>1223</v>
      </c>
      <c r="D806" s="308" t="s">
        <v>2598</v>
      </c>
      <c r="E806" s="214">
        <v>2</v>
      </c>
      <c r="F806" s="30"/>
      <c r="G806" s="26"/>
      <c r="H806" s="27"/>
      <c r="I806" s="28"/>
      <c r="L806" s="1" t="str">
        <f t="shared" si="13"/>
        <v>空白</v>
      </c>
      <c r="M806" s="1" t="str">
        <f t="shared" si="13"/>
        <v>空白</v>
      </c>
      <c r="N806" s="1" t="str">
        <f t="shared" si="13"/>
        <v>空白</v>
      </c>
    </row>
    <row r="807" spans="1:14">
      <c r="A807" s="573"/>
      <c r="B807" s="576"/>
      <c r="C807" s="25" t="s">
        <v>1224</v>
      </c>
      <c r="D807" s="308" t="s">
        <v>2599</v>
      </c>
      <c r="E807" s="214">
        <v>2</v>
      </c>
      <c r="F807" s="30"/>
      <c r="G807" s="26"/>
      <c r="H807" s="27"/>
      <c r="I807" s="28"/>
      <c r="L807" s="1" t="str">
        <f t="shared" si="13"/>
        <v>空白</v>
      </c>
      <c r="M807" s="1" t="str">
        <f t="shared" si="13"/>
        <v>空白</v>
      </c>
      <c r="N807" s="1" t="str">
        <f t="shared" si="13"/>
        <v>空白</v>
      </c>
    </row>
    <row r="808" spans="1:14">
      <c r="A808" s="573"/>
      <c r="B808" s="576"/>
      <c r="C808" s="25" t="s">
        <v>1225</v>
      </c>
      <c r="D808" s="308" t="s">
        <v>2600</v>
      </c>
      <c r="E808" s="214">
        <v>2</v>
      </c>
      <c r="F808" s="30"/>
      <c r="G808" s="26"/>
      <c r="H808" s="27"/>
      <c r="I808" s="28"/>
      <c r="L808" s="1" t="str">
        <f t="shared" si="13"/>
        <v>空白</v>
      </c>
      <c r="M808" s="1" t="str">
        <f t="shared" si="13"/>
        <v>空白</v>
      </c>
      <c r="N808" s="1" t="str">
        <f t="shared" si="13"/>
        <v>空白</v>
      </c>
    </row>
    <row r="809" spans="1:14">
      <c r="A809" s="573"/>
      <c r="B809" s="576"/>
      <c r="C809" s="25" t="s">
        <v>1226</v>
      </c>
      <c r="D809" s="308" t="s">
        <v>2601</v>
      </c>
      <c r="E809" s="214">
        <v>3</v>
      </c>
      <c r="F809" s="30"/>
      <c r="G809" s="211"/>
      <c r="H809" s="156"/>
      <c r="I809" s="28"/>
      <c r="L809" s="1" t="str">
        <f t="shared" si="13"/>
        <v>空白</v>
      </c>
      <c r="M809" s="1" t="str">
        <f t="shared" si="13"/>
        <v>空白</v>
      </c>
      <c r="N809" s="1" t="str">
        <f t="shared" si="13"/>
        <v>空白</v>
      </c>
    </row>
    <row r="810" spans="1:14">
      <c r="A810" s="573"/>
      <c r="B810" s="576"/>
      <c r="C810" s="25" t="s">
        <v>1227</v>
      </c>
      <c r="D810" s="308" t="s">
        <v>2602</v>
      </c>
      <c r="E810" s="214">
        <v>1</v>
      </c>
      <c r="F810" s="30"/>
      <c r="G810" s="26"/>
      <c r="H810" s="27"/>
      <c r="I810" s="28"/>
      <c r="L810" s="1" t="str">
        <f t="shared" si="13"/>
        <v>空白</v>
      </c>
      <c r="M810" s="1" t="str">
        <f t="shared" si="13"/>
        <v>空白</v>
      </c>
      <c r="N810" s="1" t="str">
        <f t="shared" si="13"/>
        <v>空白</v>
      </c>
    </row>
    <row r="811" spans="1:14">
      <c r="A811" s="573"/>
      <c r="B811" s="576"/>
      <c r="C811" s="25" t="s">
        <v>1228</v>
      </c>
      <c r="D811" s="308" t="s">
        <v>2603</v>
      </c>
      <c r="E811" s="214">
        <v>2</v>
      </c>
      <c r="F811" s="30"/>
      <c r="G811" s="26"/>
      <c r="H811" s="27"/>
      <c r="I811" s="28"/>
      <c r="L811" s="1" t="str">
        <f t="shared" si="13"/>
        <v>空白</v>
      </c>
      <c r="M811" s="1" t="str">
        <f t="shared" si="13"/>
        <v>空白</v>
      </c>
      <c r="N811" s="1" t="str">
        <f t="shared" si="13"/>
        <v>空白</v>
      </c>
    </row>
    <row r="812" spans="1:14">
      <c r="A812" s="573"/>
      <c r="B812" s="576"/>
      <c r="C812" s="25" t="s">
        <v>1229</v>
      </c>
      <c r="D812" s="308" t="s">
        <v>2604</v>
      </c>
      <c r="E812" s="214">
        <v>2</v>
      </c>
      <c r="F812" s="30"/>
      <c r="G812" s="26"/>
      <c r="H812" s="27"/>
      <c r="I812" s="28"/>
      <c r="L812" s="1" t="str">
        <f t="shared" si="13"/>
        <v>空白</v>
      </c>
      <c r="M812" s="1" t="str">
        <f t="shared" si="13"/>
        <v>空白</v>
      </c>
      <c r="N812" s="1" t="str">
        <f t="shared" si="13"/>
        <v>空白</v>
      </c>
    </row>
    <row r="813" spans="1:14">
      <c r="A813" s="573"/>
      <c r="B813" s="576"/>
      <c r="C813" s="25" t="s">
        <v>1230</v>
      </c>
      <c r="D813" s="308" t="s">
        <v>2605</v>
      </c>
      <c r="E813" s="214">
        <v>2</v>
      </c>
      <c r="F813" s="30"/>
      <c r="G813" s="26"/>
      <c r="H813" s="27"/>
      <c r="I813" s="28"/>
      <c r="L813" s="1" t="str">
        <f t="shared" si="13"/>
        <v>空白</v>
      </c>
      <c r="M813" s="1" t="str">
        <f t="shared" si="13"/>
        <v>空白</v>
      </c>
      <c r="N813" s="1" t="str">
        <f t="shared" si="13"/>
        <v>空白</v>
      </c>
    </row>
    <row r="814" spans="1:14" ht="19.5">
      <c r="A814" s="573"/>
      <c r="B814" s="576"/>
      <c r="C814" s="25" t="s">
        <v>1231</v>
      </c>
      <c r="D814" s="308" t="s">
        <v>3144</v>
      </c>
      <c r="E814" s="214">
        <v>2</v>
      </c>
      <c r="F814" s="30"/>
      <c r="G814" s="241" t="s">
        <v>1232</v>
      </c>
      <c r="H814" s="32">
        <v>2</v>
      </c>
      <c r="I814" s="33" t="s">
        <v>1233</v>
      </c>
      <c r="K814" s="2" t="s">
        <v>35</v>
      </c>
      <c r="L814" s="1" t="str">
        <f t="shared" si="13"/>
        <v>空白</v>
      </c>
      <c r="M814" s="1" t="str">
        <f t="shared" si="13"/>
        <v>對</v>
      </c>
      <c r="N814" s="1" t="str">
        <f t="shared" si="13"/>
        <v>對</v>
      </c>
    </row>
    <row r="815" spans="1:14">
      <c r="A815" s="573"/>
      <c r="B815" s="576"/>
      <c r="C815" s="25" t="s">
        <v>1234</v>
      </c>
      <c r="D815" s="308" t="s">
        <v>2606</v>
      </c>
      <c r="E815" s="214">
        <v>2</v>
      </c>
      <c r="F815" s="30"/>
      <c r="G815" s="26"/>
      <c r="H815" s="27"/>
      <c r="I815" s="28"/>
      <c r="L815" s="1" t="str">
        <f t="shared" si="13"/>
        <v>空白</v>
      </c>
      <c r="M815" s="1" t="str">
        <f t="shared" si="13"/>
        <v>空白</v>
      </c>
      <c r="N815" s="1" t="str">
        <f t="shared" si="13"/>
        <v>空白</v>
      </c>
    </row>
    <row r="816" spans="1:14">
      <c r="A816" s="573"/>
      <c r="B816" s="576"/>
      <c r="C816" s="25" t="s">
        <v>1235</v>
      </c>
      <c r="D816" s="308" t="s">
        <v>2607</v>
      </c>
      <c r="E816" s="214">
        <v>2</v>
      </c>
      <c r="F816" s="30"/>
      <c r="G816" s="26"/>
      <c r="H816" s="27"/>
      <c r="I816" s="28"/>
      <c r="L816" s="1" t="str">
        <f t="shared" si="13"/>
        <v>空白</v>
      </c>
      <c r="M816" s="1" t="str">
        <f t="shared" si="13"/>
        <v>空白</v>
      </c>
      <c r="N816" s="1" t="str">
        <f t="shared" si="13"/>
        <v>空白</v>
      </c>
    </row>
    <row r="817" spans="1:14">
      <c r="A817" s="573"/>
      <c r="B817" s="576"/>
      <c r="C817" s="25" t="s">
        <v>1236</v>
      </c>
      <c r="D817" s="308" t="s">
        <v>2608</v>
      </c>
      <c r="E817" s="214">
        <v>1</v>
      </c>
      <c r="F817" s="30"/>
      <c r="G817" s="226"/>
      <c r="H817" s="156"/>
      <c r="I817" s="28"/>
      <c r="L817" s="1" t="str">
        <f t="shared" si="13"/>
        <v>空白</v>
      </c>
      <c r="M817" s="1" t="str">
        <f t="shared" si="13"/>
        <v>空白</v>
      </c>
      <c r="N817" s="1" t="str">
        <f t="shared" si="13"/>
        <v>空白</v>
      </c>
    </row>
    <row r="818" spans="1:14">
      <c r="A818" s="573"/>
      <c r="B818" s="576"/>
      <c r="C818" s="34" t="s">
        <v>1237</v>
      </c>
      <c r="D818" s="315" t="s">
        <v>2609</v>
      </c>
      <c r="E818" s="214">
        <v>2</v>
      </c>
      <c r="F818" s="30"/>
      <c r="G818" s="26"/>
      <c r="H818" s="27"/>
      <c r="I818" s="28"/>
      <c r="L818" s="1" t="str">
        <f t="shared" si="13"/>
        <v>空白</v>
      </c>
      <c r="M818" s="1" t="str">
        <f t="shared" si="13"/>
        <v>空白</v>
      </c>
      <c r="N818" s="1" t="str">
        <f t="shared" si="13"/>
        <v>空白</v>
      </c>
    </row>
    <row r="819" spans="1:14" ht="39">
      <c r="A819" s="573"/>
      <c r="B819" s="576"/>
      <c r="C819" s="35" t="s">
        <v>3145</v>
      </c>
      <c r="D819" s="448" t="s">
        <v>3146</v>
      </c>
      <c r="E819" s="240">
        <v>1</v>
      </c>
      <c r="F819" s="30" t="s">
        <v>1238</v>
      </c>
      <c r="G819" s="114" t="s">
        <v>1239</v>
      </c>
      <c r="H819" s="112">
        <v>1</v>
      </c>
      <c r="I819" s="28" t="s">
        <v>1240</v>
      </c>
      <c r="K819" s="2" t="s">
        <v>242</v>
      </c>
      <c r="L819" s="1" t="str">
        <f t="shared" si="13"/>
        <v>對</v>
      </c>
      <c r="M819" s="1" t="str">
        <f t="shared" si="13"/>
        <v>對</v>
      </c>
      <c r="N819" s="1" t="str">
        <f t="shared" si="13"/>
        <v>對</v>
      </c>
    </row>
    <row r="820" spans="1:14" ht="39">
      <c r="A820" s="573"/>
      <c r="B820" s="576"/>
      <c r="C820" s="35" t="s">
        <v>3147</v>
      </c>
      <c r="D820" s="448" t="s">
        <v>3148</v>
      </c>
      <c r="E820" s="240">
        <v>1</v>
      </c>
      <c r="F820" s="30" t="s">
        <v>1241</v>
      </c>
      <c r="G820" s="212" t="s">
        <v>1242</v>
      </c>
      <c r="H820" s="112">
        <v>1</v>
      </c>
      <c r="I820" s="28" t="s">
        <v>1243</v>
      </c>
      <c r="K820" s="2" t="s">
        <v>242</v>
      </c>
      <c r="L820" s="1" t="str">
        <f t="shared" si="13"/>
        <v>對</v>
      </c>
      <c r="M820" s="1" t="str">
        <f t="shared" si="13"/>
        <v>對</v>
      </c>
      <c r="N820" s="1" t="str">
        <f t="shared" si="13"/>
        <v>對</v>
      </c>
    </row>
    <row r="821" spans="1:14" ht="19.5">
      <c r="A821" s="573"/>
      <c r="B821" s="576"/>
      <c r="C821" s="142" t="s">
        <v>3149</v>
      </c>
      <c r="D821" s="449" t="s">
        <v>3150</v>
      </c>
      <c r="E821" s="240">
        <v>3</v>
      </c>
      <c r="F821" s="30" t="s">
        <v>1244</v>
      </c>
      <c r="G821" s="111" t="s">
        <v>1245</v>
      </c>
      <c r="H821" s="112">
        <v>3</v>
      </c>
      <c r="I821" s="620" t="s">
        <v>1246</v>
      </c>
      <c r="K821" s="2" t="s">
        <v>242</v>
      </c>
      <c r="L821" s="1" t="str">
        <f t="shared" si="13"/>
        <v>對</v>
      </c>
      <c r="M821" s="1" t="str">
        <f t="shared" si="13"/>
        <v>對</v>
      </c>
      <c r="N821" s="1" t="str">
        <f t="shared" si="13"/>
        <v>對</v>
      </c>
    </row>
    <row r="822" spans="1:14" ht="19.5">
      <c r="A822" s="573"/>
      <c r="B822" s="581"/>
      <c r="C822" s="143" t="s">
        <v>3151</v>
      </c>
      <c r="D822" s="397" t="s">
        <v>3152</v>
      </c>
      <c r="E822" s="240">
        <v>2</v>
      </c>
      <c r="F822" s="96" t="s">
        <v>1247</v>
      </c>
      <c r="G822" s="115" t="s">
        <v>1248</v>
      </c>
      <c r="H822" s="75">
        <v>2</v>
      </c>
      <c r="I822" s="619"/>
      <c r="K822" s="2" t="s">
        <v>242</v>
      </c>
      <c r="L822" s="1" t="str">
        <f t="shared" si="13"/>
        <v>對</v>
      </c>
      <c r="M822" s="1" t="str">
        <f t="shared" si="13"/>
        <v>對</v>
      </c>
      <c r="N822" s="1" t="str">
        <f t="shared" si="13"/>
        <v>對</v>
      </c>
    </row>
    <row r="823" spans="1:14" ht="19.5">
      <c r="A823" s="573"/>
      <c r="B823" s="580" t="s">
        <v>1249</v>
      </c>
      <c r="C823" s="22" t="s">
        <v>1250</v>
      </c>
      <c r="D823" s="313" t="s">
        <v>3153</v>
      </c>
      <c r="E823" s="223">
        <v>4</v>
      </c>
      <c r="F823" s="62"/>
      <c r="G823" s="95" t="s">
        <v>1251</v>
      </c>
      <c r="H823" s="242">
        <v>4</v>
      </c>
      <c r="I823" s="304" t="s">
        <v>1129</v>
      </c>
      <c r="K823" s="2" t="s">
        <v>12</v>
      </c>
      <c r="L823" s="1" t="str">
        <f t="shared" si="13"/>
        <v>空白</v>
      </c>
      <c r="M823" s="1" t="str">
        <f t="shared" si="13"/>
        <v>對</v>
      </c>
      <c r="N823" s="1" t="str">
        <f t="shared" si="13"/>
        <v>對</v>
      </c>
    </row>
    <row r="824" spans="1:14">
      <c r="A824" s="573"/>
      <c r="B824" s="576"/>
      <c r="C824" s="25" t="s">
        <v>1252</v>
      </c>
      <c r="D824" s="310" t="s">
        <v>2610</v>
      </c>
      <c r="E824" s="216">
        <v>4</v>
      </c>
      <c r="F824" s="30"/>
      <c r="G824" s="226"/>
      <c r="H824" s="156"/>
      <c r="I824" s="28"/>
      <c r="L824" s="1" t="str">
        <f t="shared" si="13"/>
        <v>空白</v>
      </c>
      <c r="M824" s="1" t="str">
        <f t="shared" si="13"/>
        <v>空白</v>
      </c>
      <c r="N824" s="1" t="str">
        <f t="shared" si="13"/>
        <v>空白</v>
      </c>
    </row>
    <row r="825" spans="1:14">
      <c r="A825" s="573"/>
      <c r="B825" s="576"/>
      <c r="C825" s="25" t="s">
        <v>1253</v>
      </c>
      <c r="D825" s="310" t="s">
        <v>2611</v>
      </c>
      <c r="E825" s="216">
        <v>4</v>
      </c>
      <c r="F825" s="30"/>
      <c r="G825" s="226"/>
      <c r="H825" s="156"/>
      <c r="I825" s="28"/>
      <c r="L825" s="1" t="str">
        <f t="shared" si="13"/>
        <v>空白</v>
      </c>
      <c r="M825" s="1" t="str">
        <f t="shared" si="13"/>
        <v>空白</v>
      </c>
      <c r="N825" s="1" t="str">
        <f t="shared" si="13"/>
        <v>空白</v>
      </c>
    </row>
    <row r="826" spans="1:14">
      <c r="A826" s="573"/>
      <c r="B826" s="576"/>
      <c r="C826" s="25" t="s">
        <v>1254</v>
      </c>
      <c r="D826" s="308" t="s">
        <v>2612</v>
      </c>
      <c r="E826" s="216">
        <v>4</v>
      </c>
      <c r="F826" s="30"/>
      <c r="G826" s="163"/>
      <c r="H826" s="156"/>
      <c r="I826" s="28"/>
      <c r="L826" s="1" t="str">
        <f t="shared" si="13"/>
        <v>空白</v>
      </c>
      <c r="M826" s="1" t="str">
        <f t="shared" si="13"/>
        <v>空白</v>
      </c>
      <c r="N826" s="1" t="str">
        <f t="shared" si="13"/>
        <v>空白</v>
      </c>
    </row>
    <row r="827" spans="1:14">
      <c r="A827" s="573"/>
      <c r="B827" s="576"/>
      <c r="C827" s="25" t="s">
        <v>1255</v>
      </c>
      <c r="D827" s="308" t="s">
        <v>2613</v>
      </c>
      <c r="E827" s="216">
        <v>4</v>
      </c>
      <c r="F827" s="30"/>
      <c r="G827" s="226"/>
      <c r="H827" s="156"/>
      <c r="I827" s="28"/>
      <c r="L827" s="1" t="str">
        <f t="shared" si="13"/>
        <v>空白</v>
      </c>
      <c r="M827" s="1" t="str">
        <f t="shared" si="13"/>
        <v>空白</v>
      </c>
      <c r="N827" s="1" t="str">
        <f t="shared" si="13"/>
        <v>空白</v>
      </c>
    </row>
    <row r="828" spans="1:14">
      <c r="A828" s="573"/>
      <c r="B828" s="576"/>
      <c r="C828" s="25" t="s">
        <v>1256</v>
      </c>
      <c r="D828" s="308" t="s">
        <v>2614</v>
      </c>
      <c r="E828" s="216" t="s">
        <v>894</v>
      </c>
      <c r="F828" s="30"/>
      <c r="G828" s="226"/>
      <c r="H828" s="156"/>
      <c r="I828" s="28"/>
      <c r="L828" s="1" t="str">
        <f t="shared" si="13"/>
        <v>空白</v>
      </c>
      <c r="M828" s="1" t="str">
        <f t="shared" si="13"/>
        <v>空白</v>
      </c>
      <c r="N828" s="1" t="str">
        <f t="shared" si="13"/>
        <v>空白</v>
      </c>
    </row>
    <row r="829" spans="1:14">
      <c r="A829" s="573"/>
      <c r="B829" s="576"/>
      <c r="C829" s="25" t="s">
        <v>1257</v>
      </c>
      <c r="D829" s="308" t="s">
        <v>2615</v>
      </c>
      <c r="E829" s="216" t="s">
        <v>894</v>
      </c>
      <c r="F829" s="30"/>
      <c r="G829" s="211"/>
      <c r="H829" s="156"/>
      <c r="I829" s="28"/>
      <c r="L829" s="1" t="str">
        <f t="shared" si="13"/>
        <v>空白</v>
      </c>
      <c r="M829" s="1" t="str">
        <f t="shared" si="13"/>
        <v>空白</v>
      </c>
      <c r="N829" s="1" t="str">
        <f t="shared" si="13"/>
        <v>空白</v>
      </c>
    </row>
    <row r="830" spans="1:14" ht="58.5">
      <c r="A830" s="573"/>
      <c r="B830" s="576"/>
      <c r="C830" s="63" t="s">
        <v>1258</v>
      </c>
      <c r="D830" s="337" t="s">
        <v>3154</v>
      </c>
      <c r="E830" s="243" t="s">
        <v>894</v>
      </c>
      <c r="F830" s="30"/>
      <c r="G830" s="26" t="s">
        <v>1259</v>
      </c>
      <c r="H830" s="32">
        <v>3</v>
      </c>
      <c r="I830" s="28" t="s">
        <v>608</v>
      </c>
      <c r="K830" s="2" t="s">
        <v>12</v>
      </c>
      <c r="L830" s="1" t="str">
        <f t="shared" si="13"/>
        <v>空白</v>
      </c>
      <c r="M830" s="1" t="str">
        <f t="shared" si="13"/>
        <v>對</v>
      </c>
      <c r="N830" s="1" t="str">
        <f>IF(ISBLANK(H830),"空白",IF(H830=E830,"對","錯"))</f>
        <v>錯</v>
      </c>
    </row>
    <row r="831" spans="1:14">
      <c r="A831" s="573"/>
      <c r="B831" s="576"/>
      <c r="C831" s="63" t="s">
        <v>1260</v>
      </c>
      <c r="D831" s="308" t="s">
        <v>2616</v>
      </c>
      <c r="E831" s="216" t="s">
        <v>1261</v>
      </c>
      <c r="F831" s="30"/>
      <c r="G831" s="211"/>
      <c r="H831" s="156"/>
      <c r="I831" s="28"/>
      <c r="L831" s="1" t="str">
        <f t="shared" si="13"/>
        <v>空白</v>
      </c>
      <c r="M831" s="1" t="str">
        <f t="shared" si="13"/>
        <v>空白</v>
      </c>
      <c r="N831" s="1" t="str">
        <f t="shared" si="13"/>
        <v>空白</v>
      </c>
    </row>
    <row r="832" spans="1:14" ht="19.5">
      <c r="A832" s="573"/>
      <c r="B832" s="576"/>
      <c r="C832" s="63" t="s">
        <v>1262</v>
      </c>
      <c r="D832" s="308" t="s">
        <v>2617</v>
      </c>
      <c r="E832" s="214" t="s">
        <v>746</v>
      </c>
      <c r="F832" s="30"/>
      <c r="G832" s="26"/>
      <c r="H832" s="27"/>
      <c r="I832" s="28"/>
      <c r="L832" s="1" t="str">
        <f t="shared" si="13"/>
        <v>空白</v>
      </c>
      <c r="M832" s="1" t="str">
        <f t="shared" si="13"/>
        <v>空白</v>
      </c>
      <c r="N832" s="1" t="str">
        <f t="shared" si="13"/>
        <v>空白</v>
      </c>
    </row>
    <row r="833" spans="1:14" ht="19.5">
      <c r="A833" s="573"/>
      <c r="B833" s="576"/>
      <c r="C833" s="63" t="s">
        <v>1263</v>
      </c>
      <c r="D833" s="337" t="s">
        <v>2618</v>
      </c>
      <c r="E833" s="244" t="s">
        <v>1264</v>
      </c>
      <c r="F833" s="30"/>
      <c r="G833" s="18"/>
      <c r="H833" s="19"/>
      <c r="I833" s="305"/>
      <c r="L833" s="1" t="str">
        <f t="shared" si="13"/>
        <v>空白</v>
      </c>
      <c r="M833" s="1" t="str">
        <f t="shared" si="13"/>
        <v>空白</v>
      </c>
      <c r="N833" s="1" t="str">
        <f t="shared" si="13"/>
        <v>空白</v>
      </c>
    </row>
    <row r="834" spans="1:14" ht="39">
      <c r="A834" s="573"/>
      <c r="B834" s="576"/>
      <c r="C834" s="63" t="s">
        <v>1265</v>
      </c>
      <c r="D834" s="337" t="s">
        <v>3155</v>
      </c>
      <c r="E834" s="219">
        <v>4</v>
      </c>
      <c r="F834" s="245" t="s">
        <v>1265</v>
      </c>
      <c r="G834" s="246" t="s">
        <v>1266</v>
      </c>
      <c r="H834" s="75">
        <v>4</v>
      </c>
      <c r="I834" s="61" t="s">
        <v>1267</v>
      </c>
      <c r="K834" s="2" t="s">
        <v>242</v>
      </c>
      <c r="L834" s="1" t="str">
        <f t="shared" si="13"/>
        <v>對</v>
      </c>
      <c r="M834" s="1" t="str">
        <f t="shared" si="13"/>
        <v>對</v>
      </c>
      <c r="N834" s="1" t="str">
        <f t="shared" si="13"/>
        <v>對</v>
      </c>
    </row>
    <row r="835" spans="1:14" ht="19.5">
      <c r="A835" s="573"/>
      <c r="B835" s="577" t="s">
        <v>3404</v>
      </c>
      <c r="C835" s="71" t="s">
        <v>3156</v>
      </c>
      <c r="D835" s="359" t="s">
        <v>3157</v>
      </c>
      <c r="E835" s="410">
        <v>1</v>
      </c>
      <c r="F835" s="247" t="s">
        <v>1268</v>
      </c>
      <c r="G835" s="138" t="s">
        <v>1269</v>
      </c>
      <c r="H835" s="231">
        <v>1</v>
      </c>
      <c r="I835" s="129" t="s">
        <v>1270</v>
      </c>
      <c r="K835" s="2" t="s">
        <v>242</v>
      </c>
      <c r="L835" s="1" t="str">
        <f t="shared" si="13"/>
        <v>對</v>
      </c>
      <c r="M835" s="1" t="str">
        <f t="shared" si="13"/>
        <v>對</v>
      </c>
      <c r="N835" s="1" t="str">
        <f t="shared" si="13"/>
        <v>對</v>
      </c>
    </row>
    <row r="836" spans="1:14" ht="39">
      <c r="A836" s="573"/>
      <c r="B836" s="578"/>
      <c r="C836" s="25" t="s">
        <v>3158</v>
      </c>
      <c r="D836" s="360" t="s">
        <v>3159</v>
      </c>
      <c r="E836" s="214">
        <v>1</v>
      </c>
      <c r="F836" s="30" t="s">
        <v>1271</v>
      </c>
      <c r="G836" s="111" t="s">
        <v>1272</v>
      </c>
      <c r="H836" s="112">
        <v>1</v>
      </c>
      <c r="I836" s="129" t="s">
        <v>1273</v>
      </c>
      <c r="K836" s="2" t="s">
        <v>242</v>
      </c>
      <c r="L836" s="1" t="str">
        <f t="shared" si="13"/>
        <v>對</v>
      </c>
      <c r="M836" s="1" t="str">
        <f t="shared" si="13"/>
        <v>對</v>
      </c>
      <c r="N836" s="1" t="str">
        <f t="shared" si="13"/>
        <v>對</v>
      </c>
    </row>
    <row r="837" spans="1:14" ht="39">
      <c r="A837" s="573"/>
      <c r="B837" s="578"/>
      <c r="C837" s="25" t="s">
        <v>1274</v>
      </c>
      <c r="D837" s="360" t="s">
        <v>3160</v>
      </c>
      <c r="E837" s="214">
        <v>1</v>
      </c>
      <c r="F837" s="248" t="s">
        <v>1274</v>
      </c>
      <c r="G837" s="111" t="s">
        <v>1275</v>
      </c>
      <c r="H837" s="112">
        <v>1</v>
      </c>
      <c r="I837" s="129" t="s">
        <v>1276</v>
      </c>
      <c r="K837" s="2" t="s">
        <v>242</v>
      </c>
      <c r="L837" s="1" t="str">
        <f t="shared" si="13"/>
        <v>對</v>
      </c>
      <c r="M837" s="1" t="str">
        <f t="shared" si="13"/>
        <v>對</v>
      </c>
      <c r="N837" s="1" t="str">
        <f t="shared" si="13"/>
        <v>對</v>
      </c>
    </row>
    <row r="838" spans="1:14" ht="39">
      <c r="A838" s="573"/>
      <c r="B838" s="578"/>
      <c r="C838" s="25" t="s">
        <v>1277</v>
      </c>
      <c r="D838" s="360" t="s">
        <v>3161</v>
      </c>
      <c r="E838" s="214">
        <v>1</v>
      </c>
      <c r="F838" s="30" t="s">
        <v>1277</v>
      </c>
      <c r="G838" s="111" t="s">
        <v>1278</v>
      </c>
      <c r="H838" s="112">
        <v>1</v>
      </c>
      <c r="I838" s="129" t="s">
        <v>1279</v>
      </c>
      <c r="K838" s="2" t="s">
        <v>242</v>
      </c>
      <c r="L838" s="1" t="str">
        <f t="shared" ref="L838:N901" si="14">IF(ISBLANK(F838),"空白",IF(F838=C838,"對","錯"))</f>
        <v>對</v>
      </c>
      <c r="M838" s="1" t="str">
        <f t="shared" si="14"/>
        <v>對</v>
      </c>
      <c r="N838" s="1" t="str">
        <f t="shared" si="14"/>
        <v>對</v>
      </c>
    </row>
    <row r="839" spans="1:14" ht="19.5">
      <c r="A839" s="573"/>
      <c r="B839" s="578"/>
      <c r="C839" s="25" t="s">
        <v>1280</v>
      </c>
      <c r="D839" s="360" t="s">
        <v>3162</v>
      </c>
      <c r="E839" s="214">
        <v>2</v>
      </c>
      <c r="F839" s="248" t="s">
        <v>1280</v>
      </c>
      <c r="G839" s="111" t="s">
        <v>1281</v>
      </c>
      <c r="H839" s="112">
        <v>2</v>
      </c>
      <c r="I839" s="129" t="s">
        <v>1282</v>
      </c>
      <c r="K839" s="2" t="s">
        <v>242</v>
      </c>
      <c r="L839" s="1" t="str">
        <f t="shared" si="14"/>
        <v>對</v>
      </c>
      <c r="M839" s="1" t="str">
        <f t="shared" si="14"/>
        <v>對</v>
      </c>
      <c r="N839" s="1" t="str">
        <f t="shared" si="14"/>
        <v>對</v>
      </c>
    </row>
    <row r="840" spans="1:14" ht="39">
      <c r="A840" s="573"/>
      <c r="B840" s="578"/>
      <c r="C840" s="25" t="s">
        <v>1283</v>
      </c>
      <c r="D840" s="360" t="s">
        <v>3163</v>
      </c>
      <c r="E840" s="214">
        <v>2</v>
      </c>
      <c r="F840" s="30" t="s">
        <v>1283</v>
      </c>
      <c r="G840" s="111" t="s">
        <v>1284</v>
      </c>
      <c r="H840" s="112">
        <v>2</v>
      </c>
      <c r="I840" s="129" t="s">
        <v>1285</v>
      </c>
      <c r="K840" s="2" t="s">
        <v>242</v>
      </c>
      <c r="L840" s="1" t="str">
        <f t="shared" si="14"/>
        <v>對</v>
      </c>
      <c r="M840" s="1" t="str">
        <f t="shared" si="14"/>
        <v>對</v>
      </c>
      <c r="N840" s="1" t="str">
        <f t="shared" si="14"/>
        <v>對</v>
      </c>
    </row>
    <row r="841" spans="1:14" ht="39.75" thickBot="1">
      <c r="A841" s="573"/>
      <c r="B841" s="589"/>
      <c r="C841" s="15" t="s">
        <v>1286</v>
      </c>
      <c r="D841" s="411" t="s">
        <v>3164</v>
      </c>
      <c r="E841" s="249">
        <v>1</v>
      </c>
      <c r="F841" s="248" t="s">
        <v>1286</v>
      </c>
      <c r="G841" s="131" t="s">
        <v>1287</v>
      </c>
      <c r="H841" s="75">
        <v>1</v>
      </c>
      <c r="I841" s="122" t="s">
        <v>1288</v>
      </c>
      <c r="K841" s="2" t="s">
        <v>242</v>
      </c>
      <c r="L841" s="1" t="str">
        <f t="shared" si="14"/>
        <v>對</v>
      </c>
      <c r="M841" s="1" t="str">
        <f t="shared" si="14"/>
        <v>對</v>
      </c>
      <c r="N841" s="1" t="str">
        <f t="shared" si="14"/>
        <v>對</v>
      </c>
    </row>
    <row r="842" spans="1:14" ht="19.5" thickTop="1">
      <c r="A842" s="572" t="s">
        <v>1289</v>
      </c>
      <c r="B842" s="575" t="s">
        <v>1290</v>
      </c>
      <c r="C842" s="7" t="s">
        <v>1291</v>
      </c>
      <c r="D842" s="311" t="s">
        <v>2619</v>
      </c>
      <c r="E842" s="48">
        <v>1</v>
      </c>
      <c r="F842" s="66"/>
      <c r="G842" s="10"/>
      <c r="H842" s="11"/>
      <c r="I842" s="304"/>
      <c r="L842" s="1" t="str">
        <f t="shared" si="14"/>
        <v>空白</v>
      </c>
      <c r="M842" s="1" t="str">
        <f t="shared" si="14"/>
        <v>空白</v>
      </c>
      <c r="N842" s="1" t="str">
        <f t="shared" si="14"/>
        <v>空白</v>
      </c>
    </row>
    <row r="843" spans="1:14">
      <c r="A843" s="573"/>
      <c r="B843" s="576"/>
      <c r="C843" s="25" t="s">
        <v>1292</v>
      </c>
      <c r="D843" s="314" t="s">
        <v>2620</v>
      </c>
      <c r="E843" s="16">
        <v>1</v>
      </c>
      <c r="F843" s="9"/>
      <c r="G843" s="26"/>
      <c r="H843" s="27"/>
      <c r="I843" s="28"/>
      <c r="L843" s="1" t="str">
        <f t="shared" si="14"/>
        <v>空白</v>
      </c>
      <c r="M843" s="1" t="str">
        <f t="shared" si="14"/>
        <v>空白</v>
      </c>
      <c r="N843" s="1" t="str">
        <f t="shared" si="14"/>
        <v>空白</v>
      </c>
    </row>
    <row r="844" spans="1:14">
      <c r="A844" s="573"/>
      <c r="B844" s="576"/>
      <c r="C844" s="25" t="s">
        <v>1293</v>
      </c>
      <c r="D844" s="310" t="s">
        <v>2621</v>
      </c>
      <c r="E844" s="16">
        <v>2</v>
      </c>
      <c r="F844" s="9"/>
      <c r="G844" s="26"/>
      <c r="H844" s="27"/>
      <c r="I844" s="28"/>
      <c r="L844" s="1" t="str">
        <f t="shared" si="14"/>
        <v>空白</v>
      </c>
      <c r="M844" s="1" t="str">
        <f t="shared" si="14"/>
        <v>空白</v>
      </c>
      <c r="N844" s="1" t="str">
        <f t="shared" si="14"/>
        <v>空白</v>
      </c>
    </row>
    <row r="845" spans="1:14">
      <c r="A845" s="573"/>
      <c r="B845" s="576"/>
      <c r="C845" s="25" t="s">
        <v>1294</v>
      </c>
      <c r="D845" s="310" t="s">
        <v>2622</v>
      </c>
      <c r="E845" s="16">
        <v>2</v>
      </c>
      <c r="F845" s="9"/>
      <c r="G845" s="26"/>
      <c r="H845" s="27"/>
      <c r="I845" s="28"/>
      <c r="L845" s="1" t="str">
        <f t="shared" si="14"/>
        <v>空白</v>
      </c>
      <c r="M845" s="1" t="str">
        <f t="shared" si="14"/>
        <v>空白</v>
      </c>
      <c r="N845" s="1" t="str">
        <f t="shared" si="14"/>
        <v>空白</v>
      </c>
    </row>
    <row r="846" spans="1:14">
      <c r="A846" s="573"/>
      <c r="B846" s="576"/>
      <c r="C846" s="25" t="s">
        <v>1295</v>
      </c>
      <c r="D846" s="310" t="s">
        <v>2623</v>
      </c>
      <c r="E846" s="16">
        <v>2</v>
      </c>
      <c r="F846" s="9"/>
      <c r="G846" s="26"/>
      <c r="H846" s="210"/>
      <c r="I846" s="28"/>
      <c r="L846" s="1" t="str">
        <f t="shared" si="14"/>
        <v>空白</v>
      </c>
      <c r="M846" s="1" t="str">
        <f t="shared" si="14"/>
        <v>空白</v>
      </c>
      <c r="N846" s="1" t="str">
        <f t="shared" si="14"/>
        <v>空白</v>
      </c>
    </row>
    <row r="847" spans="1:14" ht="19.5">
      <c r="A847" s="573"/>
      <c r="B847" s="576"/>
      <c r="C847" s="25" t="s">
        <v>1296</v>
      </c>
      <c r="D847" s="308" t="s">
        <v>3165</v>
      </c>
      <c r="E847" s="16">
        <v>2</v>
      </c>
      <c r="F847" s="9"/>
      <c r="G847" s="26" t="s">
        <v>1297</v>
      </c>
      <c r="H847" s="27">
        <v>2</v>
      </c>
      <c r="I847" s="28" t="s">
        <v>1298</v>
      </c>
      <c r="K847" s="2" t="s">
        <v>35</v>
      </c>
      <c r="L847" s="1" t="str">
        <f t="shared" si="14"/>
        <v>空白</v>
      </c>
      <c r="M847" s="1" t="str">
        <f t="shared" si="14"/>
        <v>對</v>
      </c>
      <c r="N847" s="1" t="str">
        <f t="shared" si="14"/>
        <v>對</v>
      </c>
    </row>
    <row r="848" spans="1:14">
      <c r="A848" s="573"/>
      <c r="B848" s="576"/>
      <c r="C848" s="25" t="s">
        <v>1299</v>
      </c>
      <c r="D848" s="308" t="s">
        <v>2624</v>
      </c>
      <c r="E848" s="16">
        <v>2</v>
      </c>
      <c r="F848" s="9"/>
      <c r="G848" s="26"/>
      <c r="H848" s="27"/>
      <c r="I848" s="28"/>
      <c r="L848" s="1" t="str">
        <f t="shared" si="14"/>
        <v>空白</v>
      </c>
      <c r="M848" s="1" t="str">
        <f t="shared" si="14"/>
        <v>空白</v>
      </c>
      <c r="N848" s="1" t="str">
        <f t="shared" si="14"/>
        <v>空白</v>
      </c>
    </row>
    <row r="849" spans="1:14">
      <c r="A849" s="573"/>
      <c r="B849" s="576"/>
      <c r="C849" s="25" t="s">
        <v>1300</v>
      </c>
      <c r="D849" s="310" t="s">
        <v>2625</v>
      </c>
      <c r="E849" s="16">
        <v>2</v>
      </c>
      <c r="F849" s="9"/>
      <c r="G849" s="26"/>
      <c r="H849" s="156"/>
      <c r="I849" s="28"/>
      <c r="L849" s="1" t="str">
        <f t="shared" si="14"/>
        <v>空白</v>
      </c>
      <c r="M849" s="1" t="str">
        <f t="shared" si="14"/>
        <v>空白</v>
      </c>
      <c r="N849" s="1" t="str">
        <f t="shared" si="14"/>
        <v>空白</v>
      </c>
    </row>
    <row r="850" spans="1:14">
      <c r="A850" s="573"/>
      <c r="B850" s="576"/>
      <c r="C850" s="25" t="s">
        <v>1301</v>
      </c>
      <c r="D850" s="310" t="s">
        <v>2626</v>
      </c>
      <c r="E850" s="16">
        <v>2</v>
      </c>
      <c r="F850" s="9"/>
      <c r="G850" s="26"/>
      <c r="H850" s="156"/>
      <c r="I850" s="28"/>
      <c r="L850" s="1" t="str">
        <f t="shared" si="14"/>
        <v>空白</v>
      </c>
      <c r="M850" s="1" t="str">
        <f t="shared" si="14"/>
        <v>空白</v>
      </c>
      <c r="N850" s="1" t="str">
        <f t="shared" si="14"/>
        <v>空白</v>
      </c>
    </row>
    <row r="851" spans="1:14">
      <c r="A851" s="573"/>
      <c r="B851" s="576"/>
      <c r="C851" s="34" t="s">
        <v>1302</v>
      </c>
      <c r="D851" s="315" t="s">
        <v>2627</v>
      </c>
      <c r="E851" s="16">
        <v>1</v>
      </c>
      <c r="F851" s="9"/>
      <c r="G851" s="26"/>
      <c r="H851" s="156"/>
      <c r="I851" s="28"/>
      <c r="L851" s="1" t="str">
        <f t="shared" si="14"/>
        <v>空白</v>
      </c>
      <c r="M851" s="1" t="str">
        <f t="shared" si="14"/>
        <v>空白</v>
      </c>
      <c r="N851" s="1" t="str">
        <f t="shared" si="14"/>
        <v>空白</v>
      </c>
    </row>
    <row r="852" spans="1:14" ht="39">
      <c r="A852" s="573"/>
      <c r="B852" s="576"/>
      <c r="C852" s="35" t="s">
        <v>3166</v>
      </c>
      <c r="D852" s="412" t="s">
        <v>3167</v>
      </c>
      <c r="E852" s="67">
        <v>1</v>
      </c>
      <c r="F852" s="9" t="s">
        <v>1303</v>
      </c>
      <c r="G852" s="111" t="s">
        <v>1304</v>
      </c>
      <c r="H852" s="112">
        <v>1</v>
      </c>
      <c r="I852" s="104" t="s">
        <v>1305</v>
      </c>
      <c r="K852" s="2" t="s">
        <v>242</v>
      </c>
      <c r="L852" s="1" t="str">
        <f t="shared" si="14"/>
        <v>對</v>
      </c>
      <c r="M852" s="1" t="str">
        <f t="shared" si="14"/>
        <v>對</v>
      </c>
      <c r="N852" s="1" t="str">
        <f t="shared" si="14"/>
        <v>對</v>
      </c>
    </row>
    <row r="853" spans="1:14" ht="39">
      <c r="A853" s="573"/>
      <c r="B853" s="581"/>
      <c r="C853" s="143" t="s">
        <v>3168</v>
      </c>
      <c r="D853" s="316" t="s">
        <v>3169</v>
      </c>
      <c r="E853" s="52">
        <v>1</v>
      </c>
      <c r="F853" s="250" t="s">
        <v>1306</v>
      </c>
      <c r="G853" s="37" t="s">
        <v>1307</v>
      </c>
      <c r="H853" s="113">
        <v>1</v>
      </c>
      <c r="I853" s="39" t="s">
        <v>1308</v>
      </c>
      <c r="K853" s="2" t="s">
        <v>242</v>
      </c>
      <c r="L853" s="1" t="str">
        <f t="shared" si="14"/>
        <v>對</v>
      </c>
      <c r="M853" s="1" t="str">
        <f t="shared" si="14"/>
        <v>對</v>
      </c>
      <c r="N853" s="1" t="str">
        <f t="shared" si="14"/>
        <v>對</v>
      </c>
    </row>
    <row r="854" spans="1:14">
      <c r="A854" s="573"/>
      <c r="B854" s="580" t="s">
        <v>1309</v>
      </c>
      <c r="C854" s="22" t="s">
        <v>1310</v>
      </c>
      <c r="D854" s="313" t="s">
        <v>2628</v>
      </c>
      <c r="E854" s="48">
        <v>1</v>
      </c>
      <c r="F854" s="23"/>
      <c r="G854" s="10"/>
      <c r="H854" s="43"/>
      <c r="I854" s="304"/>
      <c r="L854" s="1" t="str">
        <f t="shared" si="14"/>
        <v>空白</v>
      </c>
      <c r="M854" s="1" t="str">
        <f t="shared" si="14"/>
        <v>空白</v>
      </c>
      <c r="N854" s="1" t="str">
        <f t="shared" si="14"/>
        <v>空白</v>
      </c>
    </row>
    <row r="855" spans="1:14">
      <c r="A855" s="573"/>
      <c r="B855" s="576"/>
      <c r="C855" s="25" t="s">
        <v>1311</v>
      </c>
      <c r="D855" s="310" t="s">
        <v>2629</v>
      </c>
      <c r="E855" s="16">
        <v>1</v>
      </c>
      <c r="F855" s="9"/>
      <c r="G855" s="26"/>
      <c r="H855" s="27"/>
      <c r="I855" s="28"/>
      <c r="L855" s="1" t="str">
        <f t="shared" si="14"/>
        <v>空白</v>
      </c>
      <c r="M855" s="1" t="str">
        <f t="shared" si="14"/>
        <v>空白</v>
      </c>
      <c r="N855" s="1" t="str">
        <f t="shared" si="14"/>
        <v>空白</v>
      </c>
    </row>
    <row r="856" spans="1:14">
      <c r="A856" s="573"/>
      <c r="B856" s="576"/>
      <c r="C856" s="25" t="s">
        <v>1312</v>
      </c>
      <c r="D856" s="310" t="s">
        <v>2630</v>
      </c>
      <c r="E856" s="16">
        <v>2</v>
      </c>
      <c r="F856" s="9"/>
      <c r="G856" s="26"/>
      <c r="H856" s="27"/>
      <c r="I856" s="28"/>
      <c r="L856" s="1" t="str">
        <f t="shared" si="14"/>
        <v>空白</v>
      </c>
      <c r="M856" s="1" t="str">
        <f t="shared" si="14"/>
        <v>空白</v>
      </c>
      <c r="N856" s="1" t="str">
        <f t="shared" si="14"/>
        <v>空白</v>
      </c>
    </row>
    <row r="857" spans="1:14">
      <c r="A857" s="573"/>
      <c r="B857" s="576"/>
      <c r="C857" s="25" t="s">
        <v>1313</v>
      </c>
      <c r="D857" s="310" t="s">
        <v>2631</v>
      </c>
      <c r="E857" s="16">
        <v>2</v>
      </c>
      <c r="F857" s="9"/>
      <c r="G857" s="26"/>
      <c r="H857" s="27"/>
      <c r="I857" s="28"/>
      <c r="L857" s="1" t="str">
        <f t="shared" si="14"/>
        <v>空白</v>
      </c>
      <c r="M857" s="1" t="str">
        <f t="shared" si="14"/>
        <v>空白</v>
      </c>
      <c r="N857" s="1" t="str">
        <f t="shared" si="14"/>
        <v>空白</v>
      </c>
    </row>
    <row r="858" spans="1:14">
      <c r="A858" s="573"/>
      <c r="B858" s="576"/>
      <c r="C858" s="25" t="s">
        <v>1314</v>
      </c>
      <c r="D858" s="308" t="s">
        <v>2632</v>
      </c>
      <c r="E858" s="16">
        <v>1</v>
      </c>
      <c r="F858" s="9"/>
      <c r="G858" s="26"/>
      <c r="H858" s="27"/>
      <c r="I858" s="28"/>
      <c r="L858" s="1" t="str">
        <f t="shared" si="14"/>
        <v>空白</v>
      </c>
      <c r="M858" s="1" t="str">
        <f t="shared" si="14"/>
        <v>空白</v>
      </c>
      <c r="N858" s="1" t="str">
        <f t="shared" si="14"/>
        <v>空白</v>
      </c>
    </row>
    <row r="859" spans="1:14">
      <c r="A859" s="573"/>
      <c r="B859" s="576"/>
      <c r="C859" s="25" t="s">
        <v>1315</v>
      </c>
      <c r="D859" s="308" t="s">
        <v>2633</v>
      </c>
      <c r="E859" s="16">
        <v>1</v>
      </c>
      <c r="F859" s="9"/>
      <c r="G859" s="26"/>
      <c r="H859" s="27"/>
      <c r="I859" s="28"/>
      <c r="L859" s="1" t="str">
        <f t="shared" si="14"/>
        <v>空白</v>
      </c>
      <c r="M859" s="1" t="str">
        <f t="shared" si="14"/>
        <v>空白</v>
      </c>
      <c r="N859" s="1" t="str">
        <f t="shared" si="14"/>
        <v>空白</v>
      </c>
    </row>
    <row r="860" spans="1:14">
      <c r="A860" s="573"/>
      <c r="B860" s="576"/>
      <c r="C860" s="25" t="s">
        <v>1316</v>
      </c>
      <c r="D860" s="308" t="s">
        <v>2634</v>
      </c>
      <c r="E860" s="16">
        <v>3</v>
      </c>
      <c r="F860" s="9"/>
      <c r="G860" s="26"/>
      <c r="H860" s="27"/>
      <c r="I860" s="28"/>
      <c r="L860" s="1" t="str">
        <f t="shared" si="14"/>
        <v>空白</v>
      </c>
      <c r="M860" s="1" t="str">
        <f t="shared" si="14"/>
        <v>空白</v>
      </c>
      <c r="N860" s="1" t="str">
        <f t="shared" si="14"/>
        <v>空白</v>
      </c>
    </row>
    <row r="861" spans="1:14">
      <c r="A861" s="573"/>
      <c r="B861" s="576"/>
      <c r="C861" s="25" t="s">
        <v>1317</v>
      </c>
      <c r="D861" s="308" t="s">
        <v>2635</v>
      </c>
      <c r="E861" s="67">
        <v>2</v>
      </c>
      <c r="F861" s="9"/>
      <c r="G861" s="26"/>
      <c r="H861" s="156"/>
      <c r="I861" s="28"/>
      <c r="L861" s="1" t="str">
        <f t="shared" si="14"/>
        <v>空白</v>
      </c>
      <c r="M861" s="1" t="str">
        <f t="shared" si="14"/>
        <v>空白</v>
      </c>
      <c r="N861" s="1" t="str">
        <f t="shared" si="14"/>
        <v>空白</v>
      </c>
    </row>
    <row r="862" spans="1:14" ht="19.5">
      <c r="A862" s="573"/>
      <c r="B862" s="576"/>
      <c r="C862" s="25" t="s">
        <v>3170</v>
      </c>
      <c r="D862" s="308" t="s">
        <v>3171</v>
      </c>
      <c r="E862" s="67">
        <v>1</v>
      </c>
      <c r="F862" s="9" t="s">
        <v>1318</v>
      </c>
      <c r="G862" s="134" t="s">
        <v>1319</v>
      </c>
      <c r="H862" s="112">
        <v>1</v>
      </c>
      <c r="I862" s="33" t="s">
        <v>1320</v>
      </c>
      <c r="K862" s="2" t="s">
        <v>242</v>
      </c>
      <c r="L862" s="1" t="str">
        <f t="shared" si="14"/>
        <v>對</v>
      </c>
      <c r="M862" s="1" t="str">
        <f t="shared" si="14"/>
        <v>對</v>
      </c>
      <c r="N862" s="1" t="str">
        <f t="shared" si="14"/>
        <v>對</v>
      </c>
    </row>
    <row r="863" spans="1:14" ht="39">
      <c r="A863" s="573"/>
      <c r="B863" s="576"/>
      <c r="C863" s="25" t="s">
        <v>3172</v>
      </c>
      <c r="D863" s="308" t="s">
        <v>3173</v>
      </c>
      <c r="E863" s="67">
        <v>1</v>
      </c>
      <c r="F863" s="9" t="s">
        <v>1321</v>
      </c>
      <c r="G863" s="111" t="s">
        <v>1322</v>
      </c>
      <c r="H863" s="112">
        <v>1</v>
      </c>
      <c r="I863" s="104" t="s">
        <v>1323</v>
      </c>
      <c r="K863" s="2" t="s">
        <v>242</v>
      </c>
      <c r="L863" s="1" t="str">
        <f t="shared" si="14"/>
        <v>對</v>
      </c>
      <c r="M863" s="1" t="str">
        <f t="shared" si="14"/>
        <v>對</v>
      </c>
      <c r="N863" s="1" t="str">
        <f t="shared" si="14"/>
        <v>對</v>
      </c>
    </row>
    <row r="864" spans="1:14" ht="39.75" thickBot="1">
      <c r="A864" s="573"/>
      <c r="B864" s="576"/>
      <c r="C864" s="25" t="s">
        <v>3174</v>
      </c>
      <c r="D864" s="396" t="s">
        <v>3175</v>
      </c>
      <c r="E864" s="139">
        <v>1</v>
      </c>
      <c r="F864" s="36" t="s">
        <v>1324</v>
      </c>
      <c r="G864" s="131" t="s">
        <v>1325</v>
      </c>
      <c r="H864" s="75">
        <v>1</v>
      </c>
      <c r="I864" s="122" t="s">
        <v>1326</v>
      </c>
      <c r="K864" s="2" t="s">
        <v>242</v>
      </c>
      <c r="L864" s="1" t="str">
        <f t="shared" si="14"/>
        <v>對</v>
      </c>
      <c r="M864" s="1" t="str">
        <f t="shared" si="14"/>
        <v>對</v>
      </c>
      <c r="N864" s="1" t="str">
        <f t="shared" si="14"/>
        <v>對</v>
      </c>
    </row>
    <row r="865" spans="1:14" ht="19.5" thickTop="1">
      <c r="A865" s="572" t="s">
        <v>1327</v>
      </c>
      <c r="B865" s="575" t="s">
        <v>1328</v>
      </c>
      <c r="C865" s="7" t="s">
        <v>1329</v>
      </c>
      <c r="D865" s="311" t="s">
        <v>2636</v>
      </c>
      <c r="E865" s="48">
        <v>1</v>
      </c>
      <c r="F865" s="66"/>
      <c r="G865" s="10"/>
      <c r="H865" s="11"/>
      <c r="I865" s="304"/>
      <c r="L865" s="1" t="str">
        <f t="shared" si="14"/>
        <v>空白</v>
      </c>
      <c r="M865" s="1" t="str">
        <f t="shared" si="14"/>
        <v>空白</v>
      </c>
      <c r="N865" s="1" t="str">
        <f t="shared" si="14"/>
        <v>空白</v>
      </c>
    </row>
    <row r="866" spans="1:14">
      <c r="A866" s="573"/>
      <c r="B866" s="576"/>
      <c r="C866" s="25" t="s">
        <v>1330</v>
      </c>
      <c r="D866" s="310" t="s">
        <v>2637</v>
      </c>
      <c r="E866" s="16">
        <v>1</v>
      </c>
      <c r="F866" s="9"/>
      <c r="G866" s="26"/>
      <c r="H866" s="27"/>
      <c r="I866" s="28"/>
      <c r="L866" s="1" t="str">
        <f t="shared" si="14"/>
        <v>空白</v>
      </c>
      <c r="M866" s="1" t="str">
        <f t="shared" si="14"/>
        <v>空白</v>
      </c>
      <c r="N866" s="1" t="str">
        <f t="shared" si="14"/>
        <v>空白</v>
      </c>
    </row>
    <row r="867" spans="1:14" ht="39">
      <c r="A867" s="573"/>
      <c r="B867" s="576"/>
      <c r="C867" s="25" t="s">
        <v>1331</v>
      </c>
      <c r="D867" s="310" t="s">
        <v>3176</v>
      </c>
      <c r="E867" s="16">
        <v>2</v>
      </c>
      <c r="F867" s="9"/>
      <c r="G867" s="103" t="s">
        <v>1332</v>
      </c>
      <c r="H867" s="112">
        <v>2</v>
      </c>
      <c r="I867" s="251" t="s">
        <v>1333</v>
      </c>
      <c r="K867" s="2" t="s">
        <v>15</v>
      </c>
      <c r="L867" s="1" t="str">
        <f t="shared" si="14"/>
        <v>空白</v>
      </c>
      <c r="M867" s="1" t="str">
        <f t="shared" si="14"/>
        <v>對</v>
      </c>
      <c r="N867" s="1" t="str">
        <f t="shared" si="14"/>
        <v>對</v>
      </c>
    </row>
    <row r="868" spans="1:14">
      <c r="A868" s="573"/>
      <c r="B868" s="576"/>
      <c r="C868" s="25" t="s">
        <v>1334</v>
      </c>
      <c r="D868" s="308" t="s">
        <v>2638</v>
      </c>
      <c r="E868" s="16">
        <v>3</v>
      </c>
      <c r="F868" s="9"/>
      <c r="G868" s="26"/>
      <c r="H868" s="27"/>
      <c r="I868" s="28"/>
      <c r="L868" s="1" t="str">
        <f t="shared" si="14"/>
        <v>空白</v>
      </c>
      <c r="M868" s="1" t="str">
        <f t="shared" si="14"/>
        <v>空白</v>
      </c>
      <c r="N868" s="1" t="str">
        <f t="shared" si="14"/>
        <v>空白</v>
      </c>
    </row>
    <row r="869" spans="1:14">
      <c r="A869" s="573"/>
      <c r="B869" s="576"/>
      <c r="C869" s="25" t="s">
        <v>1335</v>
      </c>
      <c r="D869" s="310" t="s">
        <v>2639</v>
      </c>
      <c r="E869" s="16">
        <v>2</v>
      </c>
      <c r="F869" s="9"/>
      <c r="G869" s="26"/>
      <c r="H869" s="27"/>
      <c r="I869" s="28"/>
      <c r="L869" s="1" t="str">
        <f t="shared" si="14"/>
        <v>空白</v>
      </c>
      <c r="M869" s="1" t="str">
        <f t="shared" si="14"/>
        <v>空白</v>
      </c>
      <c r="N869" s="1" t="str">
        <f t="shared" si="14"/>
        <v>空白</v>
      </c>
    </row>
    <row r="870" spans="1:14">
      <c r="A870" s="573"/>
      <c r="B870" s="576"/>
      <c r="C870" s="25" t="s">
        <v>1336</v>
      </c>
      <c r="D870" s="310" t="s">
        <v>2640</v>
      </c>
      <c r="E870" s="16">
        <v>1</v>
      </c>
      <c r="F870" s="9"/>
      <c r="G870" s="26"/>
      <c r="H870" s="27"/>
      <c r="I870" s="28"/>
      <c r="L870" s="1" t="str">
        <f t="shared" si="14"/>
        <v>空白</v>
      </c>
      <c r="M870" s="1" t="str">
        <f t="shared" si="14"/>
        <v>空白</v>
      </c>
      <c r="N870" s="1" t="str">
        <f t="shared" si="14"/>
        <v>空白</v>
      </c>
    </row>
    <row r="871" spans="1:14">
      <c r="A871" s="573"/>
      <c r="B871" s="576"/>
      <c r="C871" s="25" t="s">
        <v>1337</v>
      </c>
      <c r="D871" s="310" t="s">
        <v>2641</v>
      </c>
      <c r="E871" s="16">
        <v>2</v>
      </c>
      <c r="F871" s="9"/>
      <c r="G871" s="26"/>
      <c r="H871" s="156"/>
      <c r="I871" s="28"/>
      <c r="L871" s="1" t="str">
        <f t="shared" si="14"/>
        <v>空白</v>
      </c>
      <c r="M871" s="1" t="str">
        <f t="shared" si="14"/>
        <v>空白</v>
      </c>
      <c r="N871" s="1" t="str">
        <f t="shared" si="14"/>
        <v>空白</v>
      </c>
    </row>
    <row r="872" spans="1:14">
      <c r="A872" s="573"/>
      <c r="B872" s="576"/>
      <c r="C872" s="63" t="s">
        <v>1338</v>
      </c>
      <c r="D872" s="322" t="s">
        <v>2642</v>
      </c>
      <c r="E872" s="67">
        <v>4</v>
      </c>
      <c r="F872" s="9"/>
      <c r="G872" s="26"/>
      <c r="H872" s="156"/>
      <c r="I872" s="28"/>
      <c r="L872" s="1" t="str">
        <f t="shared" si="14"/>
        <v>空白</v>
      </c>
      <c r="M872" s="1" t="str">
        <f t="shared" si="14"/>
        <v>空白</v>
      </c>
      <c r="N872" s="1" t="str">
        <f t="shared" si="14"/>
        <v>空白</v>
      </c>
    </row>
    <row r="873" spans="1:14" ht="39.75" thickBot="1">
      <c r="A873" s="574"/>
      <c r="B873" s="576"/>
      <c r="C873" s="372" t="s">
        <v>3177</v>
      </c>
      <c r="D873" s="413" t="s">
        <v>3178</v>
      </c>
      <c r="E873" s="139">
        <v>1</v>
      </c>
      <c r="F873" s="36" t="s">
        <v>1339</v>
      </c>
      <c r="G873" s="131" t="s">
        <v>1340</v>
      </c>
      <c r="H873" s="121">
        <v>1</v>
      </c>
      <c r="I873" s="122" t="s">
        <v>1341</v>
      </c>
      <c r="K873" s="2" t="s">
        <v>242</v>
      </c>
      <c r="L873" s="1" t="str">
        <f t="shared" si="14"/>
        <v>對</v>
      </c>
      <c r="M873" s="1" t="str">
        <f t="shared" si="14"/>
        <v>對</v>
      </c>
      <c r="N873" s="1" t="str">
        <f t="shared" si="14"/>
        <v>對</v>
      </c>
    </row>
    <row r="874" spans="1:14" ht="19.5" thickTop="1">
      <c r="A874" s="572" t="s">
        <v>1342</v>
      </c>
      <c r="B874" s="575" t="s">
        <v>1343</v>
      </c>
      <c r="C874" s="7" t="s">
        <v>1344</v>
      </c>
      <c r="D874" s="311" t="s">
        <v>2080</v>
      </c>
      <c r="E874" s="8">
        <v>1</v>
      </c>
      <c r="F874" s="66"/>
      <c r="G874" s="10"/>
      <c r="H874" s="57"/>
      <c r="I874" s="304"/>
      <c r="L874" s="1" t="str">
        <f t="shared" si="14"/>
        <v>空白</v>
      </c>
      <c r="M874" s="1" t="str">
        <f t="shared" si="14"/>
        <v>空白</v>
      </c>
      <c r="N874" s="1" t="str">
        <f t="shared" si="14"/>
        <v>空白</v>
      </c>
    </row>
    <row r="875" spans="1:14">
      <c r="A875" s="573"/>
      <c r="B875" s="576"/>
      <c r="C875" s="25" t="s">
        <v>1345</v>
      </c>
      <c r="D875" s="310" t="s">
        <v>2643</v>
      </c>
      <c r="E875" s="16">
        <v>3</v>
      </c>
      <c r="F875" s="9"/>
      <c r="G875" s="26"/>
      <c r="H875" s="27"/>
      <c r="I875" s="28"/>
      <c r="L875" s="1" t="str">
        <f t="shared" si="14"/>
        <v>空白</v>
      </c>
      <c r="M875" s="1" t="str">
        <f t="shared" si="14"/>
        <v>空白</v>
      </c>
      <c r="N875" s="1" t="str">
        <f t="shared" si="14"/>
        <v>空白</v>
      </c>
    </row>
    <row r="876" spans="1:14">
      <c r="A876" s="573"/>
      <c r="B876" s="576"/>
      <c r="C876" s="25" t="s">
        <v>1346</v>
      </c>
      <c r="D876" s="310" t="s">
        <v>2644</v>
      </c>
      <c r="E876" s="52">
        <v>2</v>
      </c>
      <c r="F876" s="9"/>
      <c r="G876" s="26"/>
      <c r="H876" s="27"/>
      <c r="I876" s="28"/>
      <c r="L876" s="1" t="str">
        <f t="shared" si="14"/>
        <v>空白</v>
      </c>
      <c r="M876" s="1" t="str">
        <f t="shared" si="14"/>
        <v>空白</v>
      </c>
      <c r="N876" s="1" t="str">
        <f t="shared" si="14"/>
        <v>空白</v>
      </c>
    </row>
    <row r="877" spans="1:14">
      <c r="A877" s="573"/>
      <c r="B877" s="580" t="s">
        <v>1347</v>
      </c>
      <c r="C877" s="71" t="s">
        <v>1348</v>
      </c>
      <c r="D877" s="325" t="s">
        <v>2645</v>
      </c>
      <c r="E877" s="48">
        <v>1</v>
      </c>
      <c r="F877" s="9"/>
      <c r="G877" s="26"/>
      <c r="H877" s="156"/>
      <c r="I877" s="28"/>
      <c r="L877" s="1" t="str">
        <f t="shared" si="14"/>
        <v>空白</v>
      </c>
      <c r="M877" s="1" t="str">
        <f t="shared" si="14"/>
        <v>空白</v>
      </c>
      <c r="N877" s="1" t="str">
        <f t="shared" si="14"/>
        <v>空白</v>
      </c>
    </row>
    <row r="878" spans="1:14">
      <c r="A878" s="573"/>
      <c r="B878" s="576"/>
      <c r="C878" s="25" t="s">
        <v>1349</v>
      </c>
      <c r="D878" s="310" t="s">
        <v>2646</v>
      </c>
      <c r="E878" s="16">
        <v>2</v>
      </c>
      <c r="F878" s="9"/>
      <c r="G878" s="26"/>
      <c r="H878" s="27"/>
      <c r="I878" s="28"/>
      <c r="L878" s="1" t="str">
        <f t="shared" si="14"/>
        <v>空白</v>
      </c>
      <c r="M878" s="1" t="str">
        <f t="shared" si="14"/>
        <v>空白</v>
      </c>
      <c r="N878" s="1" t="str">
        <f t="shared" si="14"/>
        <v>空白</v>
      </c>
    </row>
    <row r="879" spans="1:14">
      <c r="A879" s="573"/>
      <c r="B879" s="576"/>
      <c r="C879" s="25" t="s">
        <v>1350</v>
      </c>
      <c r="D879" s="310" t="s">
        <v>2647</v>
      </c>
      <c r="E879" s="16">
        <v>3</v>
      </c>
      <c r="F879" s="9"/>
      <c r="G879" s="26"/>
      <c r="H879" s="27"/>
      <c r="I879" s="28"/>
      <c r="L879" s="1" t="str">
        <f t="shared" si="14"/>
        <v>空白</v>
      </c>
      <c r="M879" s="1" t="str">
        <f t="shared" si="14"/>
        <v>空白</v>
      </c>
      <c r="N879" s="1" t="str">
        <f t="shared" si="14"/>
        <v>空白</v>
      </c>
    </row>
    <row r="880" spans="1:14">
      <c r="A880" s="573"/>
      <c r="B880" s="576"/>
      <c r="C880" s="25" t="s">
        <v>1351</v>
      </c>
      <c r="D880" s="310" t="s">
        <v>2648</v>
      </c>
      <c r="E880" s="16">
        <v>4</v>
      </c>
      <c r="F880" s="9"/>
      <c r="G880" s="26"/>
      <c r="H880" s="27"/>
      <c r="I880" s="28"/>
      <c r="L880" s="1" t="str">
        <f t="shared" si="14"/>
        <v>空白</v>
      </c>
      <c r="M880" s="1" t="str">
        <f t="shared" si="14"/>
        <v>空白</v>
      </c>
      <c r="N880" s="1" t="str">
        <f t="shared" si="14"/>
        <v>空白</v>
      </c>
    </row>
    <row r="881" spans="1:14">
      <c r="A881" s="573"/>
      <c r="B881" s="576"/>
      <c r="C881" s="25" t="s">
        <v>1352</v>
      </c>
      <c r="D881" s="310" t="s">
        <v>2649</v>
      </c>
      <c r="E881" s="16">
        <v>4</v>
      </c>
      <c r="F881" s="9"/>
      <c r="G881" s="26"/>
      <c r="H881" s="27"/>
      <c r="I881" s="28"/>
      <c r="L881" s="1" t="str">
        <f t="shared" si="14"/>
        <v>空白</v>
      </c>
      <c r="M881" s="1" t="str">
        <f t="shared" si="14"/>
        <v>空白</v>
      </c>
      <c r="N881" s="1" t="str">
        <f t="shared" si="14"/>
        <v>空白</v>
      </c>
    </row>
    <row r="882" spans="1:14">
      <c r="A882" s="573"/>
      <c r="B882" s="576"/>
      <c r="C882" s="25" t="s">
        <v>1353</v>
      </c>
      <c r="D882" s="310" t="s">
        <v>2650</v>
      </c>
      <c r="E882" s="16">
        <v>5</v>
      </c>
      <c r="F882" s="9"/>
      <c r="G882" s="26"/>
      <c r="H882" s="27"/>
      <c r="I882" s="28"/>
      <c r="L882" s="1" t="str">
        <f t="shared" si="14"/>
        <v>空白</v>
      </c>
      <c r="M882" s="1" t="str">
        <f t="shared" si="14"/>
        <v>空白</v>
      </c>
      <c r="N882" s="1" t="str">
        <f t="shared" si="14"/>
        <v>空白</v>
      </c>
    </row>
    <row r="883" spans="1:14" ht="19.5">
      <c r="A883" s="573"/>
      <c r="B883" s="576"/>
      <c r="C883" s="25" t="s">
        <v>1354</v>
      </c>
      <c r="D883" s="310" t="s">
        <v>2651</v>
      </c>
      <c r="E883" s="16" t="s">
        <v>746</v>
      </c>
      <c r="F883" s="9"/>
      <c r="G883" s="26"/>
      <c r="H883" s="156"/>
      <c r="I883" s="28"/>
      <c r="L883" s="1" t="str">
        <f t="shared" si="14"/>
        <v>空白</v>
      </c>
      <c r="M883" s="1" t="str">
        <f t="shared" si="14"/>
        <v>空白</v>
      </c>
      <c r="N883" s="1" t="str">
        <f t="shared" si="14"/>
        <v>空白</v>
      </c>
    </row>
    <row r="884" spans="1:14">
      <c r="A884" s="573"/>
      <c r="B884" s="576"/>
      <c r="C884" s="25" t="s">
        <v>1355</v>
      </c>
      <c r="D884" s="310" t="s">
        <v>2652</v>
      </c>
      <c r="E884" s="16">
        <v>5</v>
      </c>
      <c r="F884" s="9"/>
      <c r="G884" s="26"/>
      <c r="H884" s="27"/>
      <c r="I884" s="28"/>
      <c r="L884" s="1" t="str">
        <f t="shared" si="14"/>
        <v>空白</v>
      </c>
      <c r="M884" s="1" t="str">
        <f t="shared" si="14"/>
        <v>空白</v>
      </c>
      <c r="N884" s="1" t="str">
        <f t="shared" si="14"/>
        <v>空白</v>
      </c>
    </row>
    <row r="885" spans="1:14">
      <c r="A885" s="573"/>
      <c r="B885" s="576"/>
      <c r="C885" s="25" t="s">
        <v>1356</v>
      </c>
      <c r="D885" s="308" t="s">
        <v>2653</v>
      </c>
      <c r="E885" s="16">
        <v>2</v>
      </c>
      <c r="F885" s="9"/>
      <c r="G885" s="26"/>
      <c r="H885" s="27"/>
      <c r="I885" s="28"/>
      <c r="L885" s="1" t="str">
        <f t="shared" si="14"/>
        <v>空白</v>
      </c>
      <c r="M885" s="1" t="str">
        <f t="shared" si="14"/>
        <v>空白</v>
      </c>
      <c r="N885" s="1" t="str">
        <f t="shared" si="14"/>
        <v>空白</v>
      </c>
    </row>
    <row r="886" spans="1:14">
      <c r="A886" s="573"/>
      <c r="B886" s="576"/>
      <c r="C886" s="377">
        <v>14020081</v>
      </c>
      <c r="D886" s="355" t="s">
        <v>2654</v>
      </c>
      <c r="E886" s="16">
        <v>4</v>
      </c>
      <c r="F886" s="9"/>
      <c r="G886" s="26"/>
      <c r="H886" s="27"/>
      <c r="I886" s="28"/>
      <c r="L886" s="1" t="str">
        <f t="shared" si="14"/>
        <v>空白</v>
      </c>
      <c r="M886" s="1" t="str">
        <f t="shared" si="14"/>
        <v>空白</v>
      </c>
      <c r="N886" s="1" t="str">
        <f t="shared" si="14"/>
        <v>空白</v>
      </c>
    </row>
    <row r="887" spans="1:14" ht="58.5">
      <c r="A887" s="573"/>
      <c r="B887" s="576"/>
      <c r="C887" s="25" t="s">
        <v>1357</v>
      </c>
      <c r="D887" s="308" t="s">
        <v>3179</v>
      </c>
      <c r="E887" s="16">
        <v>2</v>
      </c>
      <c r="F887" s="9"/>
      <c r="G887" s="26" t="s">
        <v>1358</v>
      </c>
      <c r="H887" s="27">
        <v>2</v>
      </c>
      <c r="I887" s="28" t="s">
        <v>608</v>
      </c>
      <c r="K887" s="2" t="s">
        <v>12</v>
      </c>
      <c r="L887" s="1" t="str">
        <f t="shared" si="14"/>
        <v>空白</v>
      </c>
      <c r="M887" s="1" t="str">
        <f t="shared" si="14"/>
        <v>對</v>
      </c>
      <c r="N887" s="1" t="str">
        <f t="shared" si="14"/>
        <v>對</v>
      </c>
    </row>
    <row r="888" spans="1:14">
      <c r="A888" s="573"/>
      <c r="B888" s="576"/>
      <c r="C888" s="25" t="s">
        <v>1359</v>
      </c>
      <c r="D888" s="308" t="s">
        <v>2655</v>
      </c>
      <c r="E888" s="16">
        <v>4</v>
      </c>
      <c r="F888" s="9"/>
      <c r="G888" s="26"/>
      <c r="H888" s="27"/>
      <c r="I888" s="28"/>
      <c r="L888" s="1" t="str">
        <f t="shared" si="14"/>
        <v>空白</v>
      </c>
      <c r="M888" s="1" t="str">
        <f t="shared" si="14"/>
        <v>空白</v>
      </c>
      <c r="N888" s="1" t="str">
        <f t="shared" si="14"/>
        <v>空白</v>
      </c>
    </row>
    <row r="889" spans="1:14" ht="19.5">
      <c r="A889" s="573"/>
      <c r="B889" s="576"/>
      <c r="C889" s="25" t="s">
        <v>1360</v>
      </c>
      <c r="D889" s="337" t="s">
        <v>2656</v>
      </c>
      <c r="E889" s="67" t="s">
        <v>746</v>
      </c>
      <c r="F889" s="9"/>
      <c r="G889" s="26"/>
      <c r="H889" s="27"/>
      <c r="I889" s="28"/>
      <c r="L889" s="1" t="str">
        <f t="shared" si="14"/>
        <v>空白</v>
      </c>
      <c r="M889" s="1" t="str">
        <f t="shared" si="14"/>
        <v>空白</v>
      </c>
      <c r="N889" s="1" t="str">
        <f t="shared" si="14"/>
        <v>空白</v>
      </c>
    </row>
    <row r="890" spans="1:14" ht="33">
      <c r="A890" s="573"/>
      <c r="B890" s="576"/>
      <c r="C890" s="63" t="s">
        <v>1361</v>
      </c>
      <c r="D890" s="316" t="s">
        <v>2657</v>
      </c>
      <c r="E890" s="67">
        <v>6</v>
      </c>
      <c r="F890" s="250"/>
      <c r="G890" s="18"/>
      <c r="H890" s="19"/>
      <c r="I890" s="55"/>
      <c r="L890" s="1" t="str">
        <f t="shared" si="14"/>
        <v>空白</v>
      </c>
      <c r="M890" s="1" t="str">
        <f t="shared" si="14"/>
        <v>空白</v>
      </c>
      <c r="N890" s="1" t="str">
        <f t="shared" si="14"/>
        <v>空白</v>
      </c>
    </row>
    <row r="891" spans="1:14" ht="58.5">
      <c r="A891" s="573"/>
      <c r="B891" s="580" t="s">
        <v>1362</v>
      </c>
      <c r="C891" s="71" t="s">
        <v>1363</v>
      </c>
      <c r="D891" s="313" t="s">
        <v>3180</v>
      </c>
      <c r="E891" s="41">
        <v>2</v>
      </c>
      <c r="F891" s="23"/>
      <c r="G891" s="95" t="s">
        <v>1364</v>
      </c>
      <c r="H891" s="89">
        <v>2</v>
      </c>
      <c r="I891" s="304" t="s">
        <v>1186</v>
      </c>
      <c r="K891" s="2" t="s">
        <v>12</v>
      </c>
      <c r="L891" s="1" t="str">
        <f t="shared" si="14"/>
        <v>空白</v>
      </c>
      <c r="M891" s="1" t="str">
        <f t="shared" si="14"/>
        <v>對</v>
      </c>
      <c r="N891" s="1" t="str">
        <f t="shared" si="14"/>
        <v>對</v>
      </c>
    </row>
    <row r="892" spans="1:14">
      <c r="A892" s="573"/>
      <c r="B892" s="576"/>
      <c r="C892" s="25" t="s">
        <v>1365</v>
      </c>
      <c r="D892" s="310" t="s">
        <v>2658</v>
      </c>
      <c r="E892" s="16">
        <v>3</v>
      </c>
      <c r="F892" s="9"/>
      <c r="G892" s="26"/>
      <c r="H892" s="27"/>
      <c r="I892" s="28"/>
      <c r="L892" s="1" t="str">
        <f t="shared" si="14"/>
        <v>空白</v>
      </c>
      <c r="M892" s="1" t="str">
        <f t="shared" si="14"/>
        <v>空白</v>
      </c>
      <c r="N892" s="1" t="str">
        <f t="shared" si="14"/>
        <v>空白</v>
      </c>
    </row>
    <row r="893" spans="1:14">
      <c r="A893" s="573"/>
      <c r="B893" s="576"/>
      <c r="C893" s="25" t="s">
        <v>1366</v>
      </c>
      <c r="D893" s="310" t="s">
        <v>2659</v>
      </c>
      <c r="E893" s="16">
        <v>4</v>
      </c>
      <c r="F893" s="9"/>
      <c r="G893" s="26"/>
      <c r="H893" s="27"/>
      <c r="I893" s="28"/>
      <c r="L893" s="1" t="str">
        <f t="shared" si="14"/>
        <v>空白</v>
      </c>
      <c r="M893" s="1" t="str">
        <f t="shared" si="14"/>
        <v>空白</v>
      </c>
      <c r="N893" s="1" t="str">
        <f t="shared" si="14"/>
        <v>空白</v>
      </c>
    </row>
    <row r="894" spans="1:14">
      <c r="A894" s="573"/>
      <c r="B894" s="576"/>
      <c r="C894" s="25" t="s">
        <v>1367</v>
      </c>
      <c r="D894" s="310" t="s">
        <v>2660</v>
      </c>
      <c r="E894" s="16">
        <v>3</v>
      </c>
      <c r="F894" s="9"/>
      <c r="G894" s="26"/>
      <c r="H894" s="27"/>
      <c r="I894" s="28"/>
      <c r="L894" s="1" t="str">
        <f t="shared" si="14"/>
        <v>空白</v>
      </c>
      <c r="M894" s="1" t="str">
        <f t="shared" si="14"/>
        <v>空白</v>
      </c>
      <c r="N894" s="1" t="str">
        <f t="shared" si="14"/>
        <v>空白</v>
      </c>
    </row>
    <row r="895" spans="1:14">
      <c r="A895" s="573"/>
      <c r="B895" s="576"/>
      <c r="C895" s="25" t="s">
        <v>1368</v>
      </c>
      <c r="D895" s="310" t="s">
        <v>2646</v>
      </c>
      <c r="E895" s="16">
        <v>2</v>
      </c>
      <c r="F895" s="9"/>
      <c r="G895" s="26"/>
      <c r="H895" s="27"/>
      <c r="I895" s="28"/>
      <c r="L895" s="1" t="str">
        <f t="shared" si="14"/>
        <v>空白</v>
      </c>
      <c r="M895" s="1" t="str">
        <f t="shared" si="14"/>
        <v>空白</v>
      </c>
      <c r="N895" s="1" t="str">
        <f t="shared" si="14"/>
        <v>空白</v>
      </c>
    </row>
    <row r="896" spans="1:14">
      <c r="A896" s="573"/>
      <c r="B896" s="576"/>
      <c r="C896" s="25" t="s">
        <v>1369</v>
      </c>
      <c r="D896" s="310" t="s">
        <v>2661</v>
      </c>
      <c r="E896" s="16">
        <v>3</v>
      </c>
      <c r="F896" s="9"/>
      <c r="G896" s="26"/>
      <c r="H896" s="27"/>
      <c r="I896" s="28"/>
      <c r="L896" s="1" t="str">
        <f t="shared" si="14"/>
        <v>空白</v>
      </c>
      <c r="M896" s="1" t="str">
        <f t="shared" si="14"/>
        <v>空白</v>
      </c>
      <c r="N896" s="1" t="str">
        <f t="shared" si="14"/>
        <v>空白</v>
      </c>
    </row>
    <row r="897" spans="1:14">
      <c r="A897" s="573"/>
      <c r="B897" s="576"/>
      <c r="C897" s="63" t="s">
        <v>1370</v>
      </c>
      <c r="D897" s="337" t="s">
        <v>2662</v>
      </c>
      <c r="E897" s="52">
        <v>3</v>
      </c>
      <c r="F897" s="250"/>
      <c r="G897" s="53"/>
      <c r="H897" s="54"/>
      <c r="I897" s="55"/>
      <c r="L897" s="1" t="str">
        <f t="shared" si="14"/>
        <v>空白</v>
      </c>
      <c r="M897" s="1" t="str">
        <f t="shared" si="14"/>
        <v>空白</v>
      </c>
      <c r="N897" s="1" t="str">
        <f t="shared" si="14"/>
        <v>空白</v>
      </c>
    </row>
    <row r="898" spans="1:14" ht="58.5">
      <c r="A898" s="573"/>
      <c r="B898" s="580" t="s">
        <v>1371</v>
      </c>
      <c r="C898" s="71" t="s">
        <v>1372</v>
      </c>
      <c r="D898" s="325" t="s">
        <v>3181</v>
      </c>
      <c r="E898" s="48">
        <v>2</v>
      </c>
      <c r="F898" s="23"/>
      <c r="G898" s="10" t="s">
        <v>1373</v>
      </c>
      <c r="H898" s="150">
        <v>2</v>
      </c>
      <c r="I898" s="304" t="s">
        <v>608</v>
      </c>
      <c r="K898" s="2" t="s">
        <v>12</v>
      </c>
      <c r="L898" s="1" t="str">
        <f t="shared" si="14"/>
        <v>空白</v>
      </c>
      <c r="M898" s="1" t="str">
        <f t="shared" si="14"/>
        <v>對</v>
      </c>
      <c r="N898" s="1" t="str">
        <f t="shared" si="14"/>
        <v>對</v>
      </c>
    </row>
    <row r="899" spans="1:14">
      <c r="A899" s="573"/>
      <c r="B899" s="576"/>
      <c r="C899" s="25" t="s">
        <v>1374</v>
      </c>
      <c r="D899" s="310" t="s">
        <v>2663</v>
      </c>
      <c r="E899" s="16">
        <v>3</v>
      </c>
      <c r="F899" s="9"/>
      <c r="G899" s="26"/>
      <c r="H899" s="32"/>
      <c r="I899" s="28"/>
      <c r="L899" s="1" t="str">
        <f t="shared" si="14"/>
        <v>空白</v>
      </c>
      <c r="M899" s="1" t="str">
        <f t="shared" si="14"/>
        <v>空白</v>
      </c>
      <c r="N899" s="1" t="str">
        <f t="shared" si="14"/>
        <v>空白</v>
      </c>
    </row>
    <row r="900" spans="1:14">
      <c r="A900" s="573"/>
      <c r="B900" s="576"/>
      <c r="C900" s="25" t="s">
        <v>1375</v>
      </c>
      <c r="D900" s="310" t="s">
        <v>2664</v>
      </c>
      <c r="E900" s="16">
        <v>2</v>
      </c>
      <c r="F900" s="9"/>
      <c r="G900" s="26"/>
      <c r="H900" s="32"/>
      <c r="I900" s="28"/>
      <c r="L900" s="1" t="str">
        <f t="shared" si="14"/>
        <v>空白</v>
      </c>
      <c r="M900" s="1" t="str">
        <f t="shared" si="14"/>
        <v>空白</v>
      </c>
      <c r="N900" s="1" t="str">
        <f t="shared" si="14"/>
        <v>空白</v>
      </c>
    </row>
    <row r="901" spans="1:14">
      <c r="A901" s="573"/>
      <c r="B901" s="576"/>
      <c r="C901" s="25" t="s">
        <v>1376</v>
      </c>
      <c r="D901" s="308" t="s">
        <v>2130</v>
      </c>
      <c r="E901" s="16">
        <v>2</v>
      </c>
      <c r="F901" s="9"/>
      <c r="G901" s="26"/>
      <c r="H901" s="32"/>
      <c r="I901" s="28"/>
      <c r="L901" s="1" t="str">
        <f t="shared" si="14"/>
        <v>空白</v>
      </c>
      <c r="M901" s="1" t="str">
        <f t="shared" si="14"/>
        <v>空白</v>
      </c>
      <c r="N901" s="1" t="str">
        <f t="shared" si="14"/>
        <v>空白</v>
      </c>
    </row>
    <row r="902" spans="1:14">
      <c r="A902" s="573"/>
      <c r="B902" s="576"/>
      <c r="C902" s="63" t="s">
        <v>1377</v>
      </c>
      <c r="D902" s="337" t="s">
        <v>2665</v>
      </c>
      <c r="E902" s="67">
        <v>4</v>
      </c>
      <c r="F902" s="250"/>
      <c r="G902" s="18"/>
      <c r="H902" s="168"/>
      <c r="I902" s="55"/>
      <c r="L902" s="1" t="str">
        <f t="shared" ref="L902:N965" si="15">IF(ISBLANK(F902),"空白",IF(F902=C902,"對","錯"))</f>
        <v>空白</v>
      </c>
      <c r="M902" s="1" t="str">
        <f t="shared" si="15"/>
        <v>空白</v>
      </c>
      <c r="N902" s="1" t="str">
        <f t="shared" si="15"/>
        <v>空白</v>
      </c>
    </row>
    <row r="903" spans="1:14">
      <c r="A903" s="573"/>
      <c r="B903" s="580" t="s">
        <v>1378</v>
      </c>
      <c r="C903" s="71" t="s">
        <v>1379</v>
      </c>
      <c r="D903" s="339" t="s">
        <v>2666</v>
      </c>
      <c r="E903" s="41">
        <v>2</v>
      </c>
      <c r="F903" s="23"/>
      <c r="G903" s="95"/>
      <c r="H903" s="43"/>
      <c r="I903" s="304"/>
      <c r="L903" s="1" t="str">
        <f t="shared" si="15"/>
        <v>空白</v>
      </c>
      <c r="M903" s="1" t="str">
        <f t="shared" si="15"/>
        <v>空白</v>
      </c>
      <c r="N903" s="1" t="str">
        <f t="shared" si="15"/>
        <v>空白</v>
      </c>
    </row>
    <row r="904" spans="1:14" ht="58.5">
      <c r="A904" s="573"/>
      <c r="B904" s="576"/>
      <c r="C904" s="25" t="s">
        <v>1380</v>
      </c>
      <c r="D904" s="308" t="s">
        <v>3182</v>
      </c>
      <c r="E904" s="16">
        <v>3</v>
      </c>
      <c r="F904" s="9"/>
      <c r="G904" s="26" t="s">
        <v>1381</v>
      </c>
      <c r="H904" s="27">
        <v>3</v>
      </c>
      <c r="I904" s="28" t="s">
        <v>608</v>
      </c>
      <c r="K904" s="2" t="s">
        <v>12</v>
      </c>
      <c r="L904" s="1" t="str">
        <f t="shared" si="15"/>
        <v>空白</v>
      </c>
      <c r="M904" s="1" t="str">
        <f t="shared" si="15"/>
        <v>對</v>
      </c>
      <c r="N904" s="1" t="str">
        <f t="shared" si="15"/>
        <v>對</v>
      </c>
    </row>
    <row r="905" spans="1:14">
      <c r="A905" s="573"/>
      <c r="B905" s="576"/>
      <c r="C905" s="25" t="s">
        <v>1382</v>
      </c>
      <c r="D905" s="308" t="s">
        <v>2667</v>
      </c>
      <c r="E905" s="16">
        <v>3</v>
      </c>
      <c r="F905" s="9"/>
      <c r="G905" s="26"/>
      <c r="H905" s="27"/>
      <c r="I905" s="28"/>
      <c r="L905" s="1" t="str">
        <f t="shared" si="15"/>
        <v>空白</v>
      </c>
      <c r="M905" s="1" t="str">
        <f t="shared" si="15"/>
        <v>空白</v>
      </c>
      <c r="N905" s="1" t="str">
        <f t="shared" si="15"/>
        <v>空白</v>
      </c>
    </row>
    <row r="906" spans="1:14" ht="39">
      <c r="A906" s="573"/>
      <c r="B906" s="576"/>
      <c r="C906" s="25" t="s">
        <v>1383</v>
      </c>
      <c r="D906" s="308" t="s">
        <v>3183</v>
      </c>
      <c r="E906" s="16">
        <v>3</v>
      </c>
      <c r="F906" s="9"/>
      <c r="G906" s="26" t="s">
        <v>1384</v>
      </c>
      <c r="H906" s="27">
        <v>3</v>
      </c>
      <c r="I906" s="28" t="s">
        <v>61</v>
      </c>
      <c r="K906" s="2" t="s">
        <v>54</v>
      </c>
      <c r="L906" s="1" t="str">
        <f t="shared" si="15"/>
        <v>空白</v>
      </c>
      <c r="M906" s="1" t="str">
        <f t="shared" si="15"/>
        <v>對</v>
      </c>
      <c r="N906" s="1" t="str">
        <f t="shared" si="15"/>
        <v>對</v>
      </c>
    </row>
    <row r="907" spans="1:14">
      <c r="A907" s="573"/>
      <c r="B907" s="576"/>
      <c r="C907" s="25" t="s">
        <v>1385</v>
      </c>
      <c r="D907" s="308" t="s">
        <v>2668</v>
      </c>
      <c r="E907" s="16">
        <v>3</v>
      </c>
      <c r="F907" s="9"/>
      <c r="G907" s="26"/>
      <c r="H907" s="27"/>
      <c r="I907" s="28"/>
      <c r="L907" s="1" t="str">
        <f t="shared" si="15"/>
        <v>空白</v>
      </c>
      <c r="M907" s="1" t="str">
        <f t="shared" si="15"/>
        <v>空白</v>
      </c>
      <c r="N907" s="1" t="str">
        <f t="shared" si="15"/>
        <v>空白</v>
      </c>
    </row>
    <row r="908" spans="1:14">
      <c r="A908" s="573"/>
      <c r="B908" s="576"/>
      <c r="C908" s="25" t="s">
        <v>1386</v>
      </c>
      <c r="D908" s="308" t="s">
        <v>2669</v>
      </c>
      <c r="E908" s="16">
        <v>3</v>
      </c>
      <c r="F908" s="9"/>
      <c r="G908" s="26"/>
      <c r="H908" s="27"/>
      <c r="I908" s="28"/>
      <c r="L908" s="1" t="str">
        <f t="shared" si="15"/>
        <v>空白</v>
      </c>
      <c r="M908" s="1" t="str">
        <f t="shared" si="15"/>
        <v>空白</v>
      </c>
      <c r="N908" s="1" t="str">
        <f t="shared" si="15"/>
        <v>空白</v>
      </c>
    </row>
    <row r="909" spans="1:14">
      <c r="A909" s="573"/>
      <c r="B909" s="576"/>
      <c r="C909" s="25" t="s">
        <v>1387</v>
      </c>
      <c r="D909" s="308" t="s">
        <v>2670</v>
      </c>
      <c r="E909" s="16">
        <v>4</v>
      </c>
      <c r="F909" s="9"/>
      <c r="G909" s="26"/>
      <c r="H909" s="27"/>
      <c r="I909" s="28"/>
      <c r="L909" s="1" t="str">
        <f t="shared" si="15"/>
        <v>空白</v>
      </c>
      <c r="M909" s="1" t="str">
        <f t="shared" si="15"/>
        <v>空白</v>
      </c>
      <c r="N909" s="1" t="str">
        <f t="shared" si="15"/>
        <v>空白</v>
      </c>
    </row>
    <row r="910" spans="1:14" ht="39">
      <c r="A910" s="573"/>
      <c r="B910" s="576"/>
      <c r="C910" s="25" t="s">
        <v>1388</v>
      </c>
      <c r="D910" s="308" t="s">
        <v>3184</v>
      </c>
      <c r="E910" s="16">
        <v>4</v>
      </c>
      <c r="F910" s="9"/>
      <c r="G910" s="26" t="s">
        <v>1389</v>
      </c>
      <c r="H910" s="27">
        <v>4</v>
      </c>
      <c r="I910" s="28" t="s">
        <v>61</v>
      </c>
      <c r="K910" s="2" t="s">
        <v>54</v>
      </c>
      <c r="L910" s="1" t="str">
        <f t="shared" si="15"/>
        <v>空白</v>
      </c>
      <c r="M910" s="1" t="str">
        <f t="shared" si="15"/>
        <v>對</v>
      </c>
      <c r="N910" s="1" t="str">
        <f t="shared" si="15"/>
        <v>對</v>
      </c>
    </row>
    <row r="911" spans="1:14">
      <c r="A911" s="573"/>
      <c r="B911" s="576"/>
      <c r="C911" s="25" t="s">
        <v>1390</v>
      </c>
      <c r="D911" s="308" t="s">
        <v>2671</v>
      </c>
      <c r="E911" s="16">
        <v>5</v>
      </c>
      <c r="F911" s="9"/>
      <c r="G911" s="26"/>
      <c r="H911" s="27"/>
      <c r="I911" s="28"/>
      <c r="L911" s="1" t="str">
        <f t="shared" si="15"/>
        <v>空白</v>
      </c>
      <c r="M911" s="1" t="str">
        <f t="shared" si="15"/>
        <v>空白</v>
      </c>
      <c r="N911" s="1" t="str">
        <f t="shared" si="15"/>
        <v>空白</v>
      </c>
    </row>
    <row r="912" spans="1:14" ht="19.5">
      <c r="A912" s="573"/>
      <c r="B912" s="576"/>
      <c r="C912" s="25" t="s">
        <v>1391</v>
      </c>
      <c r="D912" s="308" t="s">
        <v>2672</v>
      </c>
      <c r="E912" s="16" t="s">
        <v>746</v>
      </c>
      <c r="F912" s="9"/>
      <c r="G912" s="26"/>
      <c r="H912" s="27"/>
      <c r="I912" s="28"/>
      <c r="L912" s="1" t="str">
        <f t="shared" si="15"/>
        <v>空白</v>
      </c>
      <c r="M912" s="1" t="str">
        <f t="shared" si="15"/>
        <v>空白</v>
      </c>
      <c r="N912" s="1" t="str">
        <f t="shared" si="15"/>
        <v>空白</v>
      </c>
    </row>
    <row r="913" spans="1:14">
      <c r="A913" s="573"/>
      <c r="B913" s="576"/>
      <c r="C913" s="25" t="s">
        <v>1392</v>
      </c>
      <c r="D913" s="308" t="s">
        <v>2673</v>
      </c>
      <c r="E913" s="16">
        <v>3</v>
      </c>
      <c r="F913" s="9"/>
      <c r="G913" s="26"/>
      <c r="H913" s="27"/>
      <c r="I913" s="28"/>
      <c r="L913" s="1" t="str">
        <f t="shared" si="15"/>
        <v>空白</v>
      </c>
      <c r="M913" s="1" t="str">
        <f t="shared" si="15"/>
        <v>空白</v>
      </c>
      <c r="N913" s="1" t="str">
        <f t="shared" si="15"/>
        <v>空白</v>
      </c>
    </row>
    <row r="914" spans="1:14" ht="39">
      <c r="A914" s="573"/>
      <c r="B914" s="576"/>
      <c r="C914" s="25" t="s">
        <v>1393</v>
      </c>
      <c r="D914" s="308" t="s">
        <v>3185</v>
      </c>
      <c r="E914" s="16">
        <v>2</v>
      </c>
      <c r="F914" s="9"/>
      <c r="G914" s="26" t="s">
        <v>1394</v>
      </c>
      <c r="H914" s="27">
        <v>2</v>
      </c>
      <c r="I914" s="28" t="s">
        <v>61</v>
      </c>
      <c r="K914" s="2" t="s">
        <v>54</v>
      </c>
      <c r="L914" s="1" t="str">
        <f t="shared" si="15"/>
        <v>空白</v>
      </c>
      <c r="M914" s="1" t="str">
        <f t="shared" si="15"/>
        <v>對</v>
      </c>
      <c r="N914" s="1" t="str">
        <f t="shared" si="15"/>
        <v>對</v>
      </c>
    </row>
    <row r="915" spans="1:14">
      <c r="A915" s="573"/>
      <c r="B915" s="576"/>
      <c r="C915" s="25" t="s">
        <v>1395</v>
      </c>
      <c r="D915" s="308" t="s">
        <v>2674</v>
      </c>
      <c r="E915" s="16">
        <v>3</v>
      </c>
      <c r="F915" s="9"/>
      <c r="G915" s="26"/>
      <c r="H915" s="27"/>
      <c r="I915" s="28"/>
      <c r="L915" s="1" t="str">
        <f t="shared" si="15"/>
        <v>空白</v>
      </c>
      <c r="M915" s="1" t="str">
        <f t="shared" si="15"/>
        <v>空白</v>
      </c>
      <c r="N915" s="1" t="str">
        <f t="shared" si="15"/>
        <v>空白</v>
      </c>
    </row>
    <row r="916" spans="1:14">
      <c r="A916" s="573"/>
      <c r="B916" s="576"/>
      <c r="C916" s="25" t="s">
        <v>1396</v>
      </c>
      <c r="D916" s="343" t="s">
        <v>2675</v>
      </c>
      <c r="E916" s="16">
        <v>3</v>
      </c>
      <c r="F916" s="9"/>
      <c r="G916" s="26"/>
      <c r="H916" s="27"/>
      <c r="I916" s="28"/>
      <c r="L916" s="1" t="str">
        <f t="shared" si="15"/>
        <v>空白</v>
      </c>
      <c r="M916" s="1" t="str">
        <f t="shared" si="15"/>
        <v>空白</v>
      </c>
      <c r="N916" s="1" t="str">
        <f t="shared" si="15"/>
        <v>空白</v>
      </c>
    </row>
    <row r="917" spans="1:14">
      <c r="A917" s="573"/>
      <c r="B917" s="576"/>
      <c r="C917" s="63" t="s">
        <v>1397</v>
      </c>
      <c r="D917" s="354" t="s">
        <v>2676</v>
      </c>
      <c r="E917" s="48">
        <v>3</v>
      </c>
      <c r="F917" s="9"/>
      <c r="G917" s="26"/>
      <c r="H917" s="27"/>
      <c r="I917" s="28"/>
      <c r="L917" s="1" t="str">
        <f t="shared" si="15"/>
        <v>空白</v>
      </c>
      <c r="M917" s="1" t="str">
        <f t="shared" si="15"/>
        <v>空白</v>
      </c>
      <c r="N917" s="1" t="str">
        <f t="shared" si="15"/>
        <v>空白</v>
      </c>
    </row>
    <row r="918" spans="1:14">
      <c r="A918" s="573"/>
      <c r="B918" s="576"/>
      <c r="C918" s="63" t="s">
        <v>1398</v>
      </c>
      <c r="D918" s="355" t="s">
        <v>2677</v>
      </c>
      <c r="E918" s="16">
        <v>3</v>
      </c>
      <c r="F918" s="9"/>
      <c r="G918" s="26"/>
      <c r="H918" s="112"/>
      <c r="I918" s="28"/>
      <c r="L918" s="1" t="str">
        <f t="shared" si="15"/>
        <v>空白</v>
      </c>
      <c r="M918" s="1" t="str">
        <f t="shared" si="15"/>
        <v>空白</v>
      </c>
      <c r="N918" s="1" t="str">
        <f t="shared" si="15"/>
        <v>空白</v>
      </c>
    </row>
    <row r="919" spans="1:14" ht="58.5">
      <c r="A919" s="573"/>
      <c r="B919" s="576"/>
      <c r="C919" s="63" t="s">
        <v>3186</v>
      </c>
      <c r="D919" s="352" t="s">
        <v>3187</v>
      </c>
      <c r="E919" s="144">
        <v>2</v>
      </c>
      <c r="F919" s="9" t="s">
        <v>1399</v>
      </c>
      <c r="G919" s="111" t="s">
        <v>1400</v>
      </c>
      <c r="H919" s="112">
        <v>2</v>
      </c>
      <c r="I919" s="28" t="s">
        <v>1401</v>
      </c>
      <c r="K919" s="2" t="s">
        <v>242</v>
      </c>
      <c r="L919" s="1" t="str">
        <f t="shared" si="15"/>
        <v>對</v>
      </c>
      <c r="M919" s="1" t="str">
        <f t="shared" si="15"/>
        <v>對</v>
      </c>
      <c r="N919" s="1" t="str">
        <f t="shared" si="15"/>
        <v>對</v>
      </c>
    </row>
    <row r="920" spans="1:14" ht="58.5">
      <c r="A920" s="573"/>
      <c r="B920" s="576"/>
      <c r="C920" s="63" t="s">
        <v>3188</v>
      </c>
      <c r="D920" s="390" t="s">
        <v>3189</v>
      </c>
      <c r="E920" s="414">
        <v>2</v>
      </c>
      <c r="F920" s="36" t="s">
        <v>1402</v>
      </c>
      <c r="G920" s="137" t="s">
        <v>1403</v>
      </c>
      <c r="H920" s="75">
        <v>2</v>
      </c>
      <c r="I920" s="55" t="s">
        <v>1404</v>
      </c>
      <c r="K920" s="2" t="s">
        <v>242</v>
      </c>
      <c r="L920" s="1" t="str">
        <f t="shared" si="15"/>
        <v>對</v>
      </c>
      <c r="M920" s="1" t="str">
        <f t="shared" si="15"/>
        <v>對</v>
      </c>
      <c r="N920" s="1" t="str">
        <f t="shared" si="15"/>
        <v>對</v>
      </c>
    </row>
    <row r="921" spans="1:14">
      <c r="A921" s="573"/>
      <c r="B921" s="577" t="s">
        <v>1405</v>
      </c>
      <c r="C921" s="71" t="s">
        <v>1406</v>
      </c>
      <c r="D921" s="346" t="s">
        <v>2678</v>
      </c>
      <c r="E921" s="41">
        <v>2</v>
      </c>
      <c r="F921" s="42"/>
      <c r="G921" s="95"/>
      <c r="H921" s="89"/>
      <c r="I921" s="304"/>
      <c r="L921" s="1" t="str">
        <f t="shared" si="15"/>
        <v>空白</v>
      </c>
      <c r="M921" s="1" t="str">
        <f t="shared" si="15"/>
        <v>空白</v>
      </c>
      <c r="N921" s="1" t="str">
        <f t="shared" si="15"/>
        <v>空白</v>
      </c>
    </row>
    <row r="922" spans="1:14">
      <c r="A922" s="573"/>
      <c r="B922" s="578"/>
      <c r="C922" s="25" t="s">
        <v>1407</v>
      </c>
      <c r="D922" s="333" t="s">
        <v>2679</v>
      </c>
      <c r="E922" s="16">
        <v>3</v>
      </c>
      <c r="F922" s="9"/>
      <c r="G922" s="26"/>
      <c r="H922" s="27"/>
      <c r="I922" s="28"/>
      <c r="L922" s="1" t="str">
        <f t="shared" si="15"/>
        <v>空白</v>
      </c>
      <c r="M922" s="1" t="str">
        <f t="shared" si="15"/>
        <v>空白</v>
      </c>
      <c r="N922" s="1" t="str">
        <f t="shared" si="15"/>
        <v>空白</v>
      </c>
    </row>
    <row r="923" spans="1:14">
      <c r="A923" s="573"/>
      <c r="B923" s="578"/>
      <c r="C923" s="25" t="s">
        <v>1408</v>
      </c>
      <c r="D923" s="333" t="s">
        <v>2680</v>
      </c>
      <c r="E923" s="16">
        <v>3</v>
      </c>
      <c r="F923" s="9"/>
      <c r="G923" s="26"/>
      <c r="H923" s="27"/>
      <c r="I923" s="28"/>
      <c r="L923" s="1" t="str">
        <f t="shared" si="15"/>
        <v>空白</v>
      </c>
      <c r="M923" s="1" t="str">
        <f t="shared" si="15"/>
        <v>空白</v>
      </c>
      <c r="N923" s="1" t="str">
        <f t="shared" si="15"/>
        <v>空白</v>
      </c>
    </row>
    <row r="924" spans="1:14">
      <c r="A924" s="573"/>
      <c r="B924" s="578"/>
      <c r="C924" s="25" t="s">
        <v>1409</v>
      </c>
      <c r="D924" s="333" t="s">
        <v>2681</v>
      </c>
      <c r="E924" s="16">
        <v>5</v>
      </c>
      <c r="F924" s="9"/>
      <c r="G924" s="26"/>
      <c r="H924" s="27"/>
      <c r="I924" s="28"/>
      <c r="L924" s="1" t="str">
        <f t="shared" si="15"/>
        <v>空白</v>
      </c>
      <c r="M924" s="1" t="str">
        <f t="shared" si="15"/>
        <v>空白</v>
      </c>
      <c r="N924" s="1" t="str">
        <f t="shared" si="15"/>
        <v>空白</v>
      </c>
    </row>
    <row r="925" spans="1:14">
      <c r="A925" s="573"/>
      <c r="B925" s="578"/>
      <c r="C925" s="25" t="s">
        <v>1410</v>
      </c>
      <c r="D925" s="333" t="s">
        <v>2682</v>
      </c>
      <c r="E925" s="16">
        <v>3</v>
      </c>
      <c r="F925" s="9"/>
      <c r="G925" s="18"/>
      <c r="H925" s="19"/>
      <c r="I925" s="28"/>
      <c r="L925" s="1" t="str">
        <f t="shared" si="15"/>
        <v>空白</v>
      </c>
      <c r="M925" s="1" t="str">
        <f t="shared" si="15"/>
        <v>空白</v>
      </c>
      <c r="N925" s="1" t="str">
        <f t="shared" si="15"/>
        <v>空白</v>
      </c>
    </row>
    <row r="926" spans="1:14">
      <c r="A926" s="573"/>
      <c r="B926" s="578"/>
      <c r="C926" s="25" t="s">
        <v>1411</v>
      </c>
      <c r="D926" s="333" t="s">
        <v>2683</v>
      </c>
      <c r="E926" s="16">
        <v>5</v>
      </c>
      <c r="F926" s="9"/>
      <c r="G926" s="26"/>
      <c r="H926" s="252"/>
      <c r="I926" s="28"/>
      <c r="L926" s="1" t="str">
        <f t="shared" si="15"/>
        <v>空白</v>
      </c>
      <c r="M926" s="1" t="str">
        <f t="shared" si="15"/>
        <v>空白</v>
      </c>
      <c r="N926" s="1" t="str">
        <f t="shared" si="15"/>
        <v>空白</v>
      </c>
    </row>
    <row r="927" spans="1:14">
      <c r="A927" s="573"/>
      <c r="B927" s="578"/>
      <c r="C927" s="63" t="s">
        <v>1412</v>
      </c>
      <c r="D927" s="356" t="s">
        <v>2684</v>
      </c>
      <c r="E927" s="67">
        <v>5</v>
      </c>
      <c r="F927" s="58"/>
      <c r="G927" s="18"/>
      <c r="H927" s="252"/>
      <c r="I927" s="305"/>
      <c r="L927" s="1" t="str">
        <f t="shared" si="15"/>
        <v>空白</v>
      </c>
      <c r="M927" s="1" t="str">
        <f t="shared" si="15"/>
        <v>空白</v>
      </c>
      <c r="N927" s="1" t="str">
        <f t="shared" si="15"/>
        <v>空白</v>
      </c>
    </row>
    <row r="928" spans="1:14" ht="19.5">
      <c r="A928" s="573"/>
      <c r="B928" s="580" t="s">
        <v>3198</v>
      </c>
      <c r="C928" s="97" t="s">
        <v>3190</v>
      </c>
      <c r="D928" s="415" t="s">
        <v>3191</v>
      </c>
      <c r="E928" s="41">
        <v>5</v>
      </c>
      <c r="F928" s="23" t="s">
        <v>1413</v>
      </c>
      <c r="G928" s="253" t="s">
        <v>1414</v>
      </c>
      <c r="H928" s="254">
        <v>5</v>
      </c>
      <c r="I928" s="629" t="s">
        <v>1415</v>
      </c>
      <c r="K928" s="2" t="s">
        <v>242</v>
      </c>
      <c r="L928" s="1" t="str">
        <f t="shared" si="15"/>
        <v>對</v>
      </c>
      <c r="M928" s="1" t="str">
        <f t="shared" si="15"/>
        <v>對</v>
      </c>
      <c r="N928" s="1" t="str">
        <f t="shared" si="15"/>
        <v>對</v>
      </c>
    </row>
    <row r="929" spans="1:14" ht="19.5">
      <c r="A929" s="573"/>
      <c r="B929" s="576"/>
      <c r="C929" s="35" t="s">
        <v>3192</v>
      </c>
      <c r="D929" s="416" t="s">
        <v>3193</v>
      </c>
      <c r="E929" s="16">
        <v>6</v>
      </c>
      <c r="F929" s="9" t="s">
        <v>1416</v>
      </c>
      <c r="G929" s="114" t="s">
        <v>1417</v>
      </c>
      <c r="H929" s="255">
        <v>6</v>
      </c>
      <c r="I929" s="630"/>
      <c r="K929" s="2" t="s">
        <v>242</v>
      </c>
      <c r="L929" s="1" t="str">
        <f t="shared" si="15"/>
        <v>對</v>
      </c>
      <c r="M929" s="1" t="str">
        <f t="shared" si="15"/>
        <v>對</v>
      </c>
      <c r="N929" s="1" t="str">
        <f t="shared" si="15"/>
        <v>對</v>
      </c>
    </row>
    <row r="930" spans="1:14" ht="58.5">
      <c r="A930" s="573"/>
      <c r="B930" s="576"/>
      <c r="C930" s="35" t="s">
        <v>1418</v>
      </c>
      <c r="D930" s="416" t="s">
        <v>3194</v>
      </c>
      <c r="E930" s="16">
        <v>4</v>
      </c>
      <c r="F930" s="23" t="s">
        <v>1418</v>
      </c>
      <c r="G930" s="256" t="s">
        <v>1419</v>
      </c>
      <c r="H930" s="257">
        <v>4</v>
      </c>
      <c r="I930" s="306" t="s">
        <v>1420</v>
      </c>
      <c r="K930" s="2" t="s">
        <v>242</v>
      </c>
      <c r="L930" s="1" t="str">
        <f t="shared" si="15"/>
        <v>對</v>
      </c>
      <c r="M930" s="1" t="str">
        <f t="shared" si="15"/>
        <v>對</v>
      </c>
      <c r="N930" s="1" t="str">
        <f t="shared" si="15"/>
        <v>對</v>
      </c>
    </row>
    <row r="931" spans="1:14" ht="19.5">
      <c r="A931" s="573"/>
      <c r="B931" s="576"/>
      <c r="C931" s="35" t="s">
        <v>1421</v>
      </c>
      <c r="D931" s="417" t="s">
        <v>3195</v>
      </c>
      <c r="E931" s="16">
        <v>5</v>
      </c>
      <c r="F931" s="9" t="s">
        <v>1421</v>
      </c>
      <c r="G931" s="114" t="s">
        <v>1422</v>
      </c>
      <c r="H931" s="258">
        <v>5</v>
      </c>
      <c r="I931" s="631" t="s">
        <v>1423</v>
      </c>
      <c r="K931" s="2" t="s">
        <v>242</v>
      </c>
      <c r="L931" s="1" t="str">
        <f t="shared" si="15"/>
        <v>對</v>
      </c>
      <c r="M931" s="1" t="str">
        <f t="shared" si="15"/>
        <v>對</v>
      </c>
      <c r="N931" s="1" t="str">
        <f t="shared" si="15"/>
        <v>對</v>
      </c>
    </row>
    <row r="932" spans="1:14" ht="19.5">
      <c r="A932" s="573"/>
      <c r="B932" s="576"/>
      <c r="C932" s="77" t="s">
        <v>1424</v>
      </c>
      <c r="D932" s="417" t="s">
        <v>3196</v>
      </c>
      <c r="E932" s="144">
        <v>5</v>
      </c>
      <c r="F932" s="23" t="s">
        <v>1424</v>
      </c>
      <c r="G932" s="114" t="s">
        <v>1425</v>
      </c>
      <c r="H932" s="258">
        <v>5</v>
      </c>
      <c r="I932" s="630"/>
      <c r="K932" s="2" t="s">
        <v>242</v>
      </c>
      <c r="L932" s="1" t="str">
        <f t="shared" si="15"/>
        <v>對</v>
      </c>
      <c r="M932" s="1" t="str">
        <f t="shared" si="15"/>
        <v>對</v>
      </c>
      <c r="N932" s="1" t="str">
        <f t="shared" si="15"/>
        <v>對</v>
      </c>
    </row>
    <row r="933" spans="1:14" ht="39.75" thickBot="1">
      <c r="A933" s="574"/>
      <c r="B933" s="582"/>
      <c r="C933" s="99" t="s">
        <v>1426</v>
      </c>
      <c r="D933" s="418" t="s">
        <v>3197</v>
      </c>
      <c r="E933" s="139">
        <v>2</v>
      </c>
      <c r="F933" s="9" t="s">
        <v>1426</v>
      </c>
      <c r="G933" s="74" t="s">
        <v>1427</v>
      </c>
      <c r="H933" s="259">
        <v>2</v>
      </c>
      <c r="I933" s="260" t="s">
        <v>1428</v>
      </c>
      <c r="K933" s="2" t="s">
        <v>242</v>
      </c>
      <c r="L933" s="1" t="str">
        <f t="shared" si="15"/>
        <v>對</v>
      </c>
      <c r="M933" s="1" t="str">
        <f t="shared" si="15"/>
        <v>對</v>
      </c>
      <c r="N933" s="1" t="str">
        <f t="shared" si="15"/>
        <v>對</v>
      </c>
    </row>
    <row r="934" spans="1:14" ht="19.5" thickTop="1">
      <c r="A934" s="572" t="s">
        <v>1429</v>
      </c>
      <c r="B934" s="575" t="s">
        <v>1430</v>
      </c>
      <c r="C934" s="22" t="s">
        <v>1431</v>
      </c>
      <c r="D934" s="313" t="s">
        <v>2685</v>
      </c>
      <c r="E934" s="94">
        <v>1</v>
      </c>
      <c r="F934" s="79"/>
      <c r="G934" s="10"/>
      <c r="H934" s="43"/>
      <c r="I934" s="304"/>
      <c r="L934" s="1" t="str">
        <f t="shared" si="15"/>
        <v>空白</v>
      </c>
      <c r="M934" s="1" t="str">
        <f t="shared" si="15"/>
        <v>空白</v>
      </c>
      <c r="N934" s="1" t="str">
        <f t="shared" si="15"/>
        <v>空白</v>
      </c>
    </row>
    <row r="935" spans="1:14">
      <c r="A935" s="573"/>
      <c r="B935" s="576"/>
      <c r="C935" s="25" t="s">
        <v>1432</v>
      </c>
      <c r="D935" s="310" t="s">
        <v>2686</v>
      </c>
      <c r="E935" s="29">
        <v>1</v>
      </c>
      <c r="F935" s="30"/>
      <c r="G935" s="26"/>
      <c r="H935" s="27"/>
      <c r="I935" s="28"/>
      <c r="L935" s="1" t="str">
        <f t="shared" si="15"/>
        <v>空白</v>
      </c>
      <c r="M935" s="1" t="str">
        <f t="shared" si="15"/>
        <v>空白</v>
      </c>
      <c r="N935" s="1" t="str">
        <f t="shared" si="15"/>
        <v>空白</v>
      </c>
    </row>
    <row r="936" spans="1:14" ht="19.5">
      <c r="A936" s="573"/>
      <c r="B936" s="576"/>
      <c r="C936" s="132" t="s">
        <v>1433</v>
      </c>
      <c r="D936" s="314" t="s">
        <v>3199</v>
      </c>
      <c r="E936" s="29">
        <v>1</v>
      </c>
      <c r="F936" s="30"/>
      <c r="G936" s="26" t="s">
        <v>1434</v>
      </c>
      <c r="H936" s="27">
        <v>1</v>
      </c>
      <c r="I936" s="625" t="s">
        <v>1435</v>
      </c>
      <c r="K936" s="2" t="s">
        <v>13</v>
      </c>
      <c r="L936" s="1" t="str">
        <f t="shared" si="15"/>
        <v>空白</v>
      </c>
      <c r="M936" s="1" t="str">
        <f t="shared" si="15"/>
        <v>對</v>
      </c>
      <c r="N936" s="1" t="str">
        <f t="shared" si="15"/>
        <v>對</v>
      </c>
    </row>
    <row r="937" spans="1:14" ht="19.5">
      <c r="A937" s="573"/>
      <c r="B937" s="576"/>
      <c r="C937" s="132" t="s">
        <v>3201</v>
      </c>
      <c r="D937" s="314" t="s">
        <v>3200</v>
      </c>
      <c r="E937" s="29">
        <v>1</v>
      </c>
      <c r="F937" s="30" t="s">
        <v>1436</v>
      </c>
      <c r="G937" s="111" t="s">
        <v>1437</v>
      </c>
      <c r="H937" s="112">
        <v>1</v>
      </c>
      <c r="I937" s="621"/>
      <c r="K937" s="2" t="s">
        <v>116</v>
      </c>
      <c r="L937" s="1" t="str">
        <f t="shared" si="15"/>
        <v>對</v>
      </c>
      <c r="M937" s="1" t="str">
        <f t="shared" si="15"/>
        <v>對</v>
      </c>
      <c r="N937" s="1" t="str">
        <f t="shared" si="15"/>
        <v>對</v>
      </c>
    </row>
    <row r="938" spans="1:14">
      <c r="A938" s="573"/>
      <c r="B938" s="576"/>
      <c r="C938" s="25" t="s">
        <v>1438</v>
      </c>
      <c r="D938" s="310" t="s">
        <v>2687</v>
      </c>
      <c r="E938" s="29">
        <v>1</v>
      </c>
      <c r="F938" s="30"/>
      <c r="G938" s="26"/>
      <c r="H938" s="27"/>
      <c r="I938" s="28"/>
      <c r="L938" s="1" t="str">
        <f t="shared" si="15"/>
        <v>空白</v>
      </c>
      <c r="M938" s="1" t="str">
        <f t="shared" si="15"/>
        <v>空白</v>
      </c>
      <c r="N938" s="1" t="str">
        <f t="shared" si="15"/>
        <v>空白</v>
      </c>
    </row>
    <row r="939" spans="1:14">
      <c r="A939" s="573"/>
      <c r="B939" s="576"/>
      <c r="C939" s="25" t="s">
        <v>1439</v>
      </c>
      <c r="D939" s="310" t="s">
        <v>2688</v>
      </c>
      <c r="E939" s="29">
        <v>1</v>
      </c>
      <c r="F939" s="30"/>
      <c r="G939" s="26"/>
      <c r="H939" s="27"/>
      <c r="I939" s="28"/>
      <c r="L939" s="1" t="str">
        <f t="shared" si="15"/>
        <v>空白</v>
      </c>
      <c r="M939" s="1" t="str">
        <f t="shared" si="15"/>
        <v>空白</v>
      </c>
      <c r="N939" s="1" t="str">
        <f t="shared" si="15"/>
        <v>空白</v>
      </c>
    </row>
    <row r="940" spans="1:14">
      <c r="A940" s="573"/>
      <c r="B940" s="576"/>
      <c r="C940" s="25" t="s">
        <v>1440</v>
      </c>
      <c r="D940" s="310" t="s">
        <v>2689</v>
      </c>
      <c r="E940" s="29">
        <v>1</v>
      </c>
      <c r="F940" s="30"/>
      <c r="G940" s="26"/>
      <c r="H940" s="156"/>
      <c r="I940" s="28"/>
      <c r="L940" s="1" t="str">
        <f t="shared" si="15"/>
        <v>空白</v>
      </c>
      <c r="M940" s="1" t="str">
        <f t="shared" si="15"/>
        <v>空白</v>
      </c>
      <c r="N940" s="1" t="str">
        <f t="shared" si="15"/>
        <v>空白</v>
      </c>
    </row>
    <row r="941" spans="1:14">
      <c r="A941" s="573"/>
      <c r="B941" s="576"/>
      <c r="C941" s="25" t="s">
        <v>1441</v>
      </c>
      <c r="D941" s="310" t="s">
        <v>2690</v>
      </c>
      <c r="E941" s="83">
        <v>2</v>
      </c>
      <c r="F941" s="30"/>
      <c r="G941" s="26"/>
      <c r="H941" s="156"/>
      <c r="I941" s="28"/>
      <c r="L941" s="1" t="str">
        <f t="shared" si="15"/>
        <v>空白</v>
      </c>
      <c r="M941" s="1" t="str">
        <f t="shared" si="15"/>
        <v>空白</v>
      </c>
      <c r="N941" s="1" t="str">
        <f t="shared" si="15"/>
        <v>空白</v>
      </c>
    </row>
    <row r="942" spans="1:14">
      <c r="A942" s="573"/>
      <c r="B942" s="576"/>
      <c r="C942" s="25" t="s">
        <v>1442</v>
      </c>
      <c r="D942" s="310" t="s">
        <v>2691</v>
      </c>
      <c r="E942" s="29">
        <v>1</v>
      </c>
      <c r="F942" s="30"/>
      <c r="G942" s="26"/>
      <c r="H942" s="156"/>
      <c r="I942" s="28"/>
      <c r="L942" s="1" t="str">
        <f t="shared" si="15"/>
        <v>空白</v>
      </c>
      <c r="M942" s="1" t="str">
        <f t="shared" si="15"/>
        <v>空白</v>
      </c>
      <c r="N942" s="1" t="str">
        <f t="shared" si="15"/>
        <v>空白</v>
      </c>
    </row>
    <row r="943" spans="1:14">
      <c r="A943" s="573"/>
      <c r="B943" s="576"/>
      <c r="C943" s="25" t="s">
        <v>1443</v>
      </c>
      <c r="D943" s="310" t="s">
        <v>2692</v>
      </c>
      <c r="E943" s="83">
        <v>2</v>
      </c>
      <c r="F943" s="30"/>
      <c r="G943" s="26"/>
      <c r="H943" s="156"/>
      <c r="I943" s="28"/>
      <c r="L943" s="1" t="str">
        <f t="shared" si="15"/>
        <v>空白</v>
      </c>
      <c r="M943" s="1" t="str">
        <f t="shared" si="15"/>
        <v>空白</v>
      </c>
      <c r="N943" s="1" t="str">
        <f t="shared" si="15"/>
        <v>空白</v>
      </c>
    </row>
    <row r="944" spans="1:14">
      <c r="A944" s="573"/>
      <c r="B944" s="576"/>
      <c r="C944" s="25" t="s">
        <v>1444</v>
      </c>
      <c r="D944" s="310" t="s">
        <v>2693</v>
      </c>
      <c r="E944" s="83">
        <v>2</v>
      </c>
      <c r="F944" s="30"/>
      <c r="G944" s="26"/>
      <c r="H944" s="27"/>
      <c r="I944" s="28"/>
      <c r="L944" s="1" t="str">
        <f t="shared" si="15"/>
        <v>空白</v>
      </c>
      <c r="M944" s="1" t="str">
        <f t="shared" si="15"/>
        <v>空白</v>
      </c>
      <c r="N944" s="1" t="str">
        <f t="shared" si="15"/>
        <v>空白</v>
      </c>
    </row>
    <row r="945" spans="1:14">
      <c r="A945" s="573"/>
      <c r="B945" s="576"/>
      <c r="C945" s="25" t="s">
        <v>1445</v>
      </c>
      <c r="D945" s="310" t="s">
        <v>2694</v>
      </c>
      <c r="E945" s="83">
        <v>2</v>
      </c>
      <c r="F945" s="30"/>
      <c r="G945" s="26"/>
      <c r="H945" s="27"/>
      <c r="I945" s="28"/>
      <c r="L945" s="1" t="str">
        <f t="shared" si="15"/>
        <v>空白</v>
      </c>
      <c r="M945" s="1" t="str">
        <f t="shared" si="15"/>
        <v>空白</v>
      </c>
      <c r="N945" s="1" t="str">
        <f t="shared" si="15"/>
        <v>空白</v>
      </c>
    </row>
    <row r="946" spans="1:14">
      <c r="A946" s="573"/>
      <c r="B946" s="576"/>
      <c r="C946" s="25" t="s">
        <v>1446</v>
      </c>
      <c r="D946" s="310" t="s">
        <v>2695</v>
      </c>
      <c r="E946" s="83">
        <v>2</v>
      </c>
      <c r="F946" s="30"/>
      <c r="G946" s="26"/>
      <c r="H946" s="156"/>
      <c r="I946" s="28"/>
      <c r="L946" s="1" t="str">
        <f t="shared" si="15"/>
        <v>空白</v>
      </c>
      <c r="M946" s="1" t="str">
        <f t="shared" si="15"/>
        <v>空白</v>
      </c>
      <c r="N946" s="1" t="str">
        <f t="shared" si="15"/>
        <v>空白</v>
      </c>
    </row>
    <row r="947" spans="1:14">
      <c r="A947" s="573"/>
      <c r="B947" s="576"/>
      <c r="C947" s="25" t="s">
        <v>1447</v>
      </c>
      <c r="D947" s="310" t="s">
        <v>2696</v>
      </c>
      <c r="E947" s="83">
        <v>2</v>
      </c>
      <c r="F947" s="30"/>
      <c r="G947" s="26"/>
      <c r="H947" s="156"/>
      <c r="I947" s="28"/>
      <c r="L947" s="1" t="str">
        <f t="shared" si="15"/>
        <v>空白</v>
      </c>
      <c r="M947" s="1" t="str">
        <f t="shared" si="15"/>
        <v>空白</v>
      </c>
      <c r="N947" s="1" t="str">
        <f t="shared" si="15"/>
        <v>空白</v>
      </c>
    </row>
    <row r="948" spans="1:14">
      <c r="A948" s="573"/>
      <c r="B948" s="576"/>
      <c r="C948" s="25" t="s">
        <v>1448</v>
      </c>
      <c r="D948" s="310" t="s">
        <v>2697</v>
      </c>
      <c r="E948" s="83">
        <v>2</v>
      </c>
      <c r="F948" s="30"/>
      <c r="G948" s="26"/>
      <c r="H948" s="27"/>
      <c r="I948" s="28"/>
      <c r="L948" s="1" t="str">
        <f t="shared" si="15"/>
        <v>空白</v>
      </c>
      <c r="M948" s="1" t="str">
        <f t="shared" si="15"/>
        <v>空白</v>
      </c>
      <c r="N948" s="1" t="str">
        <f t="shared" si="15"/>
        <v>空白</v>
      </c>
    </row>
    <row r="949" spans="1:14">
      <c r="A949" s="573"/>
      <c r="B949" s="576"/>
      <c r="C949" s="25" t="s">
        <v>1449</v>
      </c>
      <c r="D949" s="310" t="s">
        <v>2698</v>
      </c>
      <c r="E949" s="83">
        <v>2</v>
      </c>
      <c r="F949" s="30"/>
      <c r="G949" s="26"/>
      <c r="H949" s="27"/>
      <c r="I949" s="28"/>
      <c r="L949" s="1" t="str">
        <f t="shared" si="15"/>
        <v>空白</v>
      </c>
      <c r="M949" s="1" t="str">
        <f t="shared" si="15"/>
        <v>空白</v>
      </c>
      <c r="N949" s="1" t="str">
        <f t="shared" si="15"/>
        <v>空白</v>
      </c>
    </row>
    <row r="950" spans="1:14">
      <c r="A950" s="573"/>
      <c r="B950" s="576"/>
      <c r="C950" s="25" t="s">
        <v>1450</v>
      </c>
      <c r="D950" s="310" t="s">
        <v>2699</v>
      </c>
      <c r="E950" s="29">
        <v>1</v>
      </c>
      <c r="F950" s="30"/>
      <c r="G950" s="26"/>
      <c r="H950" s="27"/>
      <c r="I950" s="28"/>
      <c r="L950" s="1" t="str">
        <f t="shared" si="15"/>
        <v>空白</v>
      </c>
      <c r="M950" s="1" t="str">
        <f t="shared" si="15"/>
        <v>空白</v>
      </c>
      <c r="N950" s="1" t="str">
        <f t="shared" si="15"/>
        <v>空白</v>
      </c>
    </row>
    <row r="951" spans="1:14">
      <c r="A951" s="573"/>
      <c r="B951" s="576"/>
      <c r="C951" s="25" t="s">
        <v>1451</v>
      </c>
      <c r="D951" s="310" t="s">
        <v>2700</v>
      </c>
      <c r="E951" s="29">
        <v>1</v>
      </c>
      <c r="F951" s="30"/>
      <c r="G951" s="26"/>
      <c r="H951" s="27"/>
      <c r="I951" s="28"/>
      <c r="L951" s="1" t="str">
        <f t="shared" si="15"/>
        <v>空白</v>
      </c>
      <c r="M951" s="1" t="str">
        <f t="shared" si="15"/>
        <v>空白</v>
      </c>
      <c r="N951" s="1" t="str">
        <f t="shared" si="15"/>
        <v>空白</v>
      </c>
    </row>
    <row r="952" spans="1:14">
      <c r="A952" s="573"/>
      <c r="B952" s="576"/>
      <c r="C952" s="25" t="s">
        <v>1452</v>
      </c>
      <c r="D952" s="310" t="s">
        <v>2701</v>
      </c>
      <c r="E952" s="29">
        <v>1</v>
      </c>
      <c r="F952" s="30"/>
      <c r="G952" s="26"/>
      <c r="H952" s="27"/>
      <c r="I952" s="28"/>
      <c r="L952" s="1" t="str">
        <f t="shared" si="15"/>
        <v>空白</v>
      </c>
      <c r="M952" s="1" t="str">
        <f t="shared" si="15"/>
        <v>空白</v>
      </c>
      <c r="N952" s="1" t="str">
        <f t="shared" si="15"/>
        <v>空白</v>
      </c>
    </row>
    <row r="953" spans="1:14">
      <c r="A953" s="573"/>
      <c r="B953" s="576"/>
      <c r="C953" s="25" t="s">
        <v>1453</v>
      </c>
      <c r="D953" s="310" t="s">
        <v>2702</v>
      </c>
      <c r="E953" s="29">
        <v>1</v>
      </c>
      <c r="F953" s="30"/>
      <c r="G953" s="26"/>
      <c r="H953" s="27"/>
      <c r="I953" s="28"/>
      <c r="L953" s="1" t="str">
        <f t="shared" si="15"/>
        <v>空白</v>
      </c>
      <c r="M953" s="1" t="str">
        <f t="shared" si="15"/>
        <v>空白</v>
      </c>
      <c r="N953" s="1" t="str">
        <f t="shared" si="15"/>
        <v>空白</v>
      </c>
    </row>
    <row r="954" spans="1:14">
      <c r="A954" s="573"/>
      <c r="B954" s="576"/>
      <c r="C954" s="25" t="s">
        <v>1454</v>
      </c>
      <c r="D954" s="310" t="s">
        <v>2703</v>
      </c>
      <c r="E954" s="83">
        <v>2</v>
      </c>
      <c r="F954" s="30"/>
      <c r="G954" s="26"/>
      <c r="H954" s="27"/>
      <c r="I954" s="28"/>
      <c r="L954" s="1" t="str">
        <f t="shared" si="15"/>
        <v>空白</v>
      </c>
      <c r="M954" s="1" t="str">
        <f t="shared" si="15"/>
        <v>空白</v>
      </c>
      <c r="N954" s="1" t="str">
        <f t="shared" si="15"/>
        <v>空白</v>
      </c>
    </row>
    <row r="955" spans="1:14">
      <c r="A955" s="573"/>
      <c r="B955" s="576"/>
      <c r="C955" s="25" t="s">
        <v>1455</v>
      </c>
      <c r="D955" s="310" t="s">
        <v>2704</v>
      </c>
      <c r="E955" s="29">
        <v>3</v>
      </c>
      <c r="F955" s="30"/>
      <c r="G955" s="26"/>
      <c r="H955" s="27"/>
      <c r="I955" s="28"/>
      <c r="L955" s="1" t="str">
        <f t="shared" si="15"/>
        <v>空白</v>
      </c>
      <c r="M955" s="1" t="str">
        <f t="shared" si="15"/>
        <v>空白</v>
      </c>
      <c r="N955" s="1" t="str">
        <f t="shared" si="15"/>
        <v>空白</v>
      </c>
    </row>
    <row r="956" spans="1:14">
      <c r="A956" s="573"/>
      <c r="B956" s="576"/>
      <c r="C956" s="25" t="s">
        <v>1456</v>
      </c>
      <c r="D956" s="310" t="s">
        <v>2705</v>
      </c>
      <c r="E956" s="29">
        <v>1</v>
      </c>
      <c r="F956" s="30"/>
      <c r="G956" s="26"/>
      <c r="H956" s="27"/>
      <c r="I956" s="28"/>
      <c r="L956" s="1" t="str">
        <f t="shared" si="15"/>
        <v>空白</v>
      </c>
      <c r="M956" s="1" t="str">
        <f t="shared" si="15"/>
        <v>空白</v>
      </c>
      <c r="N956" s="1" t="str">
        <f t="shared" si="15"/>
        <v>空白</v>
      </c>
    </row>
    <row r="957" spans="1:14" ht="19.5">
      <c r="A957" s="573"/>
      <c r="B957" s="576"/>
      <c r="C957" s="132" t="s">
        <v>1457</v>
      </c>
      <c r="D957" s="314" t="s">
        <v>3202</v>
      </c>
      <c r="E957" s="29">
        <v>1</v>
      </c>
      <c r="F957" s="30"/>
      <c r="G957" s="26" t="s">
        <v>1458</v>
      </c>
      <c r="H957" s="27">
        <v>1</v>
      </c>
      <c r="I957" s="28" t="s">
        <v>1298</v>
      </c>
      <c r="K957" s="2" t="s">
        <v>35</v>
      </c>
      <c r="L957" s="1" t="str">
        <f t="shared" si="15"/>
        <v>空白</v>
      </c>
      <c r="M957" s="1" t="str">
        <f t="shared" si="15"/>
        <v>對</v>
      </c>
      <c r="N957" s="1" t="str">
        <f t="shared" si="15"/>
        <v>對</v>
      </c>
    </row>
    <row r="958" spans="1:14">
      <c r="A958" s="573"/>
      <c r="B958" s="576"/>
      <c r="C958" s="25" t="s">
        <v>1459</v>
      </c>
      <c r="D958" s="310" t="s">
        <v>2706</v>
      </c>
      <c r="E958" s="29">
        <v>1</v>
      </c>
      <c r="F958" s="30"/>
      <c r="G958" s="26"/>
      <c r="H958" s="27"/>
      <c r="I958" s="28"/>
      <c r="L958" s="1" t="str">
        <f t="shared" si="15"/>
        <v>空白</v>
      </c>
      <c r="M958" s="1" t="str">
        <f t="shared" si="15"/>
        <v>空白</v>
      </c>
      <c r="N958" s="1" t="str">
        <f t="shared" si="15"/>
        <v>空白</v>
      </c>
    </row>
    <row r="959" spans="1:14">
      <c r="A959" s="573"/>
      <c r="B959" s="576"/>
      <c r="C959" s="25" t="s">
        <v>1460</v>
      </c>
      <c r="D959" s="310" t="s">
        <v>2707</v>
      </c>
      <c r="E959" s="29">
        <v>1</v>
      </c>
      <c r="F959" s="30"/>
      <c r="G959" s="26"/>
      <c r="H959" s="27"/>
      <c r="I959" s="28"/>
      <c r="L959" s="1" t="str">
        <f t="shared" si="15"/>
        <v>空白</v>
      </c>
      <c r="M959" s="1" t="str">
        <f t="shared" si="15"/>
        <v>空白</v>
      </c>
      <c r="N959" s="1" t="str">
        <f t="shared" si="15"/>
        <v>空白</v>
      </c>
    </row>
    <row r="960" spans="1:14">
      <c r="A960" s="573"/>
      <c r="B960" s="576"/>
      <c r="C960" s="132" t="s">
        <v>1461</v>
      </c>
      <c r="D960" s="314" t="s">
        <v>2708</v>
      </c>
      <c r="E960" s="29">
        <v>1</v>
      </c>
      <c r="F960" s="30"/>
      <c r="G960" s="26"/>
      <c r="H960" s="27"/>
      <c r="I960" s="28"/>
      <c r="L960" s="1" t="str">
        <f t="shared" si="15"/>
        <v>空白</v>
      </c>
      <c r="M960" s="1" t="str">
        <f t="shared" si="15"/>
        <v>空白</v>
      </c>
      <c r="N960" s="1" t="str">
        <f t="shared" si="15"/>
        <v>空白</v>
      </c>
    </row>
    <row r="961" spans="1:14">
      <c r="A961" s="573"/>
      <c r="B961" s="576"/>
      <c r="C961" s="25" t="s">
        <v>1462</v>
      </c>
      <c r="D961" s="310" t="s">
        <v>2709</v>
      </c>
      <c r="E961" s="83">
        <v>2</v>
      </c>
      <c r="F961" s="30"/>
      <c r="G961" s="26"/>
      <c r="H961" s="27"/>
      <c r="I961" s="28"/>
      <c r="L961" s="1" t="str">
        <f t="shared" si="15"/>
        <v>空白</v>
      </c>
      <c r="M961" s="1" t="str">
        <f t="shared" si="15"/>
        <v>空白</v>
      </c>
      <c r="N961" s="1" t="str">
        <f t="shared" si="15"/>
        <v>空白</v>
      </c>
    </row>
    <row r="962" spans="1:14">
      <c r="A962" s="573"/>
      <c r="B962" s="576"/>
      <c r="C962" s="25" t="s">
        <v>1463</v>
      </c>
      <c r="D962" s="310" t="s">
        <v>2710</v>
      </c>
      <c r="E962" s="83">
        <v>2</v>
      </c>
      <c r="F962" s="30"/>
      <c r="G962" s="26"/>
      <c r="H962" s="27"/>
      <c r="I962" s="28"/>
      <c r="L962" s="1" t="str">
        <f t="shared" si="15"/>
        <v>空白</v>
      </c>
      <c r="M962" s="1" t="str">
        <f t="shared" si="15"/>
        <v>空白</v>
      </c>
      <c r="N962" s="1" t="str">
        <f t="shared" si="15"/>
        <v>空白</v>
      </c>
    </row>
    <row r="963" spans="1:14">
      <c r="A963" s="573"/>
      <c r="B963" s="576"/>
      <c r="C963" s="132" t="s">
        <v>1464</v>
      </c>
      <c r="D963" s="314" t="s">
        <v>2711</v>
      </c>
      <c r="E963" s="29">
        <v>1</v>
      </c>
      <c r="F963" s="30"/>
      <c r="G963" s="26"/>
      <c r="H963" s="27"/>
      <c r="I963" s="28"/>
      <c r="L963" s="1" t="str">
        <f t="shared" si="15"/>
        <v>空白</v>
      </c>
      <c r="M963" s="1" t="str">
        <f t="shared" si="15"/>
        <v>空白</v>
      </c>
      <c r="N963" s="1" t="str">
        <f t="shared" si="15"/>
        <v>空白</v>
      </c>
    </row>
    <row r="964" spans="1:14" ht="19.5">
      <c r="A964" s="573"/>
      <c r="B964" s="576"/>
      <c r="C964" s="132" t="s">
        <v>1465</v>
      </c>
      <c r="D964" s="314" t="s">
        <v>3203</v>
      </c>
      <c r="E964" s="29">
        <v>3</v>
      </c>
      <c r="F964" s="30"/>
      <c r="G964" s="26" t="s">
        <v>1466</v>
      </c>
      <c r="H964" s="27">
        <v>3</v>
      </c>
      <c r="I964" s="28" t="s">
        <v>1298</v>
      </c>
      <c r="K964" s="2" t="s">
        <v>35</v>
      </c>
      <c r="L964" s="1" t="str">
        <f t="shared" si="15"/>
        <v>空白</v>
      </c>
      <c r="M964" s="1" t="str">
        <f t="shared" si="15"/>
        <v>對</v>
      </c>
      <c r="N964" s="1" t="str">
        <f t="shared" si="15"/>
        <v>對</v>
      </c>
    </row>
    <row r="965" spans="1:14">
      <c r="A965" s="573"/>
      <c r="B965" s="576"/>
      <c r="C965" s="25" t="s">
        <v>1467</v>
      </c>
      <c r="D965" s="310" t="s">
        <v>2712</v>
      </c>
      <c r="E965" s="83">
        <v>2</v>
      </c>
      <c r="F965" s="30"/>
      <c r="G965" s="26"/>
      <c r="H965" s="27"/>
      <c r="I965" s="28"/>
      <c r="L965" s="1" t="str">
        <f t="shared" si="15"/>
        <v>空白</v>
      </c>
      <c r="M965" s="1" t="str">
        <f t="shared" si="15"/>
        <v>空白</v>
      </c>
      <c r="N965" s="1" t="str">
        <f t="shared" si="15"/>
        <v>空白</v>
      </c>
    </row>
    <row r="966" spans="1:14">
      <c r="A966" s="573"/>
      <c r="B966" s="576"/>
      <c r="C966" s="25" t="s">
        <v>1468</v>
      </c>
      <c r="D966" s="310" t="s">
        <v>2713</v>
      </c>
      <c r="E966" s="29">
        <v>1</v>
      </c>
      <c r="F966" s="30"/>
      <c r="G966" s="26"/>
      <c r="H966" s="156"/>
      <c r="I966" s="28"/>
      <c r="L966" s="1" t="str">
        <f t="shared" ref="L966:N1029" si="16">IF(ISBLANK(F966),"空白",IF(F966=C966,"對","錯"))</f>
        <v>空白</v>
      </c>
      <c r="M966" s="1" t="str">
        <f t="shared" si="16"/>
        <v>空白</v>
      </c>
      <c r="N966" s="1" t="str">
        <f t="shared" si="16"/>
        <v>空白</v>
      </c>
    </row>
    <row r="967" spans="1:14">
      <c r="A967" s="573"/>
      <c r="B967" s="576"/>
      <c r="C967" s="25"/>
      <c r="D967" s="310" t="s">
        <v>2714</v>
      </c>
      <c r="E967" s="83"/>
      <c r="F967" s="30"/>
      <c r="G967" s="26"/>
      <c r="H967" s="156"/>
      <c r="I967" s="28"/>
      <c r="L967" s="1" t="str">
        <f t="shared" si="16"/>
        <v>空白</v>
      </c>
      <c r="M967" s="1" t="str">
        <f t="shared" si="16"/>
        <v>空白</v>
      </c>
      <c r="N967" s="1" t="str">
        <f t="shared" si="16"/>
        <v>空白</v>
      </c>
    </row>
    <row r="968" spans="1:14" ht="19.5">
      <c r="A968" s="573"/>
      <c r="B968" s="576"/>
      <c r="C968" s="25" t="s">
        <v>1469</v>
      </c>
      <c r="D968" s="310" t="s">
        <v>3204</v>
      </c>
      <c r="E968" s="29">
        <v>1</v>
      </c>
      <c r="F968" s="30"/>
      <c r="G968" s="18" t="s">
        <v>1470</v>
      </c>
      <c r="H968" s="32">
        <v>1</v>
      </c>
      <c r="I968" s="620" t="s">
        <v>608</v>
      </c>
      <c r="K968" s="2" t="s">
        <v>12</v>
      </c>
      <c r="L968" s="1" t="str">
        <f t="shared" si="16"/>
        <v>空白</v>
      </c>
      <c r="M968" s="1" t="str">
        <f t="shared" si="16"/>
        <v>對</v>
      </c>
      <c r="N968" s="1" t="str">
        <f t="shared" si="16"/>
        <v>對</v>
      </c>
    </row>
    <row r="969" spans="1:14" ht="19.5">
      <c r="A969" s="573"/>
      <c r="B969" s="576"/>
      <c r="C969" s="25" t="s">
        <v>1471</v>
      </c>
      <c r="D969" s="310" t="s">
        <v>3205</v>
      </c>
      <c r="E969" s="29">
        <v>1</v>
      </c>
      <c r="F969" s="30"/>
      <c r="G969" s="68" t="s">
        <v>1472</v>
      </c>
      <c r="H969" s="32">
        <v>1</v>
      </c>
      <c r="I969" s="624"/>
      <c r="K969" s="2" t="s">
        <v>12</v>
      </c>
      <c r="L969" s="1" t="str">
        <f t="shared" si="16"/>
        <v>空白</v>
      </c>
      <c r="M969" s="1" t="str">
        <f t="shared" si="16"/>
        <v>對</v>
      </c>
      <c r="N969" s="1" t="str">
        <f t="shared" si="16"/>
        <v>對</v>
      </c>
    </row>
    <row r="970" spans="1:14" ht="19.5">
      <c r="A970" s="573"/>
      <c r="B970" s="576"/>
      <c r="C970" s="25" t="s">
        <v>1473</v>
      </c>
      <c r="D970" s="310" t="s">
        <v>3206</v>
      </c>
      <c r="E970" s="29">
        <v>3</v>
      </c>
      <c r="F970" s="30"/>
      <c r="G970" s="69" t="s">
        <v>1474</v>
      </c>
      <c r="H970" s="32">
        <v>3</v>
      </c>
      <c r="I970" s="624"/>
      <c r="K970" s="2" t="s">
        <v>12</v>
      </c>
      <c r="L970" s="1" t="str">
        <f t="shared" si="16"/>
        <v>空白</v>
      </c>
      <c r="M970" s="1" t="str">
        <f t="shared" si="16"/>
        <v>對</v>
      </c>
      <c r="N970" s="1" t="str">
        <f t="shared" si="16"/>
        <v>對</v>
      </c>
    </row>
    <row r="971" spans="1:14" ht="19.5">
      <c r="A971" s="573"/>
      <c r="B971" s="576"/>
      <c r="C971" s="25" t="s">
        <v>1475</v>
      </c>
      <c r="D971" s="310" t="s">
        <v>3207</v>
      </c>
      <c r="E971" s="29">
        <v>3</v>
      </c>
      <c r="F971" s="30"/>
      <c r="G971" s="261" t="s">
        <v>1476</v>
      </c>
      <c r="H971" s="32">
        <v>3</v>
      </c>
      <c r="I971" s="621"/>
      <c r="K971" s="2" t="s">
        <v>12</v>
      </c>
      <c r="L971" s="1" t="str">
        <f t="shared" si="16"/>
        <v>空白</v>
      </c>
      <c r="M971" s="1" t="str">
        <f t="shared" si="16"/>
        <v>對</v>
      </c>
      <c r="N971" s="1" t="str">
        <f t="shared" si="16"/>
        <v>對</v>
      </c>
    </row>
    <row r="972" spans="1:14">
      <c r="A972" s="573"/>
      <c r="B972" s="576"/>
      <c r="C972" s="25"/>
      <c r="D972" s="310" t="s">
        <v>2715</v>
      </c>
      <c r="E972" s="83"/>
      <c r="F972" s="30"/>
      <c r="G972" s="18"/>
      <c r="H972" s="156"/>
      <c r="I972" s="28"/>
      <c r="L972" s="1" t="str">
        <f t="shared" si="16"/>
        <v>空白</v>
      </c>
      <c r="M972" s="1" t="str">
        <f t="shared" si="16"/>
        <v>空白</v>
      </c>
      <c r="N972" s="1" t="str">
        <f t="shared" si="16"/>
        <v>空白</v>
      </c>
    </row>
    <row r="973" spans="1:14" ht="19.5">
      <c r="A973" s="573"/>
      <c r="B973" s="576"/>
      <c r="C973" s="25" t="s">
        <v>1477</v>
      </c>
      <c r="D973" s="310" t="s">
        <v>3208</v>
      </c>
      <c r="E973" s="83">
        <v>2</v>
      </c>
      <c r="F973" s="30"/>
      <c r="G973" s="68" t="s">
        <v>1478</v>
      </c>
      <c r="H973" s="32">
        <v>2</v>
      </c>
      <c r="I973" s="620" t="s">
        <v>608</v>
      </c>
      <c r="K973" s="2" t="s">
        <v>12</v>
      </c>
      <c r="L973" s="1" t="str">
        <f t="shared" si="16"/>
        <v>空白</v>
      </c>
      <c r="M973" s="1" t="str">
        <f t="shared" si="16"/>
        <v>對</v>
      </c>
      <c r="N973" s="1" t="str">
        <f t="shared" si="16"/>
        <v>對</v>
      </c>
    </row>
    <row r="974" spans="1:14" ht="19.5">
      <c r="A974" s="573"/>
      <c r="B974" s="576"/>
      <c r="C974" s="25" t="s">
        <v>1479</v>
      </c>
      <c r="D974" s="310" t="s">
        <v>3209</v>
      </c>
      <c r="E974" s="83">
        <v>2</v>
      </c>
      <c r="F974" s="30"/>
      <c r="G974" s="69" t="s">
        <v>1480</v>
      </c>
      <c r="H974" s="32">
        <v>2</v>
      </c>
      <c r="I974" s="624"/>
      <c r="K974" s="2" t="s">
        <v>12</v>
      </c>
      <c r="L974" s="1" t="str">
        <f t="shared" si="16"/>
        <v>空白</v>
      </c>
      <c r="M974" s="1" t="str">
        <f t="shared" si="16"/>
        <v>對</v>
      </c>
      <c r="N974" s="1" t="str">
        <f t="shared" si="16"/>
        <v>對</v>
      </c>
    </row>
    <row r="975" spans="1:14" ht="19.5">
      <c r="A975" s="573"/>
      <c r="B975" s="576"/>
      <c r="C975" s="25" t="s">
        <v>1481</v>
      </c>
      <c r="D975" s="310" t="s">
        <v>3210</v>
      </c>
      <c r="E975" s="29">
        <v>4</v>
      </c>
      <c r="F975" s="30"/>
      <c r="G975" s="69" t="s">
        <v>1482</v>
      </c>
      <c r="H975" s="32">
        <v>4</v>
      </c>
      <c r="I975" s="624"/>
      <c r="K975" s="2" t="s">
        <v>12</v>
      </c>
      <c r="L975" s="1" t="str">
        <f t="shared" si="16"/>
        <v>空白</v>
      </c>
      <c r="M975" s="1" t="str">
        <f t="shared" si="16"/>
        <v>對</v>
      </c>
      <c r="N975" s="1" t="str">
        <f t="shared" si="16"/>
        <v>對</v>
      </c>
    </row>
    <row r="976" spans="1:14" ht="19.5">
      <c r="A976" s="573"/>
      <c r="B976" s="576"/>
      <c r="C976" s="25" t="s">
        <v>1483</v>
      </c>
      <c r="D976" s="310" t="s">
        <v>3211</v>
      </c>
      <c r="E976" s="83">
        <v>5</v>
      </c>
      <c r="F976" s="30"/>
      <c r="G976" s="261" t="s">
        <v>1484</v>
      </c>
      <c r="H976" s="32">
        <v>5</v>
      </c>
      <c r="I976" s="621"/>
      <c r="K976" s="2" t="s">
        <v>12</v>
      </c>
      <c r="L976" s="1" t="str">
        <f t="shared" si="16"/>
        <v>空白</v>
      </c>
      <c r="M976" s="1" t="str">
        <f t="shared" si="16"/>
        <v>對</v>
      </c>
      <c r="N976" s="1" t="str">
        <f t="shared" si="16"/>
        <v>對</v>
      </c>
    </row>
    <row r="977" spans="1:14">
      <c r="A977" s="573"/>
      <c r="B977" s="576"/>
      <c r="C977" s="25" t="s">
        <v>1485</v>
      </c>
      <c r="D977" s="310" t="s">
        <v>2716</v>
      </c>
      <c r="E977" s="29">
        <v>3</v>
      </c>
      <c r="F977" s="30"/>
      <c r="G977" s="26"/>
      <c r="H977" s="27"/>
      <c r="I977" s="28"/>
      <c r="L977" s="1" t="str">
        <f t="shared" si="16"/>
        <v>空白</v>
      </c>
      <c r="M977" s="1" t="str">
        <f t="shared" si="16"/>
        <v>空白</v>
      </c>
      <c r="N977" s="1" t="str">
        <f t="shared" si="16"/>
        <v>空白</v>
      </c>
    </row>
    <row r="978" spans="1:14" ht="19.5">
      <c r="A978" s="573"/>
      <c r="B978" s="576"/>
      <c r="C978" s="25" t="s">
        <v>1486</v>
      </c>
      <c r="D978" s="310" t="s">
        <v>3212</v>
      </c>
      <c r="E978" s="29">
        <v>1</v>
      </c>
      <c r="F978" s="30"/>
      <c r="G978" s="110" t="s">
        <v>1487</v>
      </c>
      <c r="H978" s="27">
        <v>1</v>
      </c>
      <c r="I978" s="28" t="s">
        <v>1488</v>
      </c>
      <c r="K978" s="2" t="s">
        <v>35</v>
      </c>
      <c r="L978" s="1" t="str">
        <f t="shared" si="16"/>
        <v>空白</v>
      </c>
      <c r="M978" s="1" t="str">
        <f t="shared" si="16"/>
        <v>對</v>
      </c>
      <c r="N978" s="1" t="str">
        <f t="shared" si="16"/>
        <v>對</v>
      </c>
    </row>
    <row r="979" spans="1:14" ht="39">
      <c r="A979" s="573"/>
      <c r="B979" s="576"/>
      <c r="C979" s="25" t="s">
        <v>3216</v>
      </c>
      <c r="D979" s="310" t="s">
        <v>3213</v>
      </c>
      <c r="E979" s="29">
        <v>2</v>
      </c>
      <c r="F979" s="30" t="s">
        <v>1489</v>
      </c>
      <c r="G979" s="111" t="s">
        <v>1490</v>
      </c>
      <c r="H979" s="112">
        <v>2</v>
      </c>
      <c r="I979" s="104" t="s">
        <v>1491</v>
      </c>
      <c r="K979" s="2" t="s">
        <v>242</v>
      </c>
      <c r="L979" s="1" t="str">
        <f t="shared" si="16"/>
        <v>對</v>
      </c>
      <c r="M979" s="1" t="str">
        <f t="shared" si="16"/>
        <v>對</v>
      </c>
      <c r="N979" s="1" t="str">
        <f t="shared" si="16"/>
        <v>對</v>
      </c>
    </row>
    <row r="980" spans="1:14" ht="19.5">
      <c r="A980" s="573"/>
      <c r="B980" s="576"/>
      <c r="C980" s="132" t="s">
        <v>1492</v>
      </c>
      <c r="D980" s="314" t="s">
        <v>3214</v>
      </c>
      <c r="E980" s="29">
        <v>1</v>
      </c>
      <c r="F980" s="30"/>
      <c r="G980" s="26" t="s">
        <v>1493</v>
      </c>
      <c r="H980" s="27">
        <v>1</v>
      </c>
      <c r="I980" s="620" t="s">
        <v>1494</v>
      </c>
      <c r="K980" s="2" t="s">
        <v>13</v>
      </c>
      <c r="L980" s="1" t="str">
        <f t="shared" si="16"/>
        <v>空白</v>
      </c>
      <c r="M980" s="1" t="str">
        <f t="shared" si="16"/>
        <v>對</v>
      </c>
      <c r="N980" s="1" t="str">
        <f t="shared" si="16"/>
        <v>對</v>
      </c>
    </row>
    <row r="981" spans="1:14" ht="19.5">
      <c r="A981" s="573"/>
      <c r="B981" s="576"/>
      <c r="C981" s="132" t="s">
        <v>3217</v>
      </c>
      <c r="D981" s="314" t="s">
        <v>3215</v>
      </c>
      <c r="E981" s="29">
        <v>1</v>
      </c>
      <c r="F981" s="30" t="s">
        <v>1495</v>
      </c>
      <c r="G981" s="111" t="s">
        <v>1496</v>
      </c>
      <c r="H981" s="112">
        <v>1</v>
      </c>
      <c r="I981" s="621"/>
      <c r="K981" s="2" t="s">
        <v>242</v>
      </c>
      <c r="L981" s="1" t="str">
        <f t="shared" si="16"/>
        <v>對</v>
      </c>
      <c r="M981" s="1" t="str">
        <f t="shared" si="16"/>
        <v>對</v>
      </c>
      <c r="N981" s="1" t="str">
        <f t="shared" si="16"/>
        <v>對</v>
      </c>
    </row>
    <row r="982" spans="1:14">
      <c r="A982" s="573"/>
      <c r="B982" s="576"/>
      <c r="C982" s="25" t="s">
        <v>1497</v>
      </c>
      <c r="D982" s="310" t="s">
        <v>2717</v>
      </c>
      <c r="E982" s="29">
        <v>1</v>
      </c>
      <c r="F982" s="30"/>
      <c r="G982" s="26"/>
      <c r="H982" s="27"/>
      <c r="I982" s="28"/>
      <c r="L982" s="1" t="str">
        <f t="shared" si="16"/>
        <v>空白</v>
      </c>
      <c r="M982" s="1" t="str">
        <f t="shared" si="16"/>
        <v>空白</v>
      </c>
      <c r="N982" s="1" t="str">
        <f t="shared" si="16"/>
        <v>空白</v>
      </c>
    </row>
    <row r="983" spans="1:14" ht="19.5">
      <c r="A983" s="573"/>
      <c r="B983" s="576"/>
      <c r="C983" s="132" t="s">
        <v>3218</v>
      </c>
      <c r="D983" s="314" t="s">
        <v>3219</v>
      </c>
      <c r="E983" s="29">
        <v>1</v>
      </c>
      <c r="F983" s="30" t="s">
        <v>1498</v>
      </c>
      <c r="G983" s="111" t="s">
        <v>1499</v>
      </c>
      <c r="H983" s="112">
        <v>1</v>
      </c>
      <c r="I983" s="28" t="s">
        <v>1500</v>
      </c>
      <c r="K983" s="2" t="s">
        <v>242</v>
      </c>
      <c r="L983" s="1" t="str">
        <f t="shared" si="16"/>
        <v>對</v>
      </c>
      <c r="M983" s="1" t="str">
        <f t="shared" si="16"/>
        <v>對</v>
      </c>
      <c r="N983" s="1" t="str">
        <f t="shared" si="16"/>
        <v>對</v>
      </c>
    </row>
    <row r="984" spans="1:14" ht="39">
      <c r="A984" s="573"/>
      <c r="B984" s="576"/>
      <c r="C984" s="132" t="s">
        <v>1501</v>
      </c>
      <c r="D984" s="314" t="s">
        <v>3251</v>
      </c>
      <c r="E984" s="29">
        <v>1</v>
      </c>
      <c r="F984" s="30"/>
      <c r="G984" s="110" t="s">
        <v>1502</v>
      </c>
      <c r="H984" s="27">
        <v>1</v>
      </c>
      <c r="I984" s="28" t="s">
        <v>1503</v>
      </c>
      <c r="K984" s="2" t="s">
        <v>13</v>
      </c>
      <c r="L984" s="1" t="str">
        <f t="shared" si="16"/>
        <v>空白</v>
      </c>
      <c r="M984" s="1" t="str">
        <f t="shared" si="16"/>
        <v>對</v>
      </c>
      <c r="N984" s="1" t="str">
        <f t="shared" si="16"/>
        <v>對</v>
      </c>
    </row>
    <row r="985" spans="1:14" ht="19.5">
      <c r="A985" s="573"/>
      <c r="B985" s="576"/>
      <c r="C985" s="132" t="s">
        <v>3220</v>
      </c>
      <c r="D985" s="314" t="s">
        <v>3221</v>
      </c>
      <c r="E985" s="29">
        <v>1</v>
      </c>
      <c r="F985" s="30" t="s">
        <v>1504</v>
      </c>
      <c r="G985" s="111" t="s">
        <v>1505</v>
      </c>
      <c r="H985" s="112">
        <v>1</v>
      </c>
      <c r="I985" s="28" t="s">
        <v>1506</v>
      </c>
      <c r="K985" s="2" t="s">
        <v>242</v>
      </c>
      <c r="L985" s="1" t="str">
        <f t="shared" si="16"/>
        <v>對</v>
      </c>
      <c r="M985" s="1" t="str">
        <f t="shared" si="16"/>
        <v>對</v>
      </c>
      <c r="N985" s="1" t="str">
        <f t="shared" si="16"/>
        <v>對</v>
      </c>
    </row>
    <row r="986" spans="1:14" ht="19.5">
      <c r="A986" s="573"/>
      <c r="B986" s="576"/>
      <c r="C986" s="132" t="s">
        <v>1507</v>
      </c>
      <c r="D986" s="314" t="s">
        <v>3222</v>
      </c>
      <c r="E986" s="29">
        <v>2</v>
      </c>
      <c r="F986" s="30" t="s">
        <v>1507</v>
      </c>
      <c r="G986" s="111" t="s">
        <v>1508</v>
      </c>
      <c r="H986" s="112">
        <v>2</v>
      </c>
      <c r="I986" s="28" t="s">
        <v>1509</v>
      </c>
      <c r="K986" s="2" t="s">
        <v>242</v>
      </c>
      <c r="L986" s="1" t="str">
        <f t="shared" si="16"/>
        <v>對</v>
      </c>
      <c r="M986" s="1" t="str">
        <f t="shared" si="16"/>
        <v>對</v>
      </c>
      <c r="N986" s="1" t="str">
        <f t="shared" si="16"/>
        <v>對</v>
      </c>
    </row>
    <row r="987" spans="1:14">
      <c r="A987" s="573"/>
      <c r="B987" s="576"/>
      <c r="C987" s="25" t="s">
        <v>1510</v>
      </c>
      <c r="D987" s="310" t="s">
        <v>2718</v>
      </c>
      <c r="E987" s="29">
        <v>2</v>
      </c>
      <c r="F987" s="30"/>
      <c r="G987" s="26"/>
      <c r="H987" s="27"/>
      <c r="I987" s="28"/>
      <c r="L987" s="1" t="str">
        <f t="shared" si="16"/>
        <v>空白</v>
      </c>
      <c r="M987" s="1" t="str">
        <f t="shared" si="16"/>
        <v>空白</v>
      </c>
      <c r="N987" s="1" t="str">
        <f t="shared" si="16"/>
        <v>空白</v>
      </c>
    </row>
    <row r="988" spans="1:14" ht="39">
      <c r="A988" s="573"/>
      <c r="B988" s="576"/>
      <c r="C988" s="132" t="s">
        <v>1511</v>
      </c>
      <c r="D988" s="314" t="s">
        <v>3250</v>
      </c>
      <c r="E988" s="29">
        <v>2</v>
      </c>
      <c r="F988" s="30"/>
      <c r="G988" s="26" t="s">
        <v>1512</v>
      </c>
      <c r="H988" s="27">
        <v>2</v>
      </c>
      <c r="I988" s="305" t="s">
        <v>1513</v>
      </c>
      <c r="K988" s="2" t="s">
        <v>13</v>
      </c>
      <c r="L988" s="1" t="str">
        <f t="shared" si="16"/>
        <v>空白</v>
      </c>
      <c r="M988" s="1" t="str">
        <f t="shared" si="16"/>
        <v>對</v>
      </c>
      <c r="N988" s="1" t="str">
        <f t="shared" si="16"/>
        <v>對</v>
      </c>
    </row>
    <row r="989" spans="1:14" ht="19.5">
      <c r="A989" s="573"/>
      <c r="B989" s="576"/>
      <c r="C989" s="132" t="s">
        <v>3223</v>
      </c>
      <c r="D989" s="314" t="s">
        <v>3224</v>
      </c>
      <c r="E989" s="29">
        <v>2</v>
      </c>
      <c r="F989" s="30" t="s">
        <v>1514</v>
      </c>
      <c r="G989" s="111" t="s">
        <v>1515</v>
      </c>
      <c r="H989" s="112">
        <v>2</v>
      </c>
      <c r="I989" s="305" t="s">
        <v>1506</v>
      </c>
      <c r="K989" s="2" t="s">
        <v>242</v>
      </c>
      <c r="L989" s="1" t="str">
        <f t="shared" si="16"/>
        <v>對</v>
      </c>
      <c r="M989" s="1" t="str">
        <f t="shared" si="16"/>
        <v>對</v>
      </c>
      <c r="N989" s="1" t="str">
        <f t="shared" si="16"/>
        <v>對</v>
      </c>
    </row>
    <row r="990" spans="1:14">
      <c r="A990" s="573"/>
      <c r="B990" s="576"/>
      <c r="C990" s="25" t="s">
        <v>1516</v>
      </c>
      <c r="D990" s="310" t="s">
        <v>2719</v>
      </c>
      <c r="E990" s="29">
        <v>2</v>
      </c>
      <c r="F990" s="30"/>
      <c r="G990" s="26"/>
      <c r="H990" s="156"/>
      <c r="I990" s="28"/>
      <c r="L990" s="1" t="str">
        <f t="shared" si="16"/>
        <v>空白</v>
      </c>
      <c r="M990" s="1" t="str">
        <f t="shared" si="16"/>
        <v>空白</v>
      </c>
      <c r="N990" s="1" t="str">
        <f t="shared" si="16"/>
        <v>空白</v>
      </c>
    </row>
    <row r="991" spans="1:14" ht="19.5">
      <c r="A991" s="573"/>
      <c r="B991" s="576"/>
      <c r="C991" s="25" t="s">
        <v>1517</v>
      </c>
      <c r="D991" s="310" t="s">
        <v>3225</v>
      </c>
      <c r="E991" s="29">
        <v>3</v>
      </c>
      <c r="F991" s="30"/>
      <c r="G991" s="26" t="s">
        <v>1518</v>
      </c>
      <c r="H991" s="262">
        <v>3</v>
      </c>
      <c r="I991" s="28" t="s">
        <v>1519</v>
      </c>
      <c r="K991" s="2" t="s">
        <v>13</v>
      </c>
      <c r="L991" s="1" t="str">
        <f t="shared" si="16"/>
        <v>空白</v>
      </c>
      <c r="M991" s="1" t="str">
        <f t="shared" si="16"/>
        <v>對</v>
      </c>
      <c r="N991" s="1" t="str">
        <f t="shared" si="16"/>
        <v>對</v>
      </c>
    </row>
    <row r="992" spans="1:14">
      <c r="A992" s="573"/>
      <c r="B992" s="576"/>
      <c r="C992" s="25" t="s">
        <v>1520</v>
      </c>
      <c r="D992" s="310" t="s">
        <v>2720</v>
      </c>
      <c r="E992" s="29">
        <v>2</v>
      </c>
      <c r="F992" s="30"/>
      <c r="G992" s="26"/>
      <c r="H992" s="27"/>
      <c r="I992" s="28"/>
      <c r="L992" s="1" t="str">
        <f t="shared" si="16"/>
        <v>空白</v>
      </c>
      <c r="M992" s="1" t="str">
        <f t="shared" si="16"/>
        <v>空白</v>
      </c>
      <c r="N992" s="1" t="str">
        <f t="shared" si="16"/>
        <v>空白</v>
      </c>
    </row>
    <row r="993" spans="1:14" ht="19.5">
      <c r="A993" s="573"/>
      <c r="B993" s="576"/>
      <c r="C993" s="132" t="s">
        <v>3226</v>
      </c>
      <c r="D993" s="314" t="s">
        <v>3227</v>
      </c>
      <c r="E993" s="419" t="s">
        <v>1264</v>
      </c>
      <c r="F993" s="30" t="s">
        <v>1521</v>
      </c>
      <c r="G993" s="137" t="s">
        <v>1522</v>
      </c>
      <c r="H993" s="112" t="s">
        <v>138</v>
      </c>
      <c r="I993" s="28" t="s">
        <v>1523</v>
      </c>
      <c r="K993" s="2" t="s">
        <v>242</v>
      </c>
      <c r="L993" s="1" t="str">
        <f t="shared" si="16"/>
        <v>對</v>
      </c>
      <c r="M993" s="1" t="str">
        <f t="shared" si="16"/>
        <v>對</v>
      </c>
      <c r="N993" s="1" t="str">
        <f t="shared" si="16"/>
        <v>對</v>
      </c>
    </row>
    <row r="994" spans="1:14" ht="19.5">
      <c r="A994" s="573"/>
      <c r="B994" s="576"/>
      <c r="C994" s="132" t="s">
        <v>3228</v>
      </c>
      <c r="D994" s="314" t="s">
        <v>3229</v>
      </c>
      <c r="E994" s="29">
        <v>1</v>
      </c>
      <c r="F994" s="30" t="s">
        <v>1524</v>
      </c>
      <c r="G994" s="263" t="s">
        <v>1525</v>
      </c>
      <c r="H994" s="112">
        <v>1</v>
      </c>
      <c r="I994" s="28" t="s">
        <v>1526</v>
      </c>
      <c r="K994" s="2" t="s">
        <v>242</v>
      </c>
      <c r="L994" s="1" t="str">
        <f t="shared" si="16"/>
        <v>對</v>
      </c>
      <c r="M994" s="1" t="str">
        <f t="shared" si="16"/>
        <v>對</v>
      </c>
      <c r="N994" s="1" t="str">
        <f t="shared" si="16"/>
        <v>對</v>
      </c>
    </row>
    <row r="995" spans="1:14" ht="19.5">
      <c r="A995" s="573"/>
      <c r="B995" s="576"/>
      <c r="C995" s="132" t="s">
        <v>3230</v>
      </c>
      <c r="D995" s="314" t="s">
        <v>3231</v>
      </c>
      <c r="E995" s="29">
        <v>1</v>
      </c>
      <c r="F995" s="30" t="s">
        <v>1527</v>
      </c>
      <c r="G995" s="263" t="s">
        <v>1528</v>
      </c>
      <c r="H995" s="112">
        <v>1</v>
      </c>
      <c r="I995" s="28" t="s">
        <v>1529</v>
      </c>
      <c r="K995" s="2" t="s">
        <v>242</v>
      </c>
      <c r="L995" s="1" t="str">
        <f t="shared" si="16"/>
        <v>對</v>
      </c>
      <c r="M995" s="1" t="str">
        <f t="shared" si="16"/>
        <v>對</v>
      </c>
      <c r="N995" s="1" t="str">
        <f t="shared" si="16"/>
        <v>對</v>
      </c>
    </row>
    <row r="996" spans="1:14" ht="19.5">
      <c r="A996" s="573"/>
      <c r="B996" s="576"/>
      <c r="C996" s="132" t="s">
        <v>3232</v>
      </c>
      <c r="D996" s="314" t="s">
        <v>3233</v>
      </c>
      <c r="E996" s="29">
        <v>1</v>
      </c>
      <c r="F996" s="30" t="s">
        <v>1530</v>
      </c>
      <c r="G996" s="263" t="s">
        <v>1531</v>
      </c>
      <c r="H996" s="112">
        <v>1</v>
      </c>
      <c r="I996" s="620" t="s">
        <v>1532</v>
      </c>
      <c r="K996" s="2" t="s">
        <v>242</v>
      </c>
      <c r="L996" s="1" t="str">
        <f t="shared" si="16"/>
        <v>對</v>
      </c>
      <c r="M996" s="1" t="str">
        <f t="shared" si="16"/>
        <v>對</v>
      </c>
      <c r="N996" s="1" t="str">
        <f t="shared" si="16"/>
        <v>對</v>
      </c>
    </row>
    <row r="997" spans="1:14" ht="19.5">
      <c r="A997" s="573"/>
      <c r="B997" s="576"/>
      <c r="C997" s="132" t="s">
        <v>3234</v>
      </c>
      <c r="D997" s="314" t="s">
        <v>3235</v>
      </c>
      <c r="E997" s="29">
        <v>2</v>
      </c>
      <c r="F997" s="30" t="s">
        <v>1533</v>
      </c>
      <c r="G997" s="263" t="s">
        <v>1534</v>
      </c>
      <c r="H997" s="112">
        <v>2</v>
      </c>
      <c r="I997" s="621"/>
      <c r="K997" s="2" t="s">
        <v>242</v>
      </c>
      <c r="L997" s="1" t="str">
        <f t="shared" si="16"/>
        <v>對</v>
      </c>
      <c r="M997" s="1" t="str">
        <f t="shared" si="16"/>
        <v>對</v>
      </c>
      <c r="N997" s="1" t="str">
        <f t="shared" si="16"/>
        <v>對</v>
      </c>
    </row>
    <row r="998" spans="1:14" ht="19.5">
      <c r="A998" s="573"/>
      <c r="B998" s="576"/>
      <c r="C998" s="132" t="s">
        <v>3236</v>
      </c>
      <c r="D998" s="314" t="s">
        <v>3237</v>
      </c>
      <c r="E998" s="29">
        <v>1</v>
      </c>
      <c r="F998" s="30" t="s">
        <v>1535</v>
      </c>
      <c r="G998" s="115" t="s">
        <v>1536</v>
      </c>
      <c r="H998" s="112">
        <v>1</v>
      </c>
      <c r="I998" s="28" t="s">
        <v>1537</v>
      </c>
      <c r="K998" s="2" t="s">
        <v>242</v>
      </c>
      <c r="L998" s="1" t="str">
        <f t="shared" si="16"/>
        <v>對</v>
      </c>
      <c r="M998" s="1" t="str">
        <f t="shared" si="16"/>
        <v>對</v>
      </c>
      <c r="N998" s="1" t="str">
        <f t="shared" si="16"/>
        <v>對</v>
      </c>
    </row>
    <row r="999" spans="1:14" ht="39">
      <c r="A999" s="573"/>
      <c r="B999" s="576"/>
      <c r="C999" s="132" t="s">
        <v>3238</v>
      </c>
      <c r="D999" s="314" t="s">
        <v>3239</v>
      </c>
      <c r="E999" s="29"/>
      <c r="F999" s="30" t="s">
        <v>1538</v>
      </c>
      <c r="G999" s="114" t="s">
        <v>1539</v>
      </c>
      <c r="H999" s="112"/>
      <c r="I999" s="28" t="s">
        <v>1540</v>
      </c>
      <c r="K999" s="2" t="s">
        <v>242</v>
      </c>
      <c r="L999" s="1" t="str">
        <f t="shared" si="16"/>
        <v>對</v>
      </c>
      <c r="M999" s="1" t="str">
        <f t="shared" si="16"/>
        <v>對</v>
      </c>
      <c r="N999" s="1" t="str">
        <f t="shared" si="16"/>
        <v>空白</v>
      </c>
    </row>
    <row r="1000" spans="1:14" ht="19.5">
      <c r="A1000" s="573"/>
      <c r="B1000" s="576"/>
      <c r="C1000" s="132" t="s">
        <v>3240</v>
      </c>
      <c r="D1000" s="314" t="s">
        <v>3241</v>
      </c>
      <c r="E1000" s="29">
        <v>2</v>
      </c>
      <c r="F1000" s="30" t="s">
        <v>1541</v>
      </c>
      <c r="G1000" s="114" t="s">
        <v>1542</v>
      </c>
      <c r="H1000" s="112">
        <v>2</v>
      </c>
      <c r="I1000" s="28" t="s">
        <v>1543</v>
      </c>
      <c r="K1000" s="2" t="s">
        <v>242</v>
      </c>
      <c r="L1000" s="1" t="str">
        <f t="shared" si="16"/>
        <v>對</v>
      </c>
      <c r="M1000" s="1" t="str">
        <f t="shared" si="16"/>
        <v>對</v>
      </c>
      <c r="N1000" s="1" t="str">
        <f t="shared" si="16"/>
        <v>對</v>
      </c>
    </row>
    <row r="1001" spans="1:14" ht="19.5">
      <c r="A1001" s="573"/>
      <c r="B1001" s="576"/>
      <c r="C1001" s="132" t="s">
        <v>1544</v>
      </c>
      <c r="D1001" s="314" t="s">
        <v>3242</v>
      </c>
      <c r="E1001" s="29">
        <v>1</v>
      </c>
      <c r="F1001" s="30" t="s">
        <v>1544</v>
      </c>
      <c r="G1001" s="114" t="s">
        <v>1545</v>
      </c>
      <c r="H1001" s="112">
        <v>1</v>
      </c>
      <c r="I1001" s="28" t="s">
        <v>1537</v>
      </c>
      <c r="K1001" s="2" t="s">
        <v>242</v>
      </c>
      <c r="L1001" s="1" t="str">
        <f t="shared" si="16"/>
        <v>對</v>
      </c>
      <c r="M1001" s="1" t="str">
        <f t="shared" si="16"/>
        <v>對</v>
      </c>
      <c r="N1001" s="1" t="str">
        <f t="shared" si="16"/>
        <v>對</v>
      </c>
    </row>
    <row r="1002" spans="1:14" ht="39">
      <c r="A1002" s="573"/>
      <c r="B1002" s="576"/>
      <c r="C1002" s="132" t="s">
        <v>1546</v>
      </c>
      <c r="D1002" s="314" t="s">
        <v>3243</v>
      </c>
      <c r="E1002" s="29">
        <v>1</v>
      </c>
      <c r="F1002" s="30" t="s">
        <v>1546</v>
      </c>
      <c r="G1002" s="264" t="s">
        <v>1547</v>
      </c>
      <c r="H1002" s="112">
        <v>1</v>
      </c>
      <c r="I1002" s="28" t="s">
        <v>1540</v>
      </c>
      <c r="K1002" s="2" t="s">
        <v>242</v>
      </c>
      <c r="L1002" s="1" t="str">
        <f t="shared" si="16"/>
        <v>對</v>
      </c>
      <c r="M1002" s="1" t="str">
        <f t="shared" si="16"/>
        <v>對</v>
      </c>
      <c r="N1002" s="1" t="str">
        <f t="shared" si="16"/>
        <v>對</v>
      </c>
    </row>
    <row r="1003" spans="1:14" ht="19.5">
      <c r="A1003" s="573"/>
      <c r="B1003" s="576"/>
      <c r="C1003" s="132" t="s">
        <v>1548</v>
      </c>
      <c r="D1003" s="314" t="s">
        <v>3244</v>
      </c>
      <c r="E1003" s="29">
        <v>2</v>
      </c>
      <c r="F1003" s="30" t="s">
        <v>1548</v>
      </c>
      <c r="G1003" s="115" t="s">
        <v>1549</v>
      </c>
      <c r="H1003" s="112">
        <v>2</v>
      </c>
      <c r="I1003" s="28" t="s">
        <v>1550</v>
      </c>
      <c r="K1003" s="2" t="s">
        <v>242</v>
      </c>
      <c r="L1003" s="1" t="str">
        <f t="shared" si="16"/>
        <v>對</v>
      </c>
      <c r="M1003" s="1" t="str">
        <f t="shared" si="16"/>
        <v>對</v>
      </c>
      <c r="N1003" s="1" t="str">
        <f t="shared" si="16"/>
        <v>對</v>
      </c>
    </row>
    <row r="1004" spans="1:14" ht="39">
      <c r="A1004" s="573"/>
      <c r="B1004" s="576"/>
      <c r="C1004" s="132" t="s">
        <v>3245</v>
      </c>
      <c r="D1004" s="314" t="s">
        <v>3246</v>
      </c>
      <c r="E1004" s="29">
        <v>1</v>
      </c>
      <c r="F1004" s="30" t="s">
        <v>1551</v>
      </c>
      <c r="G1004" s="111" t="s">
        <v>1552</v>
      </c>
      <c r="H1004" s="112">
        <v>1</v>
      </c>
      <c r="I1004" s="28" t="s">
        <v>1529</v>
      </c>
      <c r="K1004" s="2" t="s">
        <v>242</v>
      </c>
      <c r="L1004" s="1" t="str">
        <f t="shared" si="16"/>
        <v>對</v>
      </c>
      <c r="M1004" s="1" t="str">
        <f t="shared" si="16"/>
        <v>對</v>
      </c>
      <c r="N1004" s="1" t="str">
        <f t="shared" si="16"/>
        <v>對</v>
      </c>
    </row>
    <row r="1005" spans="1:14" ht="39">
      <c r="A1005" s="573"/>
      <c r="B1005" s="576"/>
      <c r="C1005" s="376" t="s">
        <v>1553</v>
      </c>
      <c r="D1005" s="314" t="s">
        <v>3247</v>
      </c>
      <c r="E1005" s="29">
        <v>2</v>
      </c>
      <c r="F1005" s="30" t="s">
        <v>1553</v>
      </c>
      <c r="G1005" s="160" t="s">
        <v>1554</v>
      </c>
      <c r="H1005" s="75">
        <v>2</v>
      </c>
      <c r="I1005" s="104" t="s">
        <v>1555</v>
      </c>
      <c r="K1005" s="2" t="s">
        <v>242</v>
      </c>
      <c r="L1005" s="1" t="str">
        <f t="shared" si="16"/>
        <v>對</v>
      </c>
      <c r="M1005" s="1" t="str">
        <f t="shared" si="16"/>
        <v>對</v>
      </c>
      <c r="N1005" s="1" t="str">
        <f t="shared" si="16"/>
        <v>對</v>
      </c>
    </row>
    <row r="1006" spans="1:14" ht="59.25" thickBot="1">
      <c r="A1006" s="300"/>
      <c r="B1006" s="301"/>
      <c r="C1006" s="376" t="s">
        <v>3248</v>
      </c>
      <c r="D1006" s="318" t="s">
        <v>3249</v>
      </c>
      <c r="E1006" s="94">
        <v>2</v>
      </c>
      <c r="F1006" s="265" t="s">
        <v>1556</v>
      </c>
      <c r="G1006" s="131" t="s">
        <v>1557</v>
      </c>
      <c r="H1006" s="121">
        <v>2</v>
      </c>
      <c r="I1006" s="122" t="s">
        <v>1558</v>
      </c>
      <c r="K1006" s="2" t="s">
        <v>242</v>
      </c>
      <c r="L1006" s="1" t="str">
        <f t="shared" si="16"/>
        <v>對</v>
      </c>
      <c r="M1006" s="1" t="str">
        <f t="shared" si="16"/>
        <v>對</v>
      </c>
      <c r="N1006" s="1" t="str">
        <f t="shared" si="16"/>
        <v>對</v>
      </c>
    </row>
    <row r="1007" spans="1:14" ht="19.5" thickTop="1">
      <c r="A1007" s="572" t="s">
        <v>1559</v>
      </c>
      <c r="B1007" s="575" t="s">
        <v>1560</v>
      </c>
      <c r="C1007" s="7" t="s">
        <v>1561</v>
      </c>
      <c r="D1007" s="311" t="s">
        <v>2203</v>
      </c>
      <c r="E1007" s="8">
        <v>1</v>
      </c>
      <c r="F1007" s="23"/>
      <c r="G1007" s="10"/>
      <c r="H1007" s="57"/>
      <c r="I1007" s="304"/>
      <c r="L1007" s="1" t="str">
        <f t="shared" si="16"/>
        <v>空白</v>
      </c>
      <c r="M1007" s="1" t="str">
        <f t="shared" si="16"/>
        <v>空白</v>
      </c>
      <c r="N1007" s="1" t="str">
        <f t="shared" si="16"/>
        <v>空白</v>
      </c>
    </row>
    <row r="1008" spans="1:14">
      <c r="A1008" s="573"/>
      <c r="B1008" s="576"/>
      <c r="C1008" s="25" t="s">
        <v>1562</v>
      </c>
      <c r="D1008" s="310" t="s">
        <v>2172</v>
      </c>
      <c r="E1008" s="16">
        <v>2</v>
      </c>
      <c r="F1008" s="9"/>
      <c r="G1008" s="26"/>
      <c r="H1008" s="156"/>
      <c r="I1008" s="28"/>
      <c r="L1008" s="1" t="str">
        <f t="shared" si="16"/>
        <v>空白</v>
      </c>
      <c r="M1008" s="1" t="str">
        <f t="shared" si="16"/>
        <v>空白</v>
      </c>
      <c r="N1008" s="1" t="str">
        <f t="shared" si="16"/>
        <v>空白</v>
      </c>
    </row>
    <row r="1009" spans="1:14">
      <c r="A1009" s="573"/>
      <c r="B1009" s="576"/>
      <c r="C1009" s="25" t="s">
        <v>1563</v>
      </c>
      <c r="D1009" s="310" t="s">
        <v>2721</v>
      </c>
      <c r="E1009" s="16">
        <v>2</v>
      </c>
      <c r="F1009" s="9"/>
      <c r="G1009" s="26"/>
      <c r="H1009" s="156"/>
      <c r="I1009" s="28"/>
      <c r="L1009" s="1" t="str">
        <f t="shared" si="16"/>
        <v>空白</v>
      </c>
      <c r="M1009" s="1" t="str">
        <f t="shared" si="16"/>
        <v>空白</v>
      </c>
      <c r="N1009" s="1" t="str">
        <f t="shared" si="16"/>
        <v>空白</v>
      </c>
    </row>
    <row r="1010" spans="1:14">
      <c r="A1010" s="573"/>
      <c r="B1010" s="576"/>
      <c r="C1010" s="25" t="s">
        <v>1564</v>
      </c>
      <c r="D1010" s="308" t="s">
        <v>2722</v>
      </c>
      <c r="E1010" s="16">
        <v>2</v>
      </c>
      <c r="F1010" s="9"/>
      <c r="G1010" s="26"/>
      <c r="H1010" s="156"/>
      <c r="I1010" s="28"/>
      <c r="L1010" s="1" t="str">
        <f t="shared" si="16"/>
        <v>空白</v>
      </c>
      <c r="M1010" s="1" t="str">
        <f t="shared" si="16"/>
        <v>空白</v>
      </c>
      <c r="N1010" s="1" t="str">
        <f t="shared" si="16"/>
        <v>空白</v>
      </c>
    </row>
    <row r="1011" spans="1:14">
      <c r="A1011" s="573"/>
      <c r="B1011" s="576"/>
      <c r="C1011" s="72" t="s">
        <v>1565</v>
      </c>
      <c r="D1011" s="357" t="s">
        <v>2723</v>
      </c>
      <c r="E1011" s="16">
        <v>3</v>
      </c>
      <c r="F1011" s="9"/>
      <c r="G1011" s="26"/>
      <c r="H1011" s="156"/>
      <c r="I1011" s="28"/>
      <c r="L1011" s="1" t="str">
        <f t="shared" si="16"/>
        <v>空白</v>
      </c>
      <c r="M1011" s="1" t="str">
        <f t="shared" si="16"/>
        <v>空白</v>
      </c>
      <c r="N1011" s="1" t="str">
        <f t="shared" si="16"/>
        <v>空白</v>
      </c>
    </row>
    <row r="1012" spans="1:14" ht="58.5">
      <c r="A1012" s="573"/>
      <c r="B1012" s="576"/>
      <c r="C1012" s="266" t="s">
        <v>3252</v>
      </c>
      <c r="D1012" s="358" t="s">
        <v>3253</v>
      </c>
      <c r="E1012" s="16">
        <v>3</v>
      </c>
      <c r="F1012" s="9" t="s">
        <v>1566</v>
      </c>
      <c r="G1012" s="267" t="s">
        <v>1567</v>
      </c>
      <c r="H1012" s="112">
        <v>3</v>
      </c>
      <c r="I1012" s="28" t="s">
        <v>1568</v>
      </c>
      <c r="K1012" s="2" t="s">
        <v>242</v>
      </c>
      <c r="L1012" s="1" t="str">
        <f t="shared" si="16"/>
        <v>對</v>
      </c>
      <c r="M1012" s="1" t="str">
        <f t="shared" si="16"/>
        <v>對</v>
      </c>
      <c r="N1012" s="1" t="str">
        <f t="shared" si="16"/>
        <v>對</v>
      </c>
    </row>
    <row r="1013" spans="1:14" ht="19.5">
      <c r="A1013" s="573"/>
      <c r="B1013" s="576"/>
      <c r="C1013" s="283" t="s">
        <v>3254</v>
      </c>
      <c r="D1013" s="400" t="s">
        <v>3255</v>
      </c>
      <c r="E1013" s="16">
        <v>1</v>
      </c>
      <c r="F1013" s="9" t="s">
        <v>1569</v>
      </c>
      <c r="G1013" s="268" t="s">
        <v>1570</v>
      </c>
      <c r="H1013" s="112">
        <v>1</v>
      </c>
      <c r="I1013" s="28" t="s">
        <v>1571</v>
      </c>
      <c r="K1013" s="2" t="s">
        <v>242</v>
      </c>
      <c r="L1013" s="1" t="str">
        <f t="shared" si="16"/>
        <v>對</v>
      </c>
      <c r="M1013" s="1" t="str">
        <f t="shared" si="16"/>
        <v>對</v>
      </c>
      <c r="N1013" s="1" t="str">
        <f t="shared" si="16"/>
        <v>對</v>
      </c>
    </row>
    <row r="1014" spans="1:14" ht="19.5">
      <c r="A1014" s="573"/>
      <c r="B1014" s="576"/>
      <c r="C1014" s="420" t="s">
        <v>1572</v>
      </c>
      <c r="D1014" s="400" t="s">
        <v>3256</v>
      </c>
      <c r="E1014" s="16">
        <v>1</v>
      </c>
      <c r="F1014" s="9" t="s">
        <v>1572</v>
      </c>
      <c r="G1014" s="114" t="s">
        <v>1573</v>
      </c>
      <c r="H1014" s="269">
        <v>1</v>
      </c>
      <c r="I1014" s="104" t="s">
        <v>1574</v>
      </c>
      <c r="K1014" s="2" t="s">
        <v>242</v>
      </c>
      <c r="L1014" s="1" t="str">
        <f t="shared" si="16"/>
        <v>對</v>
      </c>
      <c r="M1014" s="1" t="str">
        <f t="shared" si="16"/>
        <v>對</v>
      </c>
      <c r="N1014" s="1" t="str">
        <f t="shared" si="16"/>
        <v>對</v>
      </c>
    </row>
    <row r="1015" spans="1:14" ht="39">
      <c r="A1015" s="573"/>
      <c r="B1015" s="576"/>
      <c r="C1015" s="420" t="s">
        <v>1575</v>
      </c>
      <c r="D1015" s="421" t="s">
        <v>3257</v>
      </c>
      <c r="E1015" s="67">
        <v>1</v>
      </c>
      <c r="F1015" s="9" t="s">
        <v>1575</v>
      </c>
      <c r="G1015" s="270" t="s">
        <v>1576</v>
      </c>
      <c r="H1015" s="112">
        <v>1</v>
      </c>
      <c r="I1015" s="28" t="s">
        <v>1577</v>
      </c>
      <c r="K1015" s="2" t="s">
        <v>242</v>
      </c>
      <c r="L1015" s="1" t="str">
        <f t="shared" si="16"/>
        <v>對</v>
      </c>
      <c r="M1015" s="1" t="str">
        <f t="shared" si="16"/>
        <v>對</v>
      </c>
      <c r="N1015" s="1" t="str">
        <f t="shared" si="16"/>
        <v>對</v>
      </c>
    </row>
    <row r="1016" spans="1:14" ht="39">
      <c r="A1016" s="573"/>
      <c r="B1016" s="576"/>
      <c r="C1016" s="420" t="s">
        <v>1578</v>
      </c>
      <c r="D1016" s="337" t="s">
        <v>3258</v>
      </c>
      <c r="E1016" s="16">
        <v>1</v>
      </c>
      <c r="F1016" s="9" t="s">
        <v>1578</v>
      </c>
      <c r="G1016" s="111" t="s">
        <v>1579</v>
      </c>
      <c r="H1016" s="112">
        <v>1</v>
      </c>
      <c r="I1016" s="28" t="s">
        <v>1580</v>
      </c>
      <c r="K1016" s="2" t="s">
        <v>242</v>
      </c>
      <c r="L1016" s="1" t="str">
        <f t="shared" si="16"/>
        <v>對</v>
      </c>
      <c r="M1016" s="1" t="str">
        <f t="shared" si="16"/>
        <v>對</v>
      </c>
      <c r="N1016" s="1" t="str">
        <f t="shared" si="16"/>
        <v>對</v>
      </c>
    </row>
    <row r="1017" spans="1:14" ht="19.5">
      <c r="A1017" s="573"/>
      <c r="B1017" s="576"/>
      <c r="C1017" s="420" t="s">
        <v>1581</v>
      </c>
      <c r="D1017" s="337" t="s">
        <v>3259</v>
      </c>
      <c r="E1017" s="16">
        <v>1</v>
      </c>
      <c r="F1017" s="9" t="s">
        <v>1581</v>
      </c>
      <c r="G1017" s="111" t="s">
        <v>1582</v>
      </c>
      <c r="H1017" s="112">
        <v>1</v>
      </c>
      <c r="I1017" s="620" t="s">
        <v>1583</v>
      </c>
      <c r="K1017" s="2" t="s">
        <v>242</v>
      </c>
      <c r="L1017" s="1" t="str">
        <f t="shared" si="16"/>
        <v>對</v>
      </c>
      <c r="M1017" s="1" t="str">
        <f t="shared" si="16"/>
        <v>對</v>
      </c>
      <c r="N1017" s="1" t="str">
        <f t="shared" si="16"/>
        <v>對</v>
      </c>
    </row>
    <row r="1018" spans="1:14" ht="19.5">
      <c r="A1018" s="573"/>
      <c r="B1018" s="576"/>
      <c r="C1018" s="420" t="s">
        <v>1584</v>
      </c>
      <c r="D1018" s="337" t="s">
        <v>3260</v>
      </c>
      <c r="E1018" s="16">
        <v>2</v>
      </c>
      <c r="F1018" s="9" t="s">
        <v>1584</v>
      </c>
      <c r="G1018" s="111" t="s">
        <v>1585</v>
      </c>
      <c r="H1018" s="112">
        <v>2</v>
      </c>
      <c r="I1018" s="621"/>
      <c r="K1018" s="2" t="s">
        <v>242</v>
      </c>
      <c r="L1018" s="1" t="str">
        <f t="shared" si="16"/>
        <v>對</v>
      </c>
      <c r="M1018" s="1" t="str">
        <f t="shared" si="16"/>
        <v>對</v>
      </c>
      <c r="N1018" s="1" t="str">
        <f t="shared" si="16"/>
        <v>對</v>
      </c>
    </row>
    <row r="1019" spans="1:14" ht="19.5">
      <c r="A1019" s="573"/>
      <c r="B1019" s="576"/>
      <c r="C1019" s="420" t="s">
        <v>1586</v>
      </c>
      <c r="D1019" s="337" t="s">
        <v>3261</v>
      </c>
      <c r="E1019" s="16">
        <v>1</v>
      </c>
      <c r="F1019" s="9" t="s">
        <v>1586</v>
      </c>
      <c r="G1019" s="111" t="s">
        <v>1587</v>
      </c>
      <c r="H1019" s="112">
        <v>1</v>
      </c>
      <c r="I1019" s="620" t="s">
        <v>1583</v>
      </c>
      <c r="K1019" s="2" t="s">
        <v>242</v>
      </c>
      <c r="L1019" s="1" t="str">
        <f t="shared" si="16"/>
        <v>對</v>
      </c>
      <c r="M1019" s="1" t="str">
        <f t="shared" si="16"/>
        <v>對</v>
      </c>
      <c r="N1019" s="1" t="str">
        <f t="shared" si="16"/>
        <v>對</v>
      </c>
    </row>
    <row r="1020" spans="1:14" ht="19.5">
      <c r="A1020" s="573"/>
      <c r="B1020" s="576"/>
      <c r="C1020" s="394" t="s">
        <v>1588</v>
      </c>
      <c r="D1020" s="337" t="s">
        <v>3262</v>
      </c>
      <c r="E1020" s="67">
        <v>2</v>
      </c>
      <c r="F1020" s="250" t="s">
        <v>1588</v>
      </c>
      <c r="G1020" s="137" t="s">
        <v>1589</v>
      </c>
      <c r="H1020" s="113">
        <v>2</v>
      </c>
      <c r="I1020" s="619"/>
      <c r="K1020" s="2" t="s">
        <v>242</v>
      </c>
      <c r="L1020" s="1" t="str">
        <f t="shared" si="16"/>
        <v>對</v>
      </c>
      <c r="M1020" s="1" t="str">
        <f t="shared" si="16"/>
        <v>對</v>
      </c>
      <c r="N1020" s="1" t="str">
        <f t="shared" si="16"/>
        <v>對</v>
      </c>
    </row>
    <row r="1021" spans="1:14">
      <c r="A1021" s="573"/>
      <c r="B1021" s="580" t="s">
        <v>1590</v>
      </c>
      <c r="C1021" s="22" t="s">
        <v>1591</v>
      </c>
      <c r="D1021" s="344" t="s">
        <v>2724</v>
      </c>
      <c r="E1021" s="41">
        <v>1</v>
      </c>
      <c r="F1021" s="23"/>
      <c r="G1021" s="95"/>
      <c r="H1021" s="43"/>
      <c r="I1021" s="304"/>
      <c r="L1021" s="1" t="str">
        <f t="shared" si="16"/>
        <v>空白</v>
      </c>
      <c r="M1021" s="1" t="str">
        <f t="shared" si="16"/>
        <v>空白</v>
      </c>
      <c r="N1021" s="1" t="str">
        <f t="shared" si="16"/>
        <v>空白</v>
      </c>
    </row>
    <row r="1022" spans="1:14">
      <c r="A1022" s="573"/>
      <c r="B1022" s="576"/>
      <c r="C1022" s="25" t="s">
        <v>1592</v>
      </c>
      <c r="D1022" s="308" t="s">
        <v>2725</v>
      </c>
      <c r="E1022" s="16">
        <v>1</v>
      </c>
      <c r="F1022" s="9"/>
      <c r="G1022" s="26"/>
      <c r="H1022" s="27"/>
      <c r="I1022" s="28"/>
      <c r="L1022" s="1" t="str">
        <f t="shared" si="16"/>
        <v>空白</v>
      </c>
      <c r="M1022" s="1" t="str">
        <f t="shared" si="16"/>
        <v>空白</v>
      </c>
      <c r="N1022" s="1" t="str">
        <f t="shared" si="16"/>
        <v>空白</v>
      </c>
    </row>
    <row r="1023" spans="1:14">
      <c r="A1023" s="573"/>
      <c r="B1023" s="576"/>
      <c r="C1023" s="132" t="s">
        <v>1593</v>
      </c>
      <c r="D1023" s="314" t="s">
        <v>2726</v>
      </c>
      <c r="E1023" s="16">
        <v>1</v>
      </c>
      <c r="F1023" s="9"/>
      <c r="G1023" s="26"/>
      <c r="H1023" s="156"/>
      <c r="I1023" s="28"/>
      <c r="L1023" s="1" t="str">
        <f t="shared" si="16"/>
        <v>空白</v>
      </c>
      <c r="M1023" s="1" t="str">
        <f t="shared" si="16"/>
        <v>空白</v>
      </c>
      <c r="N1023" s="1" t="str">
        <f t="shared" si="16"/>
        <v>空白</v>
      </c>
    </row>
    <row r="1024" spans="1:14">
      <c r="A1024" s="573"/>
      <c r="B1024" s="576"/>
      <c r="C1024" s="25" t="s">
        <v>1594</v>
      </c>
      <c r="D1024" s="310" t="s">
        <v>2727</v>
      </c>
      <c r="E1024" s="16">
        <v>1</v>
      </c>
      <c r="F1024" s="9"/>
      <c r="G1024" s="26"/>
      <c r="H1024" s="156"/>
      <c r="I1024" s="28"/>
      <c r="L1024" s="1" t="str">
        <f t="shared" si="16"/>
        <v>空白</v>
      </c>
      <c r="M1024" s="1" t="str">
        <f t="shared" si="16"/>
        <v>空白</v>
      </c>
      <c r="N1024" s="1" t="str">
        <f t="shared" si="16"/>
        <v>空白</v>
      </c>
    </row>
    <row r="1025" spans="1:14">
      <c r="A1025" s="573"/>
      <c r="B1025" s="576"/>
      <c r="C1025" s="25" t="s">
        <v>1595</v>
      </c>
      <c r="D1025" s="308" t="s">
        <v>2728</v>
      </c>
      <c r="E1025" s="16">
        <v>2</v>
      </c>
      <c r="F1025" s="9"/>
      <c r="G1025" s="26"/>
      <c r="H1025" s="156"/>
      <c r="I1025" s="28"/>
      <c r="L1025" s="1" t="str">
        <f t="shared" si="16"/>
        <v>空白</v>
      </c>
      <c r="M1025" s="1" t="str">
        <f t="shared" si="16"/>
        <v>空白</v>
      </c>
      <c r="N1025" s="1" t="str">
        <f t="shared" si="16"/>
        <v>空白</v>
      </c>
    </row>
    <row r="1026" spans="1:14">
      <c r="A1026" s="573"/>
      <c r="B1026" s="576"/>
      <c r="C1026" s="25" t="s">
        <v>1596</v>
      </c>
      <c r="D1026" s="308" t="s">
        <v>2729</v>
      </c>
      <c r="E1026" s="67">
        <v>2</v>
      </c>
      <c r="F1026" s="9"/>
      <c r="G1026" s="26"/>
      <c r="H1026" s="156"/>
      <c r="I1026" s="28"/>
      <c r="L1026" s="1" t="str">
        <f t="shared" si="16"/>
        <v>空白</v>
      </c>
      <c r="M1026" s="1" t="str">
        <f t="shared" si="16"/>
        <v>空白</v>
      </c>
      <c r="N1026" s="1" t="str">
        <f t="shared" si="16"/>
        <v>空白</v>
      </c>
    </row>
    <row r="1027" spans="1:14" ht="39">
      <c r="A1027" s="573"/>
      <c r="B1027" s="576"/>
      <c r="C1027" s="47" t="s">
        <v>3263</v>
      </c>
      <c r="D1027" s="332" t="s">
        <v>3264</v>
      </c>
      <c r="E1027" s="16">
        <v>1</v>
      </c>
      <c r="F1027" s="9" t="s">
        <v>1597</v>
      </c>
      <c r="G1027" s="111" t="s">
        <v>1598</v>
      </c>
      <c r="H1027" s="112">
        <v>1</v>
      </c>
      <c r="I1027" s="104" t="s">
        <v>1599</v>
      </c>
      <c r="K1027" s="2" t="s">
        <v>242</v>
      </c>
      <c r="L1027" s="1" t="str">
        <f t="shared" si="16"/>
        <v>對</v>
      </c>
      <c r="M1027" s="1" t="str">
        <f t="shared" si="16"/>
        <v>對</v>
      </c>
      <c r="N1027" s="1" t="str">
        <f t="shared" si="16"/>
        <v>對</v>
      </c>
    </row>
    <row r="1028" spans="1:14" ht="19.5">
      <c r="A1028" s="573"/>
      <c r="B1028" s="576"/>
      <c r="C1028" s="47" t="s">
        <v>3265</v>
      </c>
      <c r="D1028" s="332" t="s">
        <v>3266</v>
      </c>
      <c r="E1028" s="16">
        <v>1</v>
      </c>
      <c r="F1028" s="9" t="s">
        <v>1600</v>
      </c>
      <c r="G1028" s="111" t="s">
        <v>1601</v>
      </c>
      <c r="H1028" s="112">
        <v>1</v>
      </c>
      <c r="I1028" s="104" t="s">
        <v>1602</v>
      </c>
      <c r="K1028" s="2" t="s">
        <v>242</v>
      </c>
      <c r="L1028" s="1" t="str">
        <f t="shared" si="16"/>
        <v>對</v>
      </c>
      <c r="M1028" s="1" t="str">
        <f t="shared" si="16"/>
        <v>對</v>
      </c>
      <c r="N1028" s="1" t="str">
        <f t="shared" si="16"/>
        <v>對</v>
      </c>
    </row>
    <row r="1029" spans="1:14" ht="39">
      <c r="A1029" s="573"/>
      <c r="B1029" s="576"/>
      <c r="C1029" s="47" t="s">
        <v>3267</v>
      </c>
      <c r="D1029" s="422" t="s">
        <v>3268</v>
      </c>
      <c r="E1029" s="48">
        <v>2</v>
      </c>
      <c r="F1029" s="9" t="s">
        <v>1603</v>
      </c>
      <c r="G1029" s="111" t="s">
        <v>1604</v>
      </c>
      <c r="H1029" s="112">
        <v>2</v>
      </c>
      <c r="I1029" s="104" t="s">
        <v>1605</v>
      </c>
      <c r="K1029" s="2" t="s">
        <v>242</v>
      </c>
      <c r="L1029" s="1" t="str">
        <f t="shared" si="16"/>
        <v>對</v>
      </c>
      <c r="M1029" s="1" t="str">
        <f t="shared" si="16"/>
        <v>對</v>
      </c>
      <c r="N1029" s="1" t="str">
        <f t="shared" si="16"/>
        <v>對</v>
      </c>
    </row>
    <row r="1030" spans="1:14" ht="39">
      <c r="A1030" s="573"/>
      <c r="B1030" s="576"/>
      <c r="C1030" s="47" t="s">
        <v>3269</v>
      </c>
      <c r="D1030" s="396" t="s">
        <v>3270</v>
      </c>
      <c r="E1030" s="48">
        <v>1</v>
      </c>
      <c r="F1030" s="9" t="s">
        <v>1606</v>
      </c>
      <c r="G1030" s="111" t="s">
        <v>1607</v>
      </c>
      <c r="H1030" s="112">
        <v>1</v>
      </c>
      <c r="I1030" s="104" t="s">
        <v>1599</v>
      </c>
      <c r="K1030" s="2" t="s">
        <v>242</v>
      </c>
      <c r="L1030" s="1" t="str">
        <f t="shared" ref="L1030:N1093" si="17">IF(ISBLANK(F1030),"空白",IF(F1030=C1030,"對","錯"))</f>
        <v>對</v>
      </c>
      <c r="M1030" s="1" t="str">
        <f t="shared" si="17"/>
        <v>對</v>
      </c>
      <c r="N1030" s="1" t="str">
        <f t="shared" si="17"/>
        <v>對</v>
      </c>
    </row>
    <row r="1031" spans="1:14" ht="39">
      <c r="A1031" s="573"/>
      <c r="B1031" s="576"/>
      <c r="C1031" s="47" t="s">
        <v>3271</v>
      </c>
      <c r="D1031" s="396" t="s">
        <v>3272</v>
      </c>
      <c r="E1031" s="16">
        <v>2</v>
      </c>
      <c r="F1031" s="9" t="s">
        <v>1608</v>
      </c>
      <c r="G1031" s="111" t="s">
        <v>1609</v>
      </c>
      <c r="H1031" s="112">
        <v>2</v>
      </c>
      <c r="I1031" s="104" t="s">
        <v>1610</v>
      </c>
      <c r="K1031" s="2" t="s">
        <v>242</v>
      </c>
      <c r="L1031" s="1" t="str">
        <f t="shared" si="17"/>
        <v>對</v>
      </c>
      <c r="M1031" s="1" t="str">
        <f t="shared" si="17"/>
        <v>對</v>
      </c>
      <c r="N1031" s="1" t="str">
        <f t="shared" si="17"/>
        <v>對</v>
      </c>
    </row>
    <row r="1032" spans="1:14" ht="39">
      <c r="A1032" s="573"/>
      <c r="B1032" s="576"/>
      <c r="C1032" s="47" t="s">
        <v>3273</v>
      </c>
      <c r="D1032" s="396" t="s">
        <v>3274</v>
      </c>
      <c r="E1032" s="16">
        <v>2</v>
      </c>
      <c r="F1032" s="9" t="s">
        <v>1611</v>
      </c>
      <c r="G1032" s="111" t="s">
        <v>1612</v>
      </c>
      <c r="H1032" s="112">
        <v>2</v>
      </c>
      <c r="I1032" s="104" t="s">
        <v>1613</v>
      </c>
      <c r="K1032" s="2" t="s">
        <v>242</v>
      </c>
      <c r="L1032" s="1" t="str">
        <f t="shared" si="17"/>
        <v>對</v>
      </c>
      <c r="M1032" s="1" t="str">
        <f t="shared" si="17"/>
        <v>對</v>
      </c>
      <c r="N1032" s="1" t="str">
        <f t="shared" si="17"/>
        <v>對</v>
      </c>
    </row>
    <row r="1033" spans="1:14" ht="39">
      <c r="A1033" s="573"/>
      <c r="B1033" s="576"/>
      <c r="C1033" s="47" t="s">
        <v>3275</v>
      </c>
      <c r="D1033" s="396" t="s">
        <v>3276</v>
      </c>
      <c r="E1033" s="16">
        <v>2</v>
      </c>
      <c r="F1033" s="9" t="s">
        <v>1614</v>
      </c>
      <c r="G1033" s="111" t="s">
        <v>1615</v>
      </c>
      <c r="H1033" s="112">
        <v>2</v>
      </c>
      <c r="I1033" s="104" t="s">
        <v>1616</v>
      </c>
      <c r="K1033" s="2" t="s">
        <v>242</v>
      </c>
      <c r="L1033" s="1" t="str">
        <f t="shared" si="17"/>
        <v>對</v>
      </c>
      <c r="M1033" s="1" t="str">
        <f t="shared" si="17"/>
        <v>對</v>
      </c>
      <c r="N1033" s="1" t="str">
        <f t="shared" si="17"/>
        <v>對</v>
      </c>
    </row>
    <row r="1034" spans="1:14" ht="39">
      <c r="A1034" s="573"/>
      <c r="B1034" s="576"/>
      <c r="C1034" s="47" t="s">
        <v>3277</v>
      </c>
      <c r="D1034" s="396" t="s">
        <v>3278</v>
      </c>
      <c r="E1034" s="67">
        <v>1</v>
      </c>
      <c r="F1034" s="250" t="s">
        <v>1617</v>
      </c>
      <c r="G1034" s="137" t="s">
        <v>1618</v>
      </c>
      <c r="H1034" s="75">
        <v>1</v>
      </c>
      <c r="I1034" s="39" t="s">
        <v>1619</v>
      </c>
      <c r="K1034" s="2" t="s">
        <v>242</v>
      </c>
      <c r="L1034" s="1" t="str">
        <f t="shared" si="17"/>
        <v>對</v>
      </c>
      <c r="M1034" s="1" t="str">
        <f t="shared" si="17"/>
        <v>對</v>
      </c>
      <c r="N1034" s="1" t="str">
        <f t="shared" si="17"/>
        <v>對</v>
      </c>
    </row>
    <row r="1035" spans="1:14">
      <c r="A1035" s="573"/>
      <c r="B1035" s="580" t="s">
        <v>1620</v>
      </c>
      <c r="C1035" s="71" t="s">
        <v>1621</v>
      </c>
      <c r="D1035" s="325" t="s">
        <v>2730</v>
      </c>
      <c r="E1035" s="41">
        <v>2</v>
      </c>
      <c r="F1035" s="23"/>
      <c r="G1035" s="95"/>
      <c r="H1035" s="225"/>
      <c r="I1035" s="304"/>
      <c r="L1035" s="1" t="str">
        <f t="shared" si="17"/>
        <v>空白</v>
      </c>
      <c r="M1035" s="1" t="str">
        <f t="shared" si="17"/>
        <v>空白</v>
      </c>
      <c r="N1035" s="1" t="str">
        <f t="shared" si="17"/>
        <v>空白</v>
      </c>
    </row>
    <row r="1036" spans="1:14" ht="19.5">
      <c r="A1036" s="573"/>
      <c r="B1036" s="576"/>
      <c r="C1036" s="22" t="s">
        <v>3279</v>
      </c>
      <c r="D1036" s="313" t="s">
        <v>3280</v>
      </c>
      <c r="E1036" s="48">
        <v>1</v>
      </c>
      <c r="F1036" s="23" t="s">
        <v>1622</v>
      </c>
      <c r="G1036" s="111" t="s">
        <v>1623</v>
      </c>
      <c r="H1036" s="112">
        <v>1</v>
      </c>
      <c r="I1036" s="620" t="s">
        <v>1624</v>
      </c>
      <c r="K1036" s="2" t="s">
        <v>242</v>
      </c>
      <c r="L1036" s="1" t="str">
        <f t="shared" si="17"/>
        <v>對</v>
      </c>
      <c r="M1036" s="1" t="str">
        <f t="shared" si="17"/>
        <v>對</v>
      </c>
      <c r="N1036" s="1" t="str">
        <f t="shared" si="17"/>
        <v>對</v>
      </c>
    </row>
    <row r="1037" spans="1:14" ht="19.5">
      <c r="A1037" s="573"/>
      <c r="B1037" s="576"/>
      <c r="C1037" s="22" t="s">
        <v>3281</v>
      </c>
      <c r="D1037" s="313" t="s">
        <v>3282</v>
      </c>
      <c r="E1037" s="48">
        <v>2</v>
      </c>
      <c r="F1037" s="23" t="s">
        <v>1625</v>
      </c>
      <c r="G1037" s="111" t="s">
        <v>1626</v>
      </c>
      <c r="H1037" s="112">
        <v>2</v>
      </c>
      <c r="I1037" s="621"/>
      <c r="K1037" s="2" t="s">
        <v>242</v>
      </c>
      <c r="L1037" s="1" t="str">
        <f t="shared" si="17"/>
        <v>對</v>
      </c>
      <c r="M1037" s="1" t="str">
        <f t="shared" si="17"/>
        <v>對</v>
      </c>
      <c r="N1037" s="1" t="str">
        <f t="shared" si="17"/>
        <v>對</v>
      </c>
    </row>
    <row r="1038" spans="1:14">
      <c r="A1038" s="573"/>
      <c r="B1038" s="576"/>
      <c r="C1038" s="25" t="s">
        <v>1627</v>
      </c>
      <c r="D1038" s="310" t="s">
        <v>2731</v>
      </c>
      <c r="E1038" s="16">
        <v>2</v>
      </c>
      <c r="F1038" s="9"/>
      <c r="G1038" s="26"/>
      <c r="H1038" s="156"/>
      <c r="I1038" s="28"/>
      <c r="L1038" s="1" t="str">
        <f t="shared" si="17"/>
        <v>空白</v>
      </c>
      <c r="M1038" s="1" t="str">
        <f t="shared" si="17"/>
        <v>空白</v>
      </c>
      <c r="N1038" s="1" t="str">
        <f t="shared" si="17"/>
        <v>空白</v>
      </c>
    </row>
    <row r="1039" spans="1:14">
      <c r="A1039" s="573"/>
      <c r="B1039" s="576"/>
      <c r="C1039" s="25" t="s">
        <v>1628</v>
      </c>
      <c r="D1039" s="310" t="s">
        <v>2732</v>
      </c>
      <c r="E1039" s="16">
        <v>1</v>
      </c>
      <c r="F1039" s="9"/>
      <c r="G1039" s="26"/>
      <c r="H1039" s="156"/>
      <c r="I1039" s="28"/>
      <c r="L1039" s="1" t="str">
        <f t="shared" si="17"/>
        <v>空白</v>
      </c>
      <c r="M1039" s="1" t="str">
        <f t="shared" si="17"/>
        <v>空白</v>
      </c>
      <c r="N1039" s="1" t="str">
        <f t="shared" si="17"/>
        <v>空白</v>
      </c>
    </row>
    <row r="1040" spans="1:14">
      <c r="A1040" s="573"/>
      <c r="B1040" s="576"/>
      <c r="C1040" s="25" t="s">
        <v>1629</v>
      </c>
      <c r="D1040" s="310" t="s">
        <v>2733</v>
      </c>
      <c r="E1040" s="16">
        <v>1</v>
      </c>
      <c r="F1040" s="9"/>
      <c r="G1040" s="26"/>
      <c r="H1040" s="156"/>
      <c r="I1040" s="28"/>
      <c r="L1040" s="1" t="str">
        <f t="shared" si="17"/>
        <v>空白</v>
      </c>
      <c r="M1040" s="1" t="str">
        <f t="shared" si="17"/>
        <v>空白</v>
      </c>
      <c r="N1040" s="1" t="str">
        <f t="shared" si="17"/>
        <v>空白</v>
      </c>
    </row>
    <row r="1041" spans="1:14" ht="39">
      <c r="A1041" s="573"/>
      <c r="B1041" s="576"/>
      <c r="C1041" s="132" t="s">
        <v>1630</v>
      </c>
      <c r="D1041" s="314" t="s">
        <v>3283</v>
      </c>
      <c r="E1041" s="16">
        <v>2</v>
      </c>
      <c r="F1041" s="9"/>
      <c r="G1041" s="26" t="s">
        <v>1631</v>
      </c>
      <c r="H1041" s="32">
        <v>2</v>
      </c>
      <c r="I1041" s="28" t="s">
        <v>1632</v>
      </c>
      <c r="K1041" s="2" t="s">
        <v>35</v>
      </c>
      <c r="L1041" s="1" t="str">
        <f t="shared" si="17"/>
        <v>空白</v>
      </c>
      <c r="M1041" s="1" t="str">
        <f t="shared" si="17"/>
        <v>對</v>
      </c>
      <c r="N1041" s="1" t="str">
        <f t="shared" si="17"/>
        <v>對</v>
      </c>
    </row>
    <row r="1042" spans="1:14">
      <c r="A1042" s="573"/>
      <c r="B1042" s="576"/>
      <c r="C1042" s="25" t="s">
        <v>1633</v>
      </c>
      <c r="D1042" s="310" t="s">
        <v>2734</v>
      </c>
      <c r="E1042" s="48">
        <v>1</v>
      </c>
      <c r="F1042" s="9"/>
      <c r="G1042" s="26"/>
      <c r="H1042" s="156"/>
      <c r="I1042" s="28"/>
      <c r="L1042" s="1" t="str">
        <f t="shared" si="17"/>
        <v>空白</v>
      </c>
      <c r="M1042" s="1" t="str">
        <f t="shared" si="17"/>
        <v>空白</v>
      </c>
      <c r="N1042" s="1" t="str">
        <f t="shared" si="17"/>
        <v>空白</v>
      </c>
    </row>
    <row r="1043" spans="1:14">
      <c r="A1043" s="573"/>
      <c r="B1043" s="576"/>
      <c r="C1043" s="25" t="s">
        <v>1634</v>
      </c>
      <c r="D1043" s="310" t="s">
        <v>2735</v>
      </c>
      <c r="E1043" s="16">
        <v>2</v>
      </c>
      <c r="F1043" s="9"/>
      <c r="G1043" s="26"/>
      <c r="H1043" s="210"/>
      <c r="I1043" s="28"/>
      <c r="L1043" s="1" t="str">
        <f t="shared" si="17"/>
        <v>空白</v>
      </c>
      <c r="M1043" s="1" t="str">
        <f t="shared" si="17"/>
        <v>空白</v>
      </c>
      <c r="N1043" s="1" t="str">
        <f t="shared" si="17"/>
        <v>空白</v>
      </c>
    </row>
    <row r="1044" spans="1:14" ht="39">
      <c r="A1044" s="573"/>
      <c r="B1044" s="576"/>
      <c r="C1044" s="25" t="s">
        <v>1635</v>
      </c>
      <c r="D1044" s="310" t="s">
        <v>3284</v>
      </c>
      <c r="E1044" s="16">
        <v>2</v>
      </c>
      <c r="F1044" s="9"/>
      <c r="G1044" s="26" t="s">
        <v>1636</v>
      </c>
      <c r="H1044" s="32">
        <v>2</v>
      </c>
      <c r="I1044" s="28" t="s">
        <v>223</v>
      </c>
      <c r="K1044" s="2" t="s">
        <v>54</v>
      </c>
      <c r="L1044" s="1" t="str">
        <f t="shared" si="17"/>
        <v>空白</v>
      </c>
      <c r="M1044" s="1" t="str">
        <f t="shared" si="17"/>
        <v>對</v>
      </c>
      <c r="N1044" s="1" t="str">
        <f t="shared" si="17"/>
        <v>對</v>
      </c>
    </row>
    <row r="1045" spans="1:14">
      <c r="A1045" s="573"/>
      <c r="B1045" s="576"/>
      <c r="C1045" s="25" t="s">
        <v>1637</v>
      </c>
      <c r="D1045" s="310" t="s">
        <v>2736</v>
      </c>
      <c r="E1045" s="16">
        <v>2</v>
      </c>
      <c r="F1045" s="9"/>
      <c r="G1045" s="26"/>
      <c r="H1045" s="32"/>
      <c r="I1045" s="28"/>
      <c r="L1045" s="1" t="str">
        <f t="shared" si="17"/>
        <v>空白</v>
      </c>
      <c r="M1045" s="1" t="str">
        <f t="shared" si="17"/>
        <v>空白</v>
      </c>
      <c r="N1045" s="1" t="str">
        <f t="shared" si="17"/>
        <v>空白</v>
      </c>
    </row>
    <row r="1046" spans="1:14" ht="58.5">
      <c r="A1046" s="573"/>
      <c r="B1046" s="576"/>
      <c r="C1046" s="132" t="s">
        <v>1638</v>
      </c>
      <c r="D1046" s="314" t="s">
        <v>3285</v>
      </c>
      <c r="E1046" s="16">
        <v>4</v>
      </c>
      <c r="F1046" s="9"/>
      <c r="G1046" s="26" t="s">
        <v>1639</v>
      </c>
      <c r="H1046" s="32">
        <v>4</v>
      </c>
      <c r="I1046" s="28" t="s">
        <v>1298</v>
      </c>
      <c r="K1046" s="2" t="s">
        <v>35</v>
      </c>
      <c r="L1046" s="1" t="str">
        <f t="shared" si="17"/>
        <v>空白</v>
      </c>
      <c r="M1046" s="1" t="str">
        <f t="shared" si="17"/>
        <v>對</v>
      </c>
      <c r="N1046" s="1" t="str">
        <f t="shared" si="17"/>
        <v>對</v>
      </c>
    </row>
    <row r="1047" spans="1:14">
      <c r="A1047" s="573"/>
      <c r="B1047" s="576"/>
      <c r="C1047" s="25" t="s">
        <v>1640</v>
      </c>
      <c r="D1047" s="310" t="s">
        <v>2737</v>
      </c>
      <c r="E1047" s="16">
        <v>2</v>
      </c>
      <c r="F1047" s="9"/>
      <c r="G1047" s="26"/>
      <c r="H1047" s="27"/>
      <c r="I1047" s="28"/>
      <c r="L1047" s="1" t="str">
        <f t="shared" si="17"/>
        <v>空白</v>
      </c>
      <c r="M1047" s="1" t="str">
        <f t="shared" si="17"/>
        <v>空白</v>
      </c>
      <c r="N1047" s="1" t="str">
        <f t="shared" si="17"/>
        <v>空白</v>
      </c>
    </row>
    <row r="1048" spans="1:14" ht="19.5">
      <c r="A1048" s="573"/>
      <c r="B1048" s="576"/>
      <c r="C1048" s="25" t="s">
        <v>1641</v>
      </c>
      <c r="D1048" s="310" t="s">
        <v>3286</v>
      </c>
      <c r="E1048" s="16">
        <v>1</v>
      </c>
      <c r="F1048" s="9"/>
      <c r="G1048" s="111" t="s">
        <v>1642</v>
      </c>
      <c r="H1048" s="112">
        <v>1</v>
      </c>
      <c r="I1048" s="620" t="s">
        <v>1643</v>
      </c>
      <c r="K1048" s="2" t="s">
        <v>13</v>
      </c>
      <c r="L1048" s="1" t="str">
        <f t="shared" si="17"/>
        <v>空白</v>
      </c>
      <c r="M1048" s="1" t="str">
        <f t="shared" si="17"/>
        <v>對</v>
      </c>
      <c r="N1048" s="1" t="str">
        <f t="shared" si="17"/>
        <v>對</v>
      </c>
    </row>
    <row r="1049" spans="1:14" ht="19.5">
      <c r="A1049" s="573"/>
      <c r="B1049" s="576"/>
      <c r="C1049" s="25" t="s">
        <v>3288</v>
      </c>
      <c r="D1049" s="310" t="s">
        <v>3287</v>
      </c>
      <c r="E1049" s="16">
        <v>2</v>
      </c>
      <c r="F1049" s="9" t="s">
        <v>1644</v>
      </c>
      <c r="G1049" s="111" t="s">
        <v>1645</v>
      </c>
      <c r="H1049" s="112">
        <v>2</v>
      </c>
      <c r="I1049" s="621"/>
      <c r="K1049" s="2" t="s">
        <v>242</v>
      </c>
      <c r="L1049" s="1" t="str">
        <f t="shared" si="17"/>
        <v>對</v>
      </c>
      <c r="M1049" s="1" t="str">
        <f t="shared" si="17"/>
        <v>對</v>
      </c>
      <c r="N1049" s="1" t="str">
        <f t="shared" si="17"/>
        <v>對</v>
      </c>
    </row>
    <row r="1050" spans="1:14" ht="19.5">
      <c r="A1050" s="573"/>
      <c r="B1050" s="576"/>
      <c r="C1050" s="25" t="s">
        <v>1646</v>
      </c>
      <c r="D1050" s="310" t="s">
        <v>3289</v>
      </c>
      <c r="E1050" s="16">
        <v>2</v>
      </c>
      <c r="F1050" s="9"/>
      <c r="G1050" s="69" t="s">
        <v>1647</v>
      </c>
      <c r="H1050" s="27">
        <v>2</v>
      </c>
      <c r="I1050" s="620" t="s">
        <v>61</v>
      </c>
      <c r="K1050" s="2" t="s">
        <v>54</v>
      </c>
      <c r="L1050" s="1" t="str">
        <f t="shared" si="17"/>
        <v>空白</v>
      </c>
      <c r="M1050" s="1" t="str">
        <f t="shared" si="17"/>
        <v>對</v>
      </c>
      <c r="N1050" s="1" t="str">
        <f t="shared" si="17"/>
        <v>對</v>
      </c>
    </row>
    <row r="1051" spans="1:14" ht="19.5">
      <c r="A1051" s="573"/>
      <c r="B1051" s="576"/>
      <c r="C1051" s="25" t="s">
        <v>1648</v>
      </c>
      <c r="D1051" s="310" t="s">
        <v>3290</v>
      </c>
      <c r="E1051" s="16">
        <v>5</v>
      </c>
      <c r="F1051" s="9"/>
      <c r="G1051" s="69" t="s">
        <v>1649</v>
      </c>
      <c r="H1051" s="27">
        <v>5</v>
      </c>
      <c r="I1051" s="621"/>
      <c r="K1051" s="2" t="s">
        <v>54</v>
      </c>
      <c r="L1051" s="1" t="str">
        <f t="shared" si="17"/>
        <v>空白</v>
      </c>
      <c r="M1051" s="1" t="str">
        <f t="shared" si="17"/>
        <v>對</v>
      </c>
      <c r="N1051" s="1" t="str">
        <f t="shared" si="17"/>
        <v>對</v>
      </c>
    </row>
    <row r="1052" spans="1:14">
      <c r="A1052" s="573"/>
      <c r="B1052" s="576"/>
      <c r="C1052" s="25" t="s">
        <v>1650</v>
      </c>
      <c r="D1052" s="310" t="s">
        <v>2738</v>
      </c>
      <c r="E1052" s="16">
        <v>2</v>
      </c>
      <c r="F1052" s="9"/>
      <c r="G1052" s="26"/>
      <c r="H1052" s="156"/>
      <c r="I1052" s="28"/>
      <c r="L1052" s="1" t="str">
        <f t="shared" si="17"/>
        <v>空白</v>
      </c>
      <c r="M1052" s="1" t="str">
        <f t="shared" si="17"/>
        <v>空白</v>
      </c>
      <c r="N1052" s="1" t="str">
        <f t="shared" si="17"/>
        <v>空白</v>
      </c>
    </row>
    <row r="1053" spans="1:14">
      <c r="A1053" s="573"/>
      <c r="B1053" s="576"/>
      <c r="C1053" s="25" t="s">
        <v>1651</v>
      </c>
      <c r="D1053" s="310" t="s">
        <v>2739</v>
      </c>
      <c r="E1053" s="16">
        <v>2</v>
      </c>
      <c r="F1053" s="9"/>
      <c r="G1053" s="26"/>
      <c r="H1053" s="27"/>
      <c r="I1053" s="28"/>
      <c r="L1053" s="1" t="str">
        <f t="shared" si="17"/>
        <v>空白</v>
      </c>
      <c r="M1053" s="1" t="str">
        <f t="shared" si="17"/>
        <v>空白</v>
      </c>
      <c r="N1053" s="1" t="str">
        <f t="shared" si="17"/>
        <v>空白</v>
      </c>
    </row>
    <row r="1054" spans="1:14">
      <c r="A1054" s="573"/>
      <c r="B1054" s="576"/>
      <c r="C1054" s="25" t="s">
        <v>1652</v>
      </c>
      <c r="D1054" s="310" t="s">
        <v>2740</v>
      </c>
      <c r="E1054" s="16">
        <v>2</v>
      </c>
      <c r="F1054" s="9"/>
      <c r="G1054" s="26"/>
      <c r="H1054" s="112"/>
      <c r="I1054" s="28"/>
      <c r="L1054" s="1" t="str">
        <f t="shared" si="17"/>
        <v>空白</v>
      </c>
      <c r="M1054" s="1" t="str">
        <f t="shared" si="17"/>
        <v>空白</v>
      </c>
      <c r="N1054" s="1" t="str">
        <f t="shared" si="17"/>
        <v>空白</v>
      </c>
    </row>
    <row r="1055" spans="1:14" ht="39">
      <c r="A1055" s="573"/>
      <c r="B1055" s="576"/>
      <c r="C1055" s="25" t="s">
        <v>1653</v>
      </c>
      <c r="D1055" s="310" t="s">
        <v>3291</v>
      </c>
      <c r="E1055" s="16">
        <v>5</v>
      </c>
      <c r="F1055" s="9"/>
      <c r="G1055" s="26" t="s">
        <v>1654</v>
      </c>
      <c r="H1055" s="27">
        <v>5</v>
      </c>
      <c r="I1055" s="28" t="s">
        <v>61</v>
      </c>
      <c r="K1055" s="2" t="s">
        <v>54</v>
      </c>
      <c r="L1055" s="1" t="str">
        <f t="shared" si="17"/>
        <v>空白</v>
      </c>
      <c r="M1055" s="1" t="str">
        <f t="shared" si="17"/>
        <v>對</v>
      </c>
      <c r="N1055" s="1" t="str">
        <f t="shared" si="17"/>
        <v>對</v>
      </c>
    </row>
    <row r="1056" spans="1:14">
      <c r="A1056" s="573"/>
      <c r="B1056" s="576"/>
      <c r="C1056" s="25" t="s">
        <v>1655</v>
      </c>
      <c r="D1056" s="310" t="s">
        <v>2741</v>
      </c>
      <c r="E1056" s="16">
        <v>1</v>
      </c>
      <c r="F1056" s="9"/>
      <c r="G1056" s="26"/>
      <c r="H1056" s="27"/>
      <c r="I1056" s="28"/>
      <c r="L1056" s="1" t="str">
        <f t="shared" si="17"/>
        <v>空白</v>
      </c>
      <c r="M1056" s="1" t="str">
        <f t="shared" si="17"/>
        <v>空白</v>
      </c>
      <c r="N1056" s="1" t="str">
        <f t="shared" si="17"/>
        <v>空白</v>
      </c>
    </row>
    <row r="1057" spans="1:14" ht="19.5">
      <c r="A1057" s="573"/>
      <c r="B1057" s="576"/>
      <c r="C1057" s="25" t="s">
        <v>1656</v>
      </c>
      <c r="D1057" s="310" t="s">
        <v>3292</v>
      </c>
      <c r="E1057" s="16">
        <v>1</v>
      </c>
      <c r="F1057" s="9"/>
      <c r="G1057" s="26" t="s">
        <v>1657</v>
      </c>
      <c r="H1057" s="156"/>
      <c r="I1057" s="28" t="s">
        <v>1151</v>
      </c>
      <c r="K1057" s="2" t="s">
        <v>13</v>
      </c>
      <c r="L1057" s="1" t="str">
        <f t="shared" si="17"/>
        <v>空白</v>
      </c>
      <c r="M1057" s="1" t="str">
        <f t="shared" si="17"/>
        <v>對</v>
      </c>
      <c r="N1057" s="1" t="str">
        <f t="shared" si="17"/>
        <v>空白</v>
      </c>
    </row>
    <row r="1058" spans="1:14">
      <c r="A1058" s="573"/>
      <c r="B1058" s="576"/>
      <c r="C1058" s="25" t="s">
        <v>1658</v>
      </c>
      <c r="D1058" s="310" t="s">
        <v>2742</v>
      </c>
      <c r="E1058" s="16">
        <v>2</v>
      </c>
      <c r="F1058" s="9"/>
      <c r="G1058" s="26"/>
      <c r="H1058" s="27"/>
      <c r="I1058" s="28"/>
      <c r="L1058" s="1" t="str">
        <f t="shared" si="17"/>
        <v>空白</v>
      </c>
      <c r="M1058" s="1" t="str">
        <f t="shared" si="17"/>
        <v>空白</v>
      </c>
      <c r="N1058" s="1" t="str">
        <f t="shared" si="17"/>
        <v>空白</v>
      </c>
    </row>
    <row r="1059" spans="1:14">
      <c r="A1059" s="573"/>
      <c r="B1059" s="576"/>
      <c r="C1059" s="25" t="s">
        <v>1659</v>
      </c>
      <c r="D1059" s="310" t="s">
        <v>2743</v>
      </c>
      <c r="E1059" s="16">
        <v>2</v>
      </c>
      <c r="F1059" s="9"/>
      <c r="G1059" s="26"/>
      <c r="H1059" s="156"/>
      <c r="I1059" s="28"/>
      <c r="L1059" s="1" t="str">
        <f t="shared" si="17"/>
        <v>空白</v>
      </c>
      <c r="M1059" s="1" t="str">
        <f t="shared" si="17"/>
        <v>空白</v>
      </c>
      <c r="N1059" s="1" t="str">
        <f t="shared" si="17"/>
        <v>空白</v>
      </c>
    </row>
    <row r="1060" spans="1:14" ht="39">
      <c r="A1060" s="573"/>
      <c r="B1060" s="576"/>
      <c r="C1060" s="25" t="s">
        <v>1660</v>
      </c>
      <c r="D1060" s="310" t="s">
        <v>3293</v>
      </c>
      <c r="E1060" s="16">
        <v>2</v>
      </c>
      <c r="F1060" s="9"/>
      <c r="G1060" s="26" t="s">
        <v>1661</v>
      </c>
      <c r="H1060" s="27">
        <v>2</v>
      </c>
      <c r="I1060" s="28" t="s">
        <v>61</v>
      </c>
      <c r="K1060" s="2" t="s">
        <v>54</v>
      </c>
      <c r="L1060" s="1" t="str">
        <f t="shared" si="17"/>
        <v>空白</v>
      </c>
      <c r="M1060" s="1" t="str">
        <f t="shared" si="17"/>
        <v>對</v>
      </c>
      <c r="N1060" s="1" t="str">
        <f t="shared" si="17"/>
        <v>對</v>
      </c>
    </row>
    <row r="1061" spans="1:14">
      <c r="A1061" s="573"/>
      <c r="B1061" s="576"/>
      <c r="C1061" s="25" t="s">
        <v>1662</v>
      </c>
      <c r="D1061" s="310" t="s">
        <v>2744</v>
      </c>
      <c r="E1061" s="16">
        <v>1</v>
      </c>
      <c r="F1061" s="9"/>
      <c r="G1061" s="26"/>
      <c r="H1061" s="27"/>
      <c r="I1061" s="28"/>
      <c r="L1061" s="1" t="str">
        <f t="shared" si="17"/>
        <v>空白</v>
      </c>
      <c r="M1061" s="1" t="str">
        <f t="shared" si="17"/>
        <v>空白</v>
      </c>
      <c r="N1061" s="1" t="str">
        <f t="shared" si="17"/>
        <v>空白</v>
      </c>
    </row>
    <row r="1062" spans="1:14">
      <c r="A1062" s="573"/>
      <c r="B1062" s="576"/>
      <c r="C1062" s="25" t="s">
        <v>1663</v>
      </c>
      <c r="D1062" s="310" t="s">
        <v>2745</v>
      </c>
      <c r="E1062" s="16">
        <v>3</v>
      </c>
      <c r="F1062" s="9"/>
      <c r="G1062" s="26"/>
      <c r="H1062" s="27"/>
      <c r="I1062" s="28"/>
      <c r="L1062" s="1" t="str">
        <f t="shared" si="17"/>
        <v>空白</v>
      </c>
      <c r="M1062" s="1" t="str">
        <f t="shared" si="17"/>
        <v>空白</v>
      </c>
      <c r="N1062" s="1" t="str">
        <f t="shared" si="17"/>
        <v>空白</v>
      </c>
    </row>
    <row r="1063" spans="1:14" ht="39">
      <c r="A1063" s="573"/>
      <c r="B1063" s="576"/>
      <c r="C1063" s="25" t="s">
        <v>1664</v>
      </c>
      <c r="D1063" s="310" t="s">
        <v>3294</v>
      </c>
      <c r="E1063" s="16">
        <v>4</v>
      </c>
      <c r="F1063" s="9"/>
      <c r="G1063" s="26" t="s">
        <v>1665</v>
      </c>
      <c r="H1063" s="27">
        <v>4</v>
      </c>
      <c r="I1063" s="28" t="s">
        <v>61</v>
      </c>
      <c r="K1063" s="2" t="s">
        <v>54</v>
      </c>
      <c r="L1063" s="1" t="str">
        <f t="shared" si="17"/>
        <v>空白</v>
      </c>
      <c r="M1063" s="1" t="str">
        <f t="shared" si="17"/>
        <v>對</v>
      </c>
      <c r="N1063" s="1" t="str">
        <f t="shared" si="17"/>
        <v>對</v>
      </c>
    </row>
    <row r="1064" spans="1:14" ht="19.5">
      <c r="A1064" s="573"/>
      <c r="B1064" s="576"/>
      <c r="C1064" s="25" t="s">
        <v>1666</v>
      </c>
      <c r="D1064" s="310" t="s">
        <v>2746</v>
      </c>
      <c r="E1064" s="16" t="s">
        <v>746</v>
      </c>
      <c r="F1064" s="9"/>
      <c r="G1064" s="26"/>
      <c r="H1064" s="156"/>
      <c r="I1064" s="28"/>
      <c r="L1064" s="1" t="str">
        <f t="shared" si="17"/>
        <v>空白</v>
      </c>
      <c r="M1064" s="1" t="str">
        <f t="shared" si="17"/>
        <v>空白</v>
      </c>
      <c r="N1064" s="1" t="str">
        <f t="shared" si="17"/>
        <v>空白</v>
      </c>
    </row>
    <row r="1065" spans="1:14" ht="19.5">
      <c r="A1065" s="573"/>
      <c r="B1065" s="576"/>
      <c r="C1065" s="132" t="s">
        <v>1667</v>
      </c>
      <c r="D1065" s="332" t="s">
        <v>3295</v>
      </c>
      <c r="E1065" s="16">
        <v>3</v>
      </c>
      <c r="F1065" s="9"/>
      <c r="G1065" s="241" t="s">
        <v>1668</v>
      </c>
      <c r="H1065" s="27">
        <v>3</v>
      </c>
      <c r="I1065" s="28" t="s">
        <v>878</v>
      </c>
      <c r="K1065" s="2" t="s">
        <v>35</v>
      </c>
      <c r="L1065" s="1" t="str">
        <f t="shared" si="17"/>
        <v>空白</v>
      </c>
      <c r="M1065" s="1" t="str">
        <f t="shared" si="17"/>
        <v>對</v>
      </c>
      <c r="N1065" s="1" t="str">
        <f t="shared" si="17"/>
        <v>對</v>
      </c>
    </row>
    <row r="1066" spans="1:14">
      <c r="A1066" s="573"/>
      <c r="B1066" s="576"/>
      <c r="C1066" s="25" t="s">
        <v>1669</v>
      </c>
      <c r="D1066" s="308" t="s">
        <v>2747</v>
      </c>
      <c r="E1066" s="16">
        <v>3</v>
      </c>
      <c r="F1066" s="9"/>
      <c r="G1066" s="26"/>
      <c r="H1066" s="27"/>
      <c r="I1066" s="28"/>
      <c r="L1066" s="1" t="str">
        <f t="shared" si="17"/>
        <v>空白</v>
      </c>
      <c r="M1066" s="1" t="str">
        <f t="shared" si="17"/>
        <v>空白</v>
      </c>
      <c r="N1066" s="1" t="str">
        <f t="shared" si="17"/>
        <v>空白</v>
      </c>
    </row>
    <row r="1067" spans="1:14">
      <c r="A1067" s="573"/>
      <c r="B1067" s="576"/>
      <c r="C1067" s="25" t="s">
        <v>1670</v>
      </c>
      <c r="D1067" s="308" t="s">
        <v>2748</v>
      </c>
      <c r="E1067" s="16">
        <v>3</v>
      </c>
      <c r="F1067" s="9"/>
      <c r="G1067" s="26"/>
      <c r="H1067" s="27"/>
      <c r="I1067" s="28"/>
      <c r="L1067" s="1" t="str">
        <f t="shared" si="17"/>
        <v>空白</v>
      </c>
      <c r="M1067" s="1" t="str">
        <f t="shared" si="17"/>
        <v>空白</v>
      </c>
      <c r="N1067" s="1" t="str">
        <f t="shared" si="17"/>
        <v>空白</v>
      </c>
    </row>
    <row r="1068" spans="1:14" ht="39">
      <c r="A1068" s="573"/>
      <c r="B1068" s="576"/>
      <c r="C1068" s="25" t="s">
        <v>1671</v>
      </c>
      <c r="D1068" s="308" t="s">
        <v>3296</v>
      </c>
      <c r="E1068" s="16">
        <v>4</v>
      </c>
      <c r="F1068" s="9"/>
      <c r="G1068" s="26" t="s">
        <v>1672</v>
      </c>
      <c r="H1068" s="27">
        <v>4</v>
      </c>
      <c r="I1068" s="28" t="s">
        <v>1673</v>
      </c>
      <c r="K1068" s="2" t="s">
        <v>54</v>
      </c>
      <c r="L1068" s="1" t="str">
        <f t="shared" si="17"/>
        <v>空白</v>
      </c>
      <c r="M1068" s="1" t="str">
        <f t="shared" si="17"/>
        <v>對</v>
      </c>
      <c r="N1068" s="1" t="str">
        <f t="shared" si="17"/>
        <v>對</v>
      </c>
    </row>
    <row r="1069" spans="1:14" ht="19.5">
      <c r="A1069" s="573"/>
      <c r="B1069" s="576"/>
      <c r="C1069" s="25" t="s">
        <v>1674</v>
      </c>
      <c r="D1069" s="308" t="s">
        <v>3297</v>
      </c>
      <c r="E1069" s="16">
        <v>2</v>
      </c>
      <c r="F1069" s="9"/>
      <c r="G1069" s="26" t="s">
        <v>1675</v>
      </c>
      <c r="H1069" s="27">
        <v>2</v>
      </c>
      <c r="I1069" s="28" t="s">
        <v>878</v>
      </c>
      <c r="K1069" s="2" t="s">
        <v>35</v>
      </c>
      <c r="L1069" s="1" t="str">
        <f t="shared" si="17"/>
        <v>空白</v>
      </c>
      <c r="M1069" s="1" t="str">
        <f t="shared" si="17"/>
        <v>對</v>
      </c>
      <c r="N1069" s="1" t="str">
        <f t="shared" si="17"/>
        <v>對</v>
      </c>
    </row>
    <row r="1070" spans="1:14" ht="39">
      <c r="A1070" s="573"/>
      <c r="B1070" s="576"/>
      <c r="C1070" s="132" t="s">
        <v>1676</v>
      </c>
      <c r="D1070" s="332" t="s">
        <v>3298</v>
      </c>
      <c r="E1070" s="16">
        <v>1</v>
      </c>
      <c r="F1070" s="9"/>
      <c r="G1070" s="26" t="s">
        <v>1677</v>
      </c>
      <c r="H1070" s="27">
        <v>1</v>
      </c>
      <c r="I1070" s="28" t="s">
        <v>1298</v>
      </c>
      <c r="K1070" s="2" t="s">
        <v>35</v>
      </c>
      <c r="L1070" s="1" t="str">
        <f t="shared" si="17"/>
        <v>空白</v>
      </c>
      <c r="M1070" s="1" t="str">
        <f t="shared" si="17"/>
        <v>對</v>
      </c>
      <c r="N1070" s="1" t="str">
        <f t="shared" si="17"/>
        <v>對</v>
      </c>
    </row>
    <row r="1071" spans="1:14">
      <c r="A1071" s="573"/>
      <c r="B1071" s="576"/>
      <c r="C1071" s="34" t="s">
        <v>1678</v>
      </c>
      <c r="D1071" s="343" t="s">
        <v>2749</v>
      </c>
      <c r="E1071" s="16">
        <v>1</v>
      </c>
      <c r="F1071" s="9"/>
      <c r="G1071" s="26"/>
      <c r="H1071" s="27"/>
      <c r="I1071" s="28"/>
      <c r="L1071" s="1" t="str">
        <f t="shared" si="17"/>
        <v>空白</v>
      </c>
      <c r="M1071" s="1" t="str">
        <f t="shared" si="17"/>
        <v>空白</v>
      </c>
      <c r="N1071" s="1" t="str">
        <f t="shared" si="17"/>
        <v>空白</v>
      </c>
    </row>
    <row r="1072" spans="1:14">
      <c r="A1072" s="573"/>
      <c r="B1072" s="576"/>
      <c r="C1072" s="271" t="s">
        <v>1679</v>
      </c>
      <c r="D1072" s="343" t="s">
        <v>2750</v>
      </c>
      <c r="E1072" s="16">
        <v>1</v>
      </c>
      <c r="F1072" s="9"/>
      <c r="G1072" s="26"/>
      <c r="H1072" s="27"/>
      <c r="I1072" s="28"/>
      <c r="L1072" s="1" t="str">
        <f t="shared" si="17"/>
        <v>空白</v>
      </c>
      <c r="M1072" s="1" t="str">
        <f t="shared" si="17"/>
        <v>空白</v>
      </c>
      <c r="N1072" s="1" t="str">
        <f t="shared" si="17"/>
        <v>空白</v>
      </c>
    </row>
    <row r="1073" spans="1:14" ht="19.5">
      <c r="A1073" s="573"/>
      <c r="B1073" s="576"/>
      <c r="C1073" s="271" t="s">
        <v>3299</v>
      </c>
      <c r="D1073" s="361" t="s">
        <v>3300</v>
      </c>
      <c r="E1073" s="16">
        <v>2</v>
      </c>
      <c r="F1073" s="9" t="s">
        <v>1680</v>
      </c>
      <c r="G1073" s="111" t="s">
        <v>1681</v>
      </c>
      <c r="H1073" s="112">
        <v>2</v>
      </c>
      <c r="I1073" s="28" t="s">
        <v>1682</v>
      </c>
      <c r="K1073" s="2" t="s">
        <v>242</v>
      </c>
      <c r="L1073" s="1" t="str">
        <f t="shared" si="17"/>
        <v>對</v>
      </c>
      <c r="M1073" s="1" t="str">
        <f t="shared" si="17"/>
        <v>對</v>
      </c>
      <c r="N1073" s="1" t="str">
        <f t="shared" si="17"/>
        <v>對</v>
      </c>
    </row>
    <row r="1074" spans="1:14" ht="39">
      <c r="A1074" s="573"/>
      <c r="B1074" s="576"/>
      <c r="C1074" s="271" t="s">
        <v>3301</v>
      </c>
      <c r="D1074" s="361" t="s">
        <v>3302</v>
      </c>
      <c r="E1074" s="67">
        <v>2</v>
      </c>
      <c r="F1074" s="9" t="s">
        <v>1683</v>
      </c>
      <c r="G1074" s="111" t="s">
        <v>1684</v>
      </c>
      <c r="H1074" s="112">
        <v>2</v>
      </c>
      <c r="I1074" s="28" t="s">
        <v>1685</v>
      </c>
      <c r="K1074" s="2" t="s">
        <v>242</v>
      </c>
      <c r="L1074" s="1" t="str">
        <f t="shared" si="17"/>
        <v>對</v>
      </c>
      <c r="M1074" s="1" t="str">
        <f t="shared" si="17"/>
        <v>對</v>
      </c>
      <c r="N1074" s="1" t="str">
        <f t="shared" si="17"/>
        <v>對</v>
      </c>
    </row>
    <row r="1075" spans="1:14" ht="39">
      <c r="A1075" s="573"/>
      <c r="B1075" s="576"/>
      <c r="C1075" s="271" t="s">
        <v>1686</v>
      </c>
      <c r="D1075" s="361" t="s">
        <v>3303</v>
      </c>
      <c r="E1075" s="67">
        <v>1</v>
      </c>
      <c r="F1075" s="9" t="s">
        <v>1686</v>
      </c>
      <c r="G1075" s="111" t="s">
        <v>1687</v>
      </c>
      <c r="H1075" s="112">
        <v>1</v>
      </c>
      <c r="I1075" s="28" t="s">
        <v>1688</v>
      </c>
      <c r="K1075" s="2" t="s">
        <v>242</v>
      </c>
      <c r="L1075" s="1" t="str">
        <f t="shared" si="17"/>
        <v>對</v>
      </c>
      <c r="M1075" s="1" t="str">
        <f t="shared" si="17"/>
        <v>對</v>
      </c>
      <c r="N1075" s="1" t="str">
        <f t="shared" si="17"/>
        <v>對</v>
      </c>
    </row>
    <row r="1076" spans="1:14" ht="39">
      <c r="A1076" s="573"/>
      <c r="B1076" s="576"/>
      <c r="C1076" s="271" t="s">
        <v>1689</v>
      </c>
      <c r="D1076" s="361" t="s">
        <v>3304</v>
      </c>
      <c r="E1076" s="67">
        <v>1</v>
      </c>
      <c r="F1076" s="9" t="s">
        <v>1689</v>
      </c>
      <c r="G1076" s="111" t="s">
        <v>1690</v>
      </c>
      <c r="H1076" s="112">
        <v>1</v>
      </c>
      <c r="I1076" s="28" t="s">
        <v>1691</v>
      </c>
      <c r="K1076" s="2" t="s">
        <v>242</v>
      </c>
      <c r="L1076" s="1" t="str">
        <f t="shared" si="17"/>
        <v>對</v>
      </c>
      <c r="M1076" s="1" t="str">
        <f t="shared" si="17"/>
        <v>對</v>
      </c>
      <c r="N1076" s="1" t="str">
        <f t="shared" si="17"/>
        <v>對</v>
      </c>
    </row>
    <row r="1077" spans="1:14" ht="39">
      <c r="A1077" s="573"/>
      <c r="B1077" s="576"/>
      <c r="C1077" s="271" t="s">
        <v>1692</v>
      </c>
      <c r="D1077" s="361" t="s">
        <v>3305</v>
      </c>
      <c r="E1077" s="67">
        <v>1</v>
      </c>
      <c r="F1077" s="9" t="s">
        <v>1692</v>
      </c>
      <c r="G1077" s="111" t="s">
        <v>1693</v>
      </c>
      <c r="H1077" s="112">
        <v>1</v>
      </c>
      <c r="I1077" s="28" t="s">
        <v>1691</v>
      </c>
      <c r="K1077" s="2" t="s">
        <v>242</v>
      </c>
      <c r="L1077" s="1" t="str">
        <f t="shared" si="17"/>
        <v>對</v>
      </c>
      <c r="M1077" s="1" t="str">
        <f t="shared" si="17"/>
        <v>對</v>
      </c>
      <c r="N1077" s="1" t="str">
        <f t="shared" si="17"/>
        <v>對</v>
      </c>
    </row>
    <row r="1078" spans="1:14" ht="39">
      <c r="A1078" s="573"/>
      <c r="B1078" s="576"/>
      <c r="C1078" s="271" t="s">
        <v>1694</v>
      </c>
      <c r="D1078" s="361" t="s">
        <v>3306</v>
      </c>
      <c r="E1078" s="67">
        <v>1</v>
      </c>
      <c r="F1078" s="9" t="s">
        <v>1694</v>
      </c>
      <c r="G1078" s="114" t="s">
        <v>1695</v>
      </c>
      <c r="H1078" s="112">
        <v>1</v>
      </c>
      <c r="I1078" s="28" t="s">
        <v>1691</v>
      </c>
      <c r="K1078" s="2" t="s">
        <v>242</v>
      </c>
      <c r="L1078" s="1" t="str">
        <f t="shared" si="17"/>
        <v>對</v>
      </c>
      <c r="M1078" s="1" t="str">
        <f t="shared" si="17"/>
        <v>對</v>
      </c>
      <c r="N1078" s="1" t="str">
        <f t="shared" si="17"/>
        <v>對</v>
      </c>
    </row>
    <row r="1079" spans="1:14" ht="39">
      <c r="A1079" s="573"/>
      <c r="B1079" s="576"/>
      <c r="C1079" s="271" t="s">
        <v>1696</v>
      </c>
      <c r="D1079" s="364" t="s">
        <v>3307</v>
      </c>
      <c r="E1079" s="67">
        <v>2</v>
      </c>
      <c r="F1079" s="9" t="s">
        <v>1696</v>
      </c>
      <c r="G1079" s="111" t="s">
        <v>1697</v>
      </c>
      <c r="H1079" s="112">
        <v>2</v>
      </c>
      <c r="I1079" s="28" t="s">
        <v>1698</v>
      </c>
      <c r="K1079" s="2" t="s">
        <v>242</v>
      </c>
      <c r="L1079" s="1" t="str">
        <f t="shared" si="17"/>
        <v>對</v>
      </c>
      <c r="M1079" s="1" t="str">
        <f t="shared" si="17"/>
        <v>對</v>
      </c>
      <c r="N1079" s="1" t="str">
        <f t="shared" si="17"/>
        <v>對</v>
      </c>
    </row>
    <row r="1080" spans="1:14" ht="19.5">
      <c r="A1080" s="573"/>
      <c r="B1080" s="576"/>
      <c r="C1080" s="271" t="s">
        <v>1699</v>
      </c>
      <c r="D1080" s="400" t="s">
        <v>3308</v>
      </c>
      <c r="E1080" s="16">
        <v>1</v>
      </c>
      <c r="F1080" s="9" t="s">
        <v>1699</v>
      </c>
      <c r="G1080" s="111" t="s">
        <v>1700</v>
      </c>
      <c r="H1080" s="112">
        <v>1</v>
      </c>
      <c r="I1080" s="28" t="s">
        <v>1602</v>
      </c>
      <c r="K1080" s="2" t="s">
        <v>242</v>
      </c>
      <c r="L1080" s="1" t="str">
        <f t="shared" si="17"/>
        <v>對</v>
      </c>
      <c r="M1080" s="1" t="str">
        <f t="shared" si="17"/>
        <v>對</v>
      </c>
      <c r="N1080" s="1" t="str">
        <f t="shared" si="17"/>
        <v>對</v>
      </c>
    </row>
    <row r="1081" spans="1:14" ht="39">
      <c r="A1081" s="573"/>
      <c r="B1081" s="576"/>
      <c r="C1081" s="271" t="s">
        <v>1701</v>
      </c>
      <c r="D1081" s="450" t="s">
        <v>3309</v>
      </c>
      <c r="E1081" s="16">
        <v>2</v>
      </c>
      <c r="F1081" s="9" t="s">
        <v>1701</v>
      </c>
      <c r="G1081" s="111" t="s">
        <v>1702</v>
      </c>
      <c r="H1081" s="112">
        <v>2</v>
      </c>
      <c r="I1081" s="28" t="s">
        <v>1703</v>
      </c>
      <c r="K1081" s="2" t="s">
        <v>242</v>
      </c>
      <c r="L1081" s="1" t="str">
        <f t="shared" si="17"/>
        <v>對</v>
      </c>
      <c r="M1081" s="1" t="str">
        <f t="shared" si="17"/>
        <v>對</v>
      </c>
      <c r="N1081" s="1" t="str">
        <f t="shared" si="17"/>
        <v>對</v>
      </c>
    </row>
    <row r="1082" spans="1:14" ht="39">
      <c r="A1082" s="573"/>
      <c r="B1082" s="576"/>
      <c r="C1082" s="271" t="s">
        <v>1704</v>
      </c>
      <c r="D1082" s="396" t="s">
        <v>3310</v>
      </c>
      <c r="E1082" s="16">
        <v>1</v>
      </c>
      <c r="F1082" s="9" t="s">
        <v>1704</v>
      </c>
      <c r="G1082" s="115" t="s">
        <v>1705</v>
      </c>
      <c r="H1082" s="75">
        <v>1</v>
      </c>
      <c r="I1082" s="305" t="s">
        <v>1691</v>
      </c>
      <c r="K1082" s="2" t="s">
        <v>242</v>
      </c>
      <c r="L1082" s="1" t="str">
        <f t="shared" si="17"/>
        <v>對</v>
      </c>
      <c r="M1082" s="1" t="str">
        <f t="shared" si="17"/>
        <v>對</v>
      </c>
      <c r="N1082" s="1" t="str">
        <f t="shared" si="17"/>
        <v>對</v>
      </c>
    </row>
    <row r="1083" spans="1:14">
      <c r="A1083" s="573"/>
      <c r="B1083" s="584" t="s">
        <v>1706</v>
      </c>
      <c r="C1083" s="71" t="s">
        <v>1707</v>
      </c>
      <c r="D1083" s="359" t="s">
        <v>2751</v>
      </c>
      <c r="E1083" s="41">
        <v>1</v>
      </c>
      <c r="F1083" s="42"/>
      <c r="G1083" s="95"/>
      <c r="H1083" s="225"/>
      <c r="I1083" s="98"/>
      <c r="L1083" s="1" t="str">
        <f t="shared" si="17"/>
        <v>空白</v>
      </c>
      <c r="M1083" s="1" t="str">
        <f t="shared" si="17"/>
        <v>空白</v>
      </c>
      <c r="N1083" s="1" t="str">
        <f t="shared" si="17"/>
        <v>空白</v>
      </c>
    </row>
    <row r="1084" spans="1:14">
      <c r="A1084" s="573"/>
      <c r="B1084" s="585"/>
      <c r="C1084" s="25" t="s">
        <v>1708</v>
      </c>
      <c r="D1084" s="360" t="s">
        <v>2173</v>
      </c>
      <c r="E1084" s="16">
        <v>1</v>
      </c>
      <c r="F1084" s="9"/>
      <c r="G1084" s="26"/>
      <c r="H1084" s="156"/>
      <c r="I1084" s="28"/>
      <c r="L1084" s="1" t="str">
        <f t="shared" si="17"/>
        <v>空白</v>
      </c>
      <c r="M1084" s="1" t="str">
        <f t="shared" si="17"/>
        <v>空白</v>
      </c>
      <c r="N1084" s="1" t="str">
        <f t="shared" si="17"/>
        <v>空白</v>
      </c>
    </row>
    <row r="1085" spans="1:14" ht="39">
      <c r="A1085" s="573"/>
      <c r="B1085" s="585"/>
      <c r="C1085" s="25" t="s">
        <v>1709</v>
      </c>
      <c r="D1085" s="360" t="s">
        <v>2752</v>
      </c>
      <c r="E1085" s="16">
        <v>2</v>
      </c>
      <c r="F1085" s="9"/>
      <c r="G1085" s="26" t="s">
        <v>1710</v>
      </c>
      <c r="H1085" s="112">
        <v>2</v>
      </c>
      <c r="I1085" s="272" t="s">
        <v>1711</v>
      </c>
      <c r="K1085" s="2" t="s">
        <v>15</v>
      </c>
      <c r="L1085" s="1" t="str">
        <f t="shared" si="17"/>
        <v>空白</v>
      </c>
      <c r="M1085" s="1" t="str">
        <f t="shared" si="17"/>
        <v>對</v>
      </c>
      <c r="N1085" s="1" t="str">
        <f t="shared" si="17"/>
        <v>對</v>
      </c>
    </row>
    <row r="1086" spans="1:14">
      <c r="A1086" s="573"/>
      <c r="B1086" s="585"/>
      <c r="C1086" s="25" t="s">
        <v>1712</v>
      </c>
      <c r="D1086" s="360" t="s">
        <v>2753</v>
      </c>
      <c r="E1086" s="16">
        <v>1</v>
      </c>
      <c r="F1086" s="9"/>
      <c r="G1086" s="26"/>
      <c r="H1086" s="156"/>
      <c r="I1086" s="28"/>
      <c r="L1086" s="1" t="str">
        <f t="shared" si="17"/>
        <v>空白</v>
      </c>
      <c r="M1086" s="1" t="str">
        <f t="shared" si="17"/>
        <v>空白</v>
      </c>
      <c r="N1086" s="1" t="str">
        <f t="shared" si="17"/>
        <v>空白</v>
      </c>
    </row>
    <row r="1087" spans="1:14">
      <c r="A1087" s="573"/>
      <c r="B1087" s="585"/>
      <c r="C1087" s="25" t="s">
        <v>1713</v>
      </c>
      <c r="D1087" s="360" t="s">
        <v>2754</v>
      </c>
      <c r="E1087" s="16">
        <v>2</v>
      </c>
      <c r="F1087" s="9"/>
      <c r="G1087" s="26"/>
      <c r="H1087" s="156"/>
      <c r="I1087" s="28"/>
      <c r="L1087" s="1" t="str">
        <f t="shared" si="17"/>
        <v>空白</v>
      </c>
      <c r="M1087" s="1" t="str">
        <f t="shared" si="17"/>
        <v>空白</v>
      </c>
      <c r="N1087" s="1" t="str">
        <f t="shared" si="17"/>
        <v>空白</v>
      </c>
    </row>
    <row r="1088" spans="1:14">
      <c r="A1088" s="573"/>
      <c r="B1088" s="585"/>
      <c r="C1088" s="25" t="s">
        <v>1714</v>
      </c>
      <c r="D1088" s="360" t="s">
        <v>2755</v>
      </c>
      <c r="E1088" s="16">
        <v>2</v>
      </c>
      <c r="F1088" s="9"/>
      <c r="G1088" s="26"/>
      <c r="H1088" s="156"/>
      <c r="I1088" s="28"/>
      <c r="L1088" s="1" t="str">
        <f t="shared" si="17"/>
        <v>空白</v>
      </c>
      <c r="M1088" s="1" t="str">
        <f t="shared" si="17"/>
        <v>空白</v>
      </c>
      <c r="N1088" s="1" t="str">
        <f t="shared" si="17"/>
        <v>空白</v>
      </c>
    </row>
    <row r="1089" spans="1:14">
      <c r="A1089" s="573"/>
      <c r="B1089" s="585"/>
      <c r="C1089" s="25" t="s">
        <v>1715</v>
      </c>
      <c r="D1089" s="360" t="s">
        <v>2756</v>
      </c>
      <c r="E1089" s="16">
        <v>2</v>
      </c>
      <c r="F1089" s="9"/>
      <c r="G1089" s="26"/>
      <c r="H1089" s="156"/>
      <c r="I1089" s="28"/>
      <c r="L1089" s="1" t="str">
        <f t="shared" si="17"/>
        <v>空白</v>
      </c>
      <c r="M1089" s="1" t="str">
        <f t="shared" si="17"/>
        <v>空白</v>
      </c>
      <c r="N1089" s="1" t="str">
        <f t="shared" si="17"/>
        <v>空白</v>
      </c>
    </row>
    <row r="1090" spans="1:14">
      <c r="A1090" s="573"/>
      <c r="B1090" s="585"/>
      <c r="C1090" s="25" t="s">
        <v>1716</v>
      </c>
      <c r="D1090" s="360" t="s">
        <v>2757</v>
      </c>
      <c r="E1090" s="16">
        <v>2</v>
      </c>
      <c r="F1090" s="9"/>
      <c r="G1090" s="26"/>
      <c r="H1090" s="156"/>
      <c r="I1090" s="28"/>
      <c r="L1090" s="1" t="str">
        <f t="shared" si="17"/>
        <v>空白</v>
      </c>
      <c r="M1090" s="1" t="str">
        <f t="shared" si="17"/>
        <v>空白</v>
      </c>
      <c r="N1090" s="1" t="str">
        <f t="shared" si="17"/>
        <v>空白</v>
      </c>
    </row>
    <row r="1091" spans="1:14">
      <c r="A1091" s="573"/>
      <c r="B1091" s="585"/>
      <c r="C1091" s="25" t="s">
        <v>1717</v>
      </c>
      <c r="D1091" s="360" t="s">
        <v>2758</v>
      </c>
      <c r="E1091" s="16">
        <v>3</v>
      </c>
      <c r="F1091" s="9"/>
      <c r="G1091" s="26"/>
      <c r="H1091" s="156"/>
      <c r="I1091" s="28"/>
      <c r="L1091" s="1" t="str">
        <f t="shared" si="17"/>
        <v>空白</v>
      </c>
      <c r="M1091" s="1" t="str">
        <f t="shared" si="17"/>
        <v>空白</v>
      </c>
      <c r="N1091" s="1" t="str">
        <f t="shared" si="17"/>
        <v>空白</v>
      </c>
    </row>
    <row r="1092" spans="1:14">
      <c r="A1092" s="573"/>
      <c r="B1092" s="585"/>
      <c r="C1092" s="25" t="s">
        <v>1718</v>
      </c>
      <c r="D1092" s="360" t="s">
        <v>2759</v>
      </c>
      <c r="E1092" s="16">
        <v>2</v>
      </c>
      <c r="F1092" s="9"/>
      <c r="G1092" s="26"/>
      <c r="H1092" s="156"/>
      <c r="I1092" s="28"/>
      <c r="L1092" s="1" t="str">
        <f t="shared" si="17"/>
        <v>空白</v>
      </c>
      <c r="M1092" s="1" t="str">
        <f t="shared" si="17"/>
        <v>空白</v>
      </c>
      <c r="N1092" s="1" t="str">
        <f t="shared" si="17"/>
        <v>空白</v>
      </c>
    </row>
    <row r="1093" spans="1:14">
      <c r="A1093" s="573"/>
      <c r="B1093" s="585"/>
      <c r="C1093" s="25" t="s">
        <v>1719</v>
      </c>
      <c r="D1093" s="360" t="s">
        <v>2760</v>
      </c>
      <c r="E1093" s="16">
        <v>3</v>
      </c>
      <c r="F1093" s="9"/>
      <c r="G1093" s="26"/>
      <c r="H1093" s="32"/>
      <c r="I1093" s="28"/>
      <c r="L1093" s="1" t="str">
        <f t="shared" si="17"/>
        <v>空白</v>
      </c>
      <c r="M1093" s="1" t="str">
        <f t="shared" si="17"/>
        <v>空白</v>
      </c>
      <c r="N1093" s="1" t="str">
        <f t="shared" si="17"/>
        <v>空白</v>
      </c>
    </row>
    <row r="1094" spans="1:14">
      <c r="A1094" s="573"/>
      <c r="B1094" s="591"/>
      <c r="C1094" s="51" t="s">
        <v>1720</v>
      </c>
      <c r="D1094" s="321" t="s">
        <v>2761</v>
      </c>
      <c r="E1094" s="52">
        <v>2</v>
      </c>
      <c r="F1094" s="58"/>
      <c r="G1094" s="18"/>
      <c r="H1094" s="222"/>
      <c r="I1094" s="55"/>
      <c r="L1094" s="1" t="str">
        <f t="shared" ref="L1094:N1157" si="18">IF(ISBLANK(F1094),"空白",IF(F1094=C1094,"對","錯"))</f>
        <v>空白</v>
      </c>
      <c r="M1094" s="1" t="str">
        <f t="shared" si="18"/>
        <v>空白</v>
      </c>
      <c r="N1094" s="1" t="str">
        <f t="shared" si="18"/>
        <v>空白</v>
      </c>
    </row>
    <row r="1095" spans="1:14" ht="58.5">
      <c r="A1095" s="573"/>
      <c r="B1095" s="577" t="s">
        <v>3317</v>
      </c>
      <c r="C1095" s="25" t="s">
        <v>3311</v>
      </c>
      <c r="D1095" s="352" t="s">
        <v>3312</v>
      </c>
      <c r="E1095" s="144">
        <v>1</v>
      </c>
      <c r="F1095" s="23" t="s">
        <v>1721</v>
      </c>
      <c r="G1095" s="138" t="s">
        <v>1722</v>
      </c>
      <c r="H1095" s="231">
        <v>1</v>
      </c>
      <c r="I1095" s="633" t="s">
        <v>1723</v>
      </c>
      <c r="K1095" s="2" t="s">
        <v>242</v>
      </c>
      <c r="L1095" s="1" t="str">
        <f t="shared" si="18"/>
        <v>對</v>
      </c>
      <c r="M1095" s="1" t="str">
        <f t="shared" si="18"/>
        <v>對</v>
      </c>
      <c r="N1095" s="1" t="str">
        <f t="shared" si="18"/>
        <v>對</v>
      </c>
    </row>
    <row r="1096" spans="1:14" ht="39">
      <c r="A1096" s="573"/>
      <c r="B1096" s="578"/>
      <c r="C1096" s="25" t="s">
        <v>3313</v>
      </c>
      <c r="D1096" s="361" t="s">
        <v>3314</v>
      </c>
      <c r="E1096" s="67">
        <v>1</v>
      </c>
      <c r="F1096" s="23" t="s">
        <v>1724</v>
      </c>
      <c r="G1096" s="111" t="s">
        <v>1725</v>
      </c>
      <c r="H1096" s="112">
        <v>1</v>
      </c>
      <c r="I1096" s="624"/>
      <c r="K1096" s="2" t="s">
        <v>242</v>
      </c>
      <c r="L1096" s="1" t="str">
        <f t="shared" si="18"/>
        <v>對</v>
      </c>
      <c r="M1096" s="1" t="str">
        <f t="shared" si="18"/>
        <v>對</v>
      </c>
      <c r="N1096" s="1" t="str">
        <f t="shared" si="18"/>
        <v>對</v>
      </c>
    </row>
    <row r="1097" spans="1:14" ht="19.5">
      <c r="A1097" s="573"/>
      <c r="B1097" s="578"/>
      <c r="C1097" s="25" t="s">
        <v>3315</v>
      </c>
      <c r="D1097" s="352" t="s">
        <v>2939</v>
      </c>
      <c r="E1097" s="16">
        <v>1</v>
      </c>
      <c r="F1097" s="23" t="s">
        <v>1726</v>
      </c>
      <c r="G1097" s="111" t="s">
        <v>532</v>
      </c>
      <c r="H1097" s="112">
        <v>1</v>
      </c>
      <c r="I1097" s="624"/>
      <c r="K1097" s="2" t="s">
        <v>242</v>
      </c>
      <c r="L1097" s="1" t="str">
        <f t="shared" si="18"/>
        <v>對</v>
      </c>
      <c r="M1097" s="1" t="str">
        <f t="shared" si="18"/>
        <v>對</v>
      </c>
      <c r="N1097" s="1" t="str">
        <f t="shared" si="18"/>
        <v>對</v>
      </c>
    </row>
    <row r="1098" spans="1:14" ht="20.25" thickBot="1">
      <c r="A1098" s="574"/>
      <c r="B1098" s="589"/>
      <c r="C1098" s="25" t="s">
        <v>3316</v>
      </c>
      <c r="D1098" s="423" t="s">
        <v>2955</v>
      </c>
      <c r="E1098" s="139">
        <v>2</v>
      </c>
      <c r="F1098" s="273" t="s">
        <v>1727</v>
      </c>
      <c r="G1098" s="37" t="s">
        <v>583</v>
      </c>
      <c r="H1098" s="121">
        <v>2</v>
      </c>
      <c r="I1098" s="623"/>
      <c r="K1098" s="2" t="s">
        <v>242</v>
      </c>
      <c r="L1098" s="1" t="str">
        <f t="shared" si="18"/>
        <v>對</v>
      </c>
      <c r="M1098" s="1" t="str">
        <f t="shared" si="18"/>
        <v>對</v>
      </c>
      <c r="N1098" s="1" t="str">
        <f t="shared" si="18"/>
        <v>對</v>
      </c>
    </row>
    <row r="1099" spans="1:14" ht="19.5" thickTop="1">
      <c r="A1099" s="572" t="s">
        <v>1728</v>
      </c>
      <c r="B1099" s="575" t="s">
        <v>1729</v>
      </c>
      <c r="C1099" s="7" t="s">
        <v>1730</v>
      </c>
      <c r="D1099" s="311" t="s">
        <v>2762</v>
      </c>
      <c r="E1099" s="48">
        <v>1</v>
      </c>
      <c r="F1099" s="274"/>
      <c r="G1099" s="24"/>
      <c r="H1099" s="57"/>
      <c r="I1099" s="304"/>
      <c r="L1099" s="1" t="str">
        <f t="shared" si="18"/>
        <v>空白</v>
      </c>
      <c r="M1099" s="1" t="str">
        <f t="shared" si="18"/>
        <v>空白</v>
      </c>
      <c r="N1099" s="1" t="str">
        <f t="shared" si="18"/>
        <v>空白</v>
      </c>
    </row>
    <row r="1100" spans="1:14">
      <c r="A1100" s="573"/>
      <c r="B1100" s="576"/>
      <c r="C1100" s="25" t="s">
        <v>1731</v>
      </c>
      <c r="D1100" s="310" t="s">
        <v>2763</v>
      </c>
      <c r="E1100" s="16">
        <v>2</v>
      </c>
      <c r="F1100" s="9"/>
      <c r="G1100" s="26"/>
      <c r="H1100" s="27"/>
      <c r="I1100" s="28"/>
      <c r="L1100" s="1" t="str">
        <f t="shared" si="18"/>
        <v>空白</v>
      </c>
      <c r="M1100" s="1" t="str">
        <f t="shared" si="18"/>
        <v>空白</v>
      </c>
      <c r="N1100" s="1" t="str">
        <f t="shared" si="18"/>
        <v>空白</v>
      </c>
    </row>
    <row r="1101" spans="1:14">
      <c r="A1101" s="573"/>
      <c r="B1101" s="576"/>
      <c r="C1101" s="25" t="s">
        <v>1732</v>
      </c>
      <c r="D1101" s="310" t="s">
        <v>2764</v>
      </c>
      <c r="E1101" s="16">
        <v>1</v>
      </c>
      <c r="F1101" s="9"/>
      <c r="G1101" s="26"/>
      <c r="H1101" s="27"/>
      <c r="I1101" s="28"/>
      <c r="L1101" s="1" t="str">
        <f t="shared" si="18"/>
        <v>空白</v>
      </c>
      <c r="M1101" s="1" t="str">
        <f t="shared" si="18"/>
        <v>空白</v>
      </c>
      <c r="N1101" s="1" t="str">
        <f t="shared" si="18"/>
        <v>空白</v>
      </c>
    </row>
    <row r="1102" spans="1:14">
      <c r="A1102" s="573"/>
      <c r="B1102" s="576"/>
      <c r="C1102" s="25" t="s">
        <v>1733</v>
      </c>
      <c r="D1102" s="310" t="s">
        <v>2765</v>
      </c>
      <c r="E1102" s="16">
        <v>1</v>
      </c>
      <c r="F1102" s="9"/>
      <c r="G1102" s="26"/>
      <c r="H1102" s="27"/>
      <c r="I1102" s="28"/>
      <c r="L1102" s="1" t="str">
        <f t="shared" si="18"/>
        <v>空白</v>
      </c>
      <c r="M1102" s="1" t="str">
        <f t="shared" si="18"/>
        <v>空白</v>
      </c>
      <c r="N1102" s="1" t="str">
        <f t="shared" si="18"/>
        <v>空白</v>
      </c>
    </row>
    <row r="1103" spans="1:14">
      <c r="A1103" s="573"/>
      <c r="B1103" s="576"/>
      <c r="C1103" s="34" t="s">
        <v>1734</v>
      </c>
      <c r="D1103" s="341" t="s">
        <v>2766</v>
      </c>
      <c r="E1103" s="16">
        <v>1</v>
      </c>
      <c r="F1103" s="9"/>
      <c r="G1103" s="26"/>
      <c r="H1103" s="27"/>
      <c r="I1103" s="28"/>
      <c r="L1103" s="1" t="str">
        <f t="shared" si="18"/>
        <v>空白</v>
      </c>
      <c r="M1103" s="1" t="str">
        <f t="shared" si="18"/>
        <v>空白</v>
      </c>
      <c r="N1103" s="1" t="str">
        <f t="shared" si="18"/>
        <v>空白</v>
      </c>
    </row>
    <row r="1104" spans="1:14" ht="39.75" thickBot="1">
      <c r="A1104" s="574"/>
      <c r="B1104" s="582"/>
      <c r="C1104" s="149" t="s">
        <v>3318</v>
      </c>
      <c r="D1104" s="424" t="s">
        <v>3319</v>
      </c>
      <c r="E1104" s="382">
        <v>1</v>
      </c>
      <c r="F1104" s="36" t="s">
        <v>1735</v>
      </c>
      <c r="G1104" s="131" t="s">
        <v>1736</v>
      </c>
      <c r="H1104" s="121">
        <v>1</v>
      </c>
      <c r="I1104" s="65" t="s">
        <v>1737</v>
      </c>
      <c r="K1104" s="2" t="s">
        <v>242</v>
      </c>
      <c r="L1104" s="1" t="str">
        <f t="shared" si="18"/>
        <v>對</v>
      </c>
      <c r="M1104" s="1" t="str">
        <f t="shared" si="18"/>
        <v>對</v>
      </c>
      <c r="N1104" s="1" t="str">
        <f t="shared" si="18"/>
        <v>對</v>
      </c>
    </row>
    <row r="1105" spans="1:14" ht="19.5" thickTop="1">
      <c r="A1105" s="572" t="s">
        <v>1738</v>
      </c>
      <c r="B1105" s="590" t="s">
        <v>1739</v>
      </c>
      <c r="C1105" s="7" t="s">
        <v>1740</v>
      </c>
      <c r="D1105" s="313" t="s">
        <v>2767</v>
      </c>
      <c r="E1105" s="275">
        <v>1</v>
      </c>
      <c r="F1105" s="79"/>
      <c r="G1105" s="10"/>
      <c r="H1105" s="43"/>
      <c r="I1105" s="304"/>
      <c r="L1105" s="1" t="str">
        <f t="shared" si="18"/>
        <v>空白</v>
      </c>
      <c r="M1105" s="1" t="str">
        <f t="shared" si="18"/>
        <v>空白</v>
      </c>
      <c r="N1105" s="1" t="str">
        <f t="shared" si="18"/>
        <v>空白</v>
      </c>
    </row>
    <row r="1106" spans="1:14" ht="39">
      <c r="A1106" s="573"/>
      <c r="B1106" s="585"/>
      <c r="C1106" s="132" t="s">
        <v>1741</v>
      </c>
      <c r="D1106" s="314" t="s">
        <v>3320</v>
      </c>
      <c r="E1106" s="83">
        <v>3</v>
      </c>
      <c r="F1106" s="30"/>
      <c r="G1106" s="26" t="s">
        <v>1742</v>
      </c>
      <c r="H1106" s="32">
        <v>3</v>
      </c>
      <c r="I1106" s="28" t="s">
        <v>1298</v>
      </c>
      <c r="K1106" s="2" t="s">
        <v>35</v>
      </c>
      <c r="L1106" s="1" t="str">
        <f t="shared" si="18"/>
        <v>空白</v>
      </c>
      <c r="M1106" s="1" t="str">
        <f t="shared" si="18"/>
        <v>對</v>
      </c>
      <c r="N1106" s="1" t="str">
        <f t="shared" si="18"/>
        <v>對</v>
      </c>
    </row>
    <row r="1107" spans="1:14">
      <c r="A1107" s="573"/>
      <c r="B1107" s="585"/>
      <c r="C1107" s="25" t="s">
        <v>1743</v>
      </c>
      <c r="D1107" s="310" t="s">
        <v>2768</v>
      </c>
      <c r="E1107" s="29">
        <v>3</v>
      </c>
      <c r="F1107" s="30"/>
      <c r="G1107" s="26"/>
      <c r="H1107" s="156"/>
      <c r="I1107" s="28"/>
      <c r="L1107" s="1" t="str">
        <f t="shared" si="18"/>
        <v>空白</v>
      </c>
      <c r="M1107" s="1" t="str">
        <f t="shared" si="18"/>
        <v>空白</v>
      </c>
      <c r="N1107" s="1" t="str">
        <f t="shared" si="18"/>
        <v>空白</v>
      </c>
    </row>
    <row r="1108" spans="1:14">
      <c r="A1108" s="573"/>
      <c r="B1108" s="585"/>
      <c r="C1108" s="25" t="s">
        <v>1744</v>
      </c>
      <c r="D1108" s="308" t="s">
        <v>2769</v>
      </c>
      <c r="E1108" s="166">
        <v>4</v>
      </c>
      <c r="F1108" s="167"/>
      <c r="G1108" s="26"/>
      <c r="H1108" s="27"/>
      <c r="I1108" s="28"/>
      <c r="L1108" s="1" t="str">
        <f t="shared" si="18"/>
        <v>空白</v>
      </c>
      <c r="M1108" s="1" t="str">
        <f t="shared" si="18"/>
        <v>空白</v>
      </c>
      <c r="N1108" s="1" t="str">
        <f t="shared" si="18"/>
        <v>空白</v>
      </c>
    </row>
    <row r="1109" spans="1:14">
      <c r="A1109" s="573"/>
      <c r="B1109" s="585"/>
      <c r="C1109" s="25" t="s">
        <v>1745</v>
      </c>
      <c r="D1109" s="310" t="s">
        <v>2770</v>
      </c>
      <c r="E1109" s="83">
        <v>5</v>
      </c>
      <c r="F1109" s="30"/>
      <c r="G1109" s="26"/>
      <c r="H1109" s="27"/>
      <c r="I1109" s="28"/>
      <c r="L1109" s="1" t="str">
        <f t="shared" si="18"/>
        <v>空白</v>
      </c>
      <c r="M1109" s="1" t="str">
        <f t="shared" si="18"/>
        <v>空白</v>
      </c>
      <c r="N1109" s="1" t="str">
        <f t="shared" si="18"/>
        <v>空白</v>
      </c>
    </row>
    <row r="1110" spans="1:14">
      <c r="A1110" s="573"/>
      <c r="B1110" s="585"/>
      <c r="C1110" s="25" t="s">
        <v>1746</v>
      </c>
      <c r="D1110" s="310" t="s">
        <v>2771</v>
      </c>
      <c r="E1110" s="83">
        <v>6</v>
      </c>
      <c r="F1110" s="30"/>
      <c r="G1110" s="26"/>
      <c r="H1110" s="27"/>
      <c r="I1110" s="28"/>
      <c r="L1110" s="1" t="str">
        <f t="shared" si="18"/>
        <v>空白</v>
      </c>
      <c r="M1110" s="1" t="str">
        <f t="shared" si="18"/>
        <v>空白</v>
      </c>
      <c r="N1110" s="1" t="str">
        <f t="shared" si="18"/>
        <v>空白</v>
      </c>
    </row>
    <row r="1111" spans="1:14">
      <c r="A1111" s="573"/>
      <c r="B1111" s="585"/>
      <c r="C1111" s="25" t="s">
        <v>1747</v>
      </c>
      <c r="D1111" s="310" t="s">
        <v>2772</v>
      </c>
      <c r="E1111" s="83" t="s">
        <v>1748</v>
      </c>
      <c r="F1111" s="30"/>
      <c r="G1111" s="26"/>
      <c r="H1111" s="27"/>
      <c r="I1111" s="28"/>
      <c r="L1111" s="1" t="str">
        <f t="shared" si="18"/>
        <v>空白</v>
      </c>
      <c r="M1111" s="1" t="str">
        <f t="shared" si="18"/>
        <v>空白</v>
      </c>
      <c r="N1111" s="1" t="str">
        <f t="shared" si="18"/>
        <v>空白</v>
      </c>
    </row>
    <row r="1112" spans="1:14">
      <c r="A1112" s="573"/>
      <c r="B1112" s="585"/>
      <c r="C1112" s="25" t="s">
        <v>1749</v>
      </c>
      <c r="D1112" s="310" t="s">
        <v>2773</v>
      </c>
      <c r="E1112" s="29">
        <v>3</v>
      </c>
      <c r="F1112" s="30"/>
      <c r="G1112" s="26"/>
      <c r="H1112" s="27"/>
      <c r="I1112" s="28"/>
      <c r="L1112" s="1" t="str">
        <f t="shared" si="18"/>
        <v>空白</v>
      </c>
      <c r="M1112" s="1" t="str">
        <f t="shared" si="18"/>
        <v>空白</v>
      </c>
      <c r="N1112" s="1" t="str">
        <f t="shared" si="18"/>
        <v>空白</v>
      </c>
    </row>
    <row r="1113" spans="1:14">
      <c r="A1113" s="573"/>
      <c r="B1113" s="585"/>
      <c r="C1113" s="25" t="s">
        <v>1750</v>
      </c>
      <c r="D1113" s="310" t="s">
        <v>2774</v>
      </c>
      <c r="E1113" s="16">
        <v>2</v>
      </c>
      <c r="F1113" s="9"/>
      <c r="G1113" s="26"/>
      <c r="H1113" s="156"/>
      <c r="I1113" s="28"/>
      <c r="L1113" s="1" t="str">
        <f t="shared" si="18"/>
        <v>空白</v>
      </c>
      <c r="M1113" s="1" t="str">
        <f t="shared" si="18"/>
        <v>空白</v>
      </c>
      <c r="N1113" s="1" t="str">
        <f t="shared" si="18"/>
        <v>空白</v>
      </c>
    </row>
    <row r="1114" spans="1:14">
      <c r="A1114" s="573"/>
      <c r="B1114" s="585"/>
      <c r="C1114" s="25" t="s">
        <v>1751</v>
      </c>
      <c r="D1114" s="310" t="s">
        <v>2775</v>
      </c>
      <c r="E1114" s="16">
        <v>2</v>
      </c>
      <c r="F1114" s="9"/>
      <c r="G1114" s="26"/>
      <c r="H1114" s="156"/>
      <c r="I1114" s="28"/>
      <c r="L1114" s="1" t="str">
        <f t="shared" si="18"/>
        <v>空白</v>
      </c>
      <c r="M1114" s="1" t="str">
        <f t="shared" si="18"/>
        <v>空白</v>
      </c>
      <c r="N1114" s="1" t="str">
        <f t="shared" si="18"/>
        <v>空白</v>
      </c>
    </row>
    <row r="1115" spans="1:14" ht="19.5">
      <c r="A1115" s="573"/>
      <c r="B1115" s="585"/>
      <c r="C1115" s="25" t="s">
        <v>1752</v>
      </c>
      <c r="D1115" s="310" t="s">
        <v>2776</v>
      </c>
      <c r="E1115" s="16" t="s">
        <v>1753</v>
      </c>
      <c r="F1115" s="9"/>
      <c r="G1115" s="26"/>
      <c r="H1115" s="156"/>
      <c r="I1115" s="28"/>
      <c r="L1115" s="1" t="str">
        <f t="shared" si="18"/>
        <v>空白</v>
      </c>
      <c r="M1115" s="1" t="str">
        <f t="shared" si="18"/>
        <v>空白</v>
      </c>
      <c r="N1115" s="1" t="str">
        <f t="shared" si="18"/>
        <v>空白</v>
      </c>
    </row>
    <row r="1116" spans="1:14">
      <c r="A1116" s="573"/>
      <c r="B1116" s="585"/>
      <c r="C1116" s="25" t="s">
        <v>1754</v>
      </c>
      <c r="D1116" s="310" t="s">
        <v>2777</v>
      </c>
      <c r="E1116" s="16">
        <v>6</v>
      </c>
      <c r="F1116" s="9"/>
      <c r="G1116" s="26"/>
      <c r="H1116" s="156"/>
      <c r="I1116" s="28"/>
      <c r="L1116" s="1" t="str">
        <f t="shared" si="18"/>
        <v>空白</v>
      </c>
      <c r="M1116" s="1" t="str">
        <f t="shared" si="18"/>
        <v>空白</v>
      </c>
      <c r="N1116" s="1" t="str">
        <f t="shared" si="18"/>
        <v>空白</v>
      </c>
    </row>
    <row r="1117" spans="1:14">
      <c r="A1117" s="573"/>
      <c r="B1117" s="585"/>
      <c r="C1117" s="25" t="s">
        <v>1755</v>
      </c>
      <c r="D1117" s="308" t="s">
        <v>2778</v>
      </c>
      <c r="E1117" s="16">
        <v>3</v>
      </c>
      <c r="F1117" s="9"/>
      <c r="G1117" s="26"/>
      <c r="H1117" s="27"/>
      <c r="I1117" s="28"/>
      <c r="L1117" s="1" t="str">
        <f t="shared" si="18"/>
        <v>空白</v>
      </c>
      <c r="M1117" s="1" t="str">
        <f t="shared" si="18"/>
        <v>空白</v>
      </c>
      <c r="N1117" s="1" t="str">
        <f t="shared" si="18"/>
        <v>空白</v>
      </c>
    </row>
    <row r="1118" spans="1:14">
      <c r="A1118" s="573"/>
      <c r="B1118" s="585"/>
      <c r="C1118" s="25" t="s">
        <v>1756</v>
      </c>
      <c r="D1118" s="337" t="s">
        <v>2779</v>
      </c>
      <c r="E1118" s="16">
        <v>4</v>
      </c>
      <c r="F1118" s="9"/>
      <c r="G1118" s="26"/>
      <c r="H1118" s="156"/>
      <c r="I1118" s="28"/>
      <c r="L1118" s="1" t="str">
        <f t="shared" si="18"/>
        <v>空白</v>
      </c>
      <c r="M1118" s="1" t="str">
        <f t="shared" si="18"/>
        <v>空白</v>
      </c>
      <c r="N1118" s="1" t="str">
        <f t="shared" si="18"/>
        <v>空白</v>
      </c>
    </row>
    <row r="1119" spans="1:14">
      <c r="A1119" s="573"/>
      <c r="B1119" s="585"/>
      <c r="C1119" s="25" t="s">
        <v>1757</v>
      </c>
      <c r="D1119" s="337" t="s">
        <v>2780</v>
      </c>
      <c r="E1119" s="16">
        <v>2</v>
      </c>
      <c r="F1119" s="9"/>
      <c r="G1119" s="26"/>
      <c r="H1119" s="27"/>
      <c r="I1119" s="28"/>
      <c r="L1119" s="1" t="str">
        <f t="shared" si="18"/>
        <v>空白</v>
      </c>
      <c r="M1119" s="1" t="str">
        <f t="shared" si="18"/>
        <v>空白</v>
      </c>
      <c r="N1119" s="1" t="str">
        <f t="shared" si="18"/>
        <v>空白</v>
      </c>
    </row>
    <row r="1120" spans="1:14">
      <c r="A1120" s="573"/>
      <c r="B1120" s="585"/>
      <c r="C1120" s="25" t="s">
        <v>1758</v>
      </c>
      <c r="D1120" s="355" t="s">
        <v>2781</v>
      </c>
      <c r="E1120" s="16">
        <v>6</v>
      </c>
      <c r="F1120" s="9"/>
      <c r="G1120" s="26"/>
      <c r="H1120" s="27"/>
      <c r="I1120" s="28"/>
      <c r="L1120" s="1" t="str">
        <f t="shared" si="18"/>
        <v>空白</v>
      </c>
      <c r="M1120" s="1" t="str">
        <f t="shared" si="18"/>
        <v>空白</v>
      </c>
      <c r="N1120" s="1" t="str">
        <f t="shared" si="18"/>
        <v>空白</v>
      </c>
    </row>
    <row r="1121" spans="1:14">
      <c r="A1121" s="573"/>
      <c r="B1121" s="591"/>
      <c r="C1121" s="51" t="s">
        <v>1759</v>
      </c>
      <c r="D1121" s="362" t="s">
        <v>2782</v>
      </c>
      <c r="E1121" s="52">
        <v>3</v>
      </c>
      <c r="F1121" s="36"/>
      <c r="G1121" s="18"/>
      <c r="H1121" s="19"/>
      <c r="I1121" s="305"/>
      <c r="L1121" s="1" t="str">
        <f t="shared" si="18"/>
        <v>空白</v>
      </c>
      <c r="M1121" s="1" t="str">
        <f t="shared" si="18"/>
        <v>空白</v>
      </c>
      <c r="N1121" s="1" t="str">
        <f t="shared" si="18"/>
        <v>空白</v>
      </c>
    </row>
    <row r="1122" spans="1:14">
      <c r="A1122" s="573"/>
      <c r="B1122" s="584" t="s">
        <v>1760</v>
      </c>
      <c r="C1122" s="71" t="s">
        <v>1761</v>
      </c>
      <c r="D1122" s="363" t="s">
        <v>2783</v>
      </c>
      <c r="E1122" s="41">
        <v>6</v>
      </c>
      <c r="F1122" s="42"/>
      <c r="G1122" s="95"/>
      <c r="H1122" s="89"/>
      <c r="I1122" s="98"/>
      <c r="L1122" s="1" t="str">
        <f t="shared" si="18"/>
        <v>空白</v>
      </c>
      <c r="M1122" s="1" t="str">
        <f t="shared" si="18"/>
        <v>空白</v>
      </c>
      <c r="N1122" s="1" t="str">
        <f t="shared" si="18"/>
        <v>空白</v>
      </c>
    </row>
    <row r="1123" spans="1:14">
      <c r="A1123" s="573"/>
      <c r="B1123" s="585"/>
      <c r="C1123" s="25" t="s">
        <v>1762</v>
      </c>
      <c r="D1123" s="364" t="s">
        <v>2784</v>
      </c>
      <c r="E1123" s="16">
        <v>3</v>
      </c>
      <c r="F1123" s="9"/>
      <c r="G1123" s="26"/>
      <c r="H1123" s="27"/>
      <c r="I1123" s="28"/>
      <c r="L1123" s="1" t="str">
        <f t="shared" si="18"/>
        <v>空白</v>
      </c>
      <c r="M1123" s="1" t="str">
        <f t="shared" si="18"/>
        <v>空白</v>
      </c>
      <c r="N1123" s="1" t="str">
        <f t="shared" si="18"/>
        <v>空白</v>
      </c>
    </row>
    <row r="1124" spans="1:14">
      <c r="A1124" s="573"/>
      <c r="B1124" s="591"/>
      <c r="C1124" s="51" t="s">
        <v>1763</v>
      </c>
      <c r="D1124" s="316" t="s">
        <v>2785</v>
      </c>
      <c r="E1124" s="52">
        <v>6</v>
      </c>
      <c r="F1124" s="250"/>
      <c r="G1124" s="18"/>
      <c r="H1124" s="54"/>
      <c r="I1124" s="305"/>
      <c r="L1124" s="1" t="str">
        <f t="shared" si="18"/>
        <v>空白</v>
      </c>
      <c r="M1124" s="1" t="str">
        <f t="shared" si="18"/>
        <v>空白</v>
      </c>
      <c r="N1124" s="1" t="str">
        <f t="shared" si="18"/>
        <v>空白</v>
      </c>
    </row>
    <row r="1125" spans="1:14" ht="19.5">
      <c r="A1125" s="573"/>
      <c r="B1125" s="580" t="s">
        <v>1764</v>
      </c>
      <c r="C1125" s="77" t="s">
        <v>1765</v>
      </c>
      <c r="D1125" s="346" t="s">
        <v>3321</v>
      </c>
      <c r="E1125" s="144">
        <v>1</v>
      </c>
      <c r="F1125" s="23"/>
      <c r="G1125" s="138" t="s">
        <v>1766</v>
      </c>
      <c r="H1125" s="202">
        <v>1</v>
      </c>
      <c r="I1125" s="618" t="s">
        <v>1767</v>
      </c>
      <c r="K1125" s="2" t="s">
        <v>13</v>
      </c>
      <c r="L1125" s="1" t="str">
        <f t="shared" si="18"/>
        <v>空白</v>
      </c>
      <c r="M1125" s="1" t="str">
        <f t="shared" si="18"/>
        <v>對</v>
      </c>
      <c r="N1125" s="1" t="str">
        <f t="shared" si="18"/>
        <v>對</v>
      </c>
    </row>
    <row r="1126" spans="1:14" ht="19.5">
      <c r="A1126" s="573"/>
      <c r="B1126" s="576"/>
      <c r="C1126" s="276" t="s">
        <v>3322</v>
      </c>
      <c r="D1126" s="365" t="s">
        <v>3323</v>
      </c>
      <c r="E1126" s="16">
        <v>1</v>
      </c>
      <c r="F1126" s="9" t="s">
        <v>1768</v>
      </c>
      <c r="G1126" s="111" t="s">
        <v>1769</v>
      </c>
      <c r="H1126" s="112">
        <v>1</v>
      </c>
      <c r="I1126" s="621"/>
      <c r="K1126" s="2" t="s">
        <v>116</v>
      </c>
      <c r="L1126" s="1" t="str">
        <f t="shared" si="18"/>
        <v>對</v>
      </c>
      <c r="M1126" s="1" t="str">
        <f t="shared" si="18"/>
        <v>對</v>
      </c>
      <c r="N1126" s="1" t="str">
        <f t="shared" si="18"/>
        <v>對</v>
      </c>
    </row>
    <row r="1127" spans="1:14">
      <c r="A1127" s="573"/>
      <c r="B1127" s="576"/>
      <c r="C1127" s="35" t="s">
        <v>1770</v>
      </c>
      <c r="D1127" s="333" t="s">
        <v>2786</v>
      </c>
      <c r="E1127" s="16">
        <v>1</v>
      </c>
      <c r="F1127" s="9"/>
      <c r="G1127" s="26"/>
      <c r="H1127" s="27"/>
      <c r="I1127" s="28"/>
      <c r="L1127" s="1" t="str">
        <f t="shared" si="18"/>
        <v>空白</v>
      </c>
      <c r="M1127" s="1" t="str">
        <f t="shared" si="18"/>
        <v>空白</v>
      </c>
      <c r="N1127" s="1" t="str">
        <f t="shared" si="18"/>
        <v>空白</v>
      </c>
    </row>
    <row r="1128" spans="1:14">
      <c r="A1128" s="573"/>
      <c r="B1128" s="576"/>
      <c r="C1128" s="277">
        <v>18030030</v>
      </c>
      <c r="D1128" s="310" t="s">
        <v>2787</v>
      </c>
      <c r="E1128" s="29">
        <v>3</v>
      </c>
      <c r="F1128" s="30"/>
      <c r="G1128" s="26"/>
      <c r="H1128" s="27"/>
      <c r="I1128" s="28"/>
      <c r="L1128" s="1" t="str">
        <f t="shared" si="18"/>
        <v>空白</v>
      </c>
      <c r="M1128" s="1" t="str">
        <f t="shared" si="18"/>
        <v>空白</v>
      </c>
      <c r="N1128" s="1" t="str">
        <f t="shared" si="18"/>
        <v>空白</v>
      </c>
    </row>
    <row r="1129" spans="1:14" ht="19.5" thickBot="1">
      <c r="A1129" s="573"/>
      <c r="B1129" s="576"/>
      <c r="C1129" s="278">
        <v>18030040</v>
      </c>
      <c r="D1129" s="340" t="s">
        <v>2788</v>
      </c>
      <c r="E1129" s="279">
        <v>1</v>
      </c>
      <c r="F1129" s="64"/>
      <c r="G1129" s="18"/>
      <c r="H1129" s="280"/>
      <c r="I1129" s="65"/>
      <c r="L1129" s="1" t="str">
        <f t="shared" si="18"/>
        <v>空白</v>
      </c>
      <c r="M1129" s="1" t="str">
        <f t="shared" si="18"/>
        <v>空白</v>
      </c>
      <c r="N1129" s="1" t="str">
        <f t="shared" si="18"/>
        <v>空白</v>
      </c>
    </row>
    <row r="1130" spans="1:14" ht="19.5" thickTop="1">
      <c r="A1130" s="572" t="s">
        <v>1771</v>
      </c>
      <c r="B1130" s="590" t="s">
        <v>1772</v>
      </c>
      <c r="C1130" s="281" t="s">
        <v>1773</v>
      </c>
      <c r="D1130" s="366" t="s">
        <v>2789</v>
      </c>
      <c r="E1130" s="282">
        <v>3</v>
      </c>
      <c r="F1130" s="66"/>
      <c r="G1130" s="24"/>
      <c r="H1130" s="43"/>
      <c r="I1130" s="304"/>
      <c r="L1130" s="1" t="str">
        <f t="shared" si="18"/>
        <v>空白</v>
      </c>
      <c r="M1130" s="1" t="str">
        <f t="shared" si="18"/>
        <v>空白</v>
      </c>
      <c r="N1130" s="1" t="str">
        <f t="shared" si="18"/>
        <v>空白</v>
      </c>
    </row>
    <row r="1131" spans="1:14" ht="33">
      <c r="A1131" s="573"/>
      <c r="B1131" s="585"/>
      <c r="C1131" s="97" t="s">
        <v>1774</v>
      </c>
      <c r="D1131" s="367" t="s">
        <v>2790</v>
      </c>
      <c r="E1131" s="41" t="s">
        <v>746</v>
      </c>
      <c r="F1131" s="9"/>
      <c r="G1131" s="26"/>
      <c r="H1131" s="27"/>
      <c r="I1131" s="28"/>
      <c r="L1131" s="1" t="str">
        <f t="shared" si="18"/>
        <v>空白</v>
      </c>
      <c r="M1131" s="1" t="str">
        <f t="shared" si="18"/>
        <v>空白</v>
      </c>
      <c r="N1131" s="1" t="str">
        <f t="shared" si="18"/>
        <v>空白</v>
      </c>
    </row>
    <row r="1132" spans="1:14">
      <c r="A1132" s="573"/>
      <c r="B1132" s="585"/>
      <c r="C1132" s="35" t="s">
        <v>1775</v>
      </c>
      <c r="D1132" s="355" t="s">
        <v>2791</v>
      </c>
      <c r="E1132" s="16">
        <v>1</v>
      </c>
      <c r="F1132" s="9"/>
      <c r="G1132" s="26"/>
      <c r="H1132" s="27"/>
      <c r="I1132" s="28"/>
      <c r="L1132" s="1" t="str">
        <f t="shared" si="18"/>
        <v>空白</v>
      </c>
      <c r="M1132" s="1" t="str">
        <f t="shared" si="18"/>
        <v>空白</v>
      </c>
      <c r="N1132" s="1" t="str">
        <f t="shared" si="18"/>
        <v>空白</v>
      </c>
    </row>
    <row r="1133" spans="1:14">
      <c r="A1133" s="573"/>
      <c r="B1133" s="585"/>
      <c r="C1133" s="35" t="s">
        <v>1776</v>
      </c>
      <c r="D1133" s="355" t="s">
        <v>2792</v>
      </c>
      <c r="E1133" s="16">
        <v>4</v>
      </c>
      <c r="F1133" s="9"/>
      <c r="G1133" s="26"/>
      <c r="H1133" s="27"/>
      <c r="I1133" s="28"/>
      <c r="L1133" s="1" t="str">
        <f t="shared" si="18"/>
        <v>空白</v>
      </c>
      <c r="M1133" s="1" t="str">
        <f t="shared" si="18"/>
        <v>空白</v>
      </c>
      <c r="N1133" s="1" t="str">
        <f t="shared" si="18"/>
        <v>空白</v>
      </c>
    </row>
    <row r="1134" spans="1:14">
      <c r="A1134" s="573"/>
      <c r="B1134" s="585"/>
      <c r="C1134" s="35" t="s">
        <v>1777</v>
      </c>
      <c r="D1134" s="355" t="s">
        <v>2793</v>
      </c>
      <c r="E1134" s="16">
        <v>1</v>
      </c>
      <c r="F1134" s="9"/>
      <c r="G1134" s="26"/>
      <c r="H1134" s="27"/>
      <c r="I1134" s="28"/>
      <c r="L1134" s="1" t="str">
        <f t="shared" si="18"/>
        <v>空白</v>
      </c>
      <c r="M1134" s="1" t="str">
        <f t="shared" si="18"/>
        <v>空白</v>
      </c>
      <c r="N1134" s="1" t="str">
        <f t="shared" si="18"/>
        <v>空白</v>
      </c>
    </row>
    <row r="1135" spans="1:14" ht="19.5">
      <c r="A1135" s="573"/>
      <c r="B1135" s="585"/>
      <c r="C1135" s="283" t="s">
        <v>1778</v>
      </c>
      <c r="D1135" s="368" t="s">
        <v>3324</v>
      </c>
      <c r="E1135" s="16">
        <v>2</v>
      </c>
      <c r="F1135" s="9"/>
      <c r="G1135" s="26" t="s">
        <v>1779</v>
      </c>
      <c r="H1135" s="27">
        <v>2</v>
      </c>
      <c r="I1135" s="28" t="s">
        <v>1298</v>
      </c>
      <c r="K1135" s="2" t="s">
        <v>35</v>
      </c>
      <c r="L1135" s="1" t="str">
        <f t="shared" si="18"/>
        <v>空白</v>
      </c>
      <c r="M1135" s="1" t="str">
        <f t="shared" si="18"/>
        <v>對</v>
      </c>
      <c r="N1135" s="1" t="str">
        <f t="shared" si="18"/>
        <v>對</v>
      </c>
    </row>
    <row r="1136" spans="1:14">
      <c r="A1136" s="573"/>
      <c r="B1136" s="585"/>
      <c r="C1136" s="35" t="s">
        <v>1780</v>
      </c>
      <c r="D1136" s="355" t="s">
        <v>2794</v>
      </c>
      <c r="E1136" s="16">
        <v>3</v>
      </c>
      <c r="F1136" s="9"/>
      <c r="G1136" s="26"/>
      <c r="H1136" s="27"/>
      <c r="I1136" s="28"/>
      <c r="L1136" s="1" t="str">
        <f t="shared" si="18"/>
        <v>空白</v>
      </c>
      <c r="M1136" s="1" t="str">
        <f t="shared" si="18"/>
        <v>空白</v>
      </c>
      <c r="N1136" s="1" t="str">
        <f t="shared" si="18"/>
        <v>空白</v>
      </c>
    </row>
    <row r="1137" spans="1:14">
      <c r="A1137" s="573"/>
      <c r="B1137" s="585"/>
      <c r="C1137" s="35" t="s">
        <v>1781</v>
      </c>
      <c r="D1137" s="355" t="s">
        <v>2795</v>
      </c>
      <c r="E1137" s="16">
        <v>4</v>
      </c>
      <c r="F1137" s="9"/>
      <c r="G1137" s="26"/>
      <c r="H1137" s="27"/>
      <c r="I1137" s="28"/>
      <c r="L1137" s="1" t="str">
        <f t="shared" si="18"/>
        <v>空白</v>
      </c>
      <c r="M1137" s="1" t="str">
        <f t="shared" si="18"/>
        <v>空白</v>
      </c>
      <c r="N1137" s="1" t="str">
        <f t="shared" si="18"/>
        <v>空白</v>
      </c>
    </row>
    <row r="1138" spans="1:14" ht="19.5">
      <c r="A1138" s="573"/>
      <c r="B1138" s="585"/>
      <c r="C1138" s="35" t="s">
        <v>1782</v>
      </c>
      <c r="D1138" s="355" t="s">
        <v>2796</v>
      </c>
      <c r="E1138" s="16" t="s">
        <v>2862</v>
      </c>
      <c r="F1138" s="9"/>
      <c r="G1138" s="26"/>
      <c r="H1138" s="27"/>
      <c r="I1138" s="28"/>
      <c r="L1138" s="1" t="str">
        <f t="shared" si="18"/>
        <v>空白</v>
      </c>
      <c r="M1138" s="1" t="str">
        <f t="shared" si="18"/>
        <v>空白</v>
      </c>
      <c r="N1138" s="1" t="str">
        <f t="shared" si="18"/>
        <v>空白</v>
      </c>
    </row>
    <row r="1139" spans="1:14" ht="19.5">
      <c r="A1139" s="573"/>
      <c r="B1139" s="585"/>
      <c r="C1139" s="35" t="s">
        <v>1783</v>
      </c>
      <c r="D1139" s="355" t="s">
        <v>2797</v>
      </c>
      <c r="E1139" s="16" t="s">
        <v>746</v>
      </c>
      <c r="F1139" s="9"/>
      <c r="G1139" s="26"/>
      <c r="H1139" s="27"/>
      <c r="I1139" s="28"/>
      <c r="L1139" s="1" t="str">
        <f t="shared" si="18"/>
        <v>空白</v>
      </c>
      <c r="M1139" s="1" t="str">
        <f t="shared" si="18"/>
        <v>空白</v>
      </c>
      <c r="N1139" s="1" t="str">
        <f t="shared" si="18"/>
        <v>空白</v>
      </c>
    </row>
    <row r="1140" spans="1:14" ht="19.5">
      <c r="A1140" s="573"/>
      <c r="B1140" s="585"/>
      <c r="C1140" s="35" t="s">
        <v>1784</v>
      </c>
      <c r="D1140" s="355" t="s">
        <v>2798</v>
      </c>
      <c r="E1140" s="16" t="s">
        <v>746</v>
      </c>
      <c r="F1140" s="9"/>
      <c r="G1140" s="26"/>
      <c r="H1140" s="27"/>
      <c r="I1140" s="28"/>
      <c r="L1140" s="1" t="str">
        <f t="shared" si="18"/>
        <v>空白</v>
      </c>
      <c r="M1140" s="1" t="str">
        <f t="shared" si="18"/>
        <v>空白</v>
      </c>
      <c r="N1140" s="1" t="str">
        <f t="shared" si="18"/>
        <v>空白</v>
      </c>
    </row>
    <row r="1141" spans="1:14" ht="20.25" thickBot="1">
      <c r="A1141" s="574"/>
      <c r="B1141" s="586"/>
      <c r="C1141" s="35" t="s">
        <v>1785</v>
      </c>
      <c r="D1141" s="352" t="s">
        <v>3325</v>
      </c>
      <c r="E1141" s="382">
        <v>3</v>
      </c>
      <c r="F1141" s="36" t="s">
        <v>1785</v>
      </c>
      <c r="G1141" s="74" t="s">
        <v>1786</v>
      </c>
      <c r="H1141" s="75">
        <v>3</v>
      </c>
      <c r="I1141" s="65" t="s">
        <v>1787</v>
      </c>
      <c r="K1141" s="2" t="s">
        <v>242</v>
      </c>
      <c r="L1141" s="1" t="str">
        <f t="shared" si="18"/>
        <v>對</v>
      </c>
      <c r="M1141" s="1" t="str">
        <f t="shared" si="18"/>
        <v>對</v>
      </c>
      <c r="N1141" s="1" t="str">
        <f t="shared" si="18"/>
        <v>對</v>
      </c>
    </row>
    <row r="1142" spans="1:14" ht="20.25" thickTop="1">
      <c r="A1142" s="572" t="s">
        <v>1788</v>
      </c>
      <c r="B1142" s="575" t="s">
        <v>1789</v>
      </c>
      <c r="C1142" s="7" t="s">
        <v>1790</v>
      </c>
      <c r="D1142" s="311" t="s">
        <v>3326</v>
      </c>
      <c r="E1142" s="48">
        <v>2</v>
      </c>
      <c r="F1142" s="66"/>
      <c r="G1142" s="10" t="s">
        <v>1791</v>
      </c>
      <c r="H1142" s="11">
        <v>2</v>
      </c>
      <c r="I1142" s="632" t="s">
        <v>608</v>
      </c>
      <c r="K1142" s="2" t="s">
        <v>12</v>
      </c>
      <c r="L1142" s="1" t="str">
        <f t="shared" si="18"/>
        <v>空白</v>
      </c>
      <c r="M1142" s="1" t="str">
        <f t="shared" si="18"/>
        <v>對</v>
      </c>
      <c r="N1142" s="1" t="str">
        <f t="shared" si="18"/>
        <v>對</v>
      </c>
    </row>
    <row r="1143" spans="1:14" ht="19.5">
      <c r="A1143" s="573"/>
      <c r="B1143" s="576"/>
      <c r="C1143" s="25" t="s">
        <v>1792</v>
      </c>
      <c r="D1143" s="310" t="s">
        <v>3327</v>
      </c>
      <c r="E1143" s="16">
        <v>1</v>
      </c>
      <c r="F1143" s="9"/>
      <c r="G1143" s="26" t="s">
        <v>1793</v>
      </c>
      <c r="H1143" s="27">
        <v>1</v>
      </c>
      <c r="I1143" s="624"/>
      <c r="K1143" s="2" t="s">
        <v>12</v>
      </c>
      <c r="L1143" s="1" t="str">
        <f t="shared" si="18"/>
        <v>空白</v>
      </c>
      <c r="M1143" s="1" t="str">
        <f t="shared" si="18"/>
        <v>對</v>
      </c>
      <c r="N1143" s="1" t="str">
        <f t="shared" si="18"/>
        <v>對</v>
      </c>
    </row>
    <row r="1144" spans="1:14" ht="19.5">
      <c r="A1144" s="573"/>
      <c r="B1144" s="576"/>
      <c r="C1144" s="25" t="s">
        <v>1794</v>
      </c>
      <c r="D1144" s="310" t="s">
        <v>3328</v>
      </c>
      <c r="E1144" s="16">
        <v>1</v>
      </c>
      <c r="F1144" s="9"/>
      <c r="G1144" s="26" t="s">
        <v>1795</v>
      </c>
      <c r="H1144" s="27">
        <v>1</v>
      </c>
      <c r="I1144" s="624"/>
      <c r="K1144" s="2" t="s">
        <v>12</v>
      </c>
      <c r="L1144" s="1" t="str">
        <f t="shared" si="18"/>
        <v>空白</v>
      </c>
      <c r="M1144" s="1" t="str">
        <f t="shared" si="18"/>
        <v>對</v>
      </c>
      <c r="N1144" s="1" t="str">
        <f t="shared" si="18"/>
        <v>對</v>
      </c>
    </row>
    <row r="1145" spans="1:14" ht="19.5">
      <c r="A1145" s="573"/>
      <c r="B1145" s="576"/>
      <c r="C1145" s="25" t="s">
        <v>1796</v>
      </c>
      <c r="D1145" s="310" t="s">
        <v>3329</v>
      </c>
      <c r="E1145" s="16">
        <v>2</v>
      </c>
      <c r="F1145" s="9"/>
      <c r="G1145" s="26" t="s">
        <v>1797</v>
      </c>
      <c r="H1145" s="27">
        <v>2</v>
      </c>
      <c r="I1145" s="621"/>
      <c r="K1145" s="2" t="s">
        <v>12</v>
      </c>
      <c r="L1145" s="1" t="str">
        <f t="shared" si="18"/>
        <v>空白</v>
      </c>
      <c r="M1145" s="1" t="str">
        <f t="shared" si="18"/>
        <v>對</v>
      </c>
      <c r="N1145" s="1" t="str">
        <f t="shared" si="18"/>
        <v>對</v>
      </c>
    </row>
    <row r="1146" spans="1:14">
      <c r="A1146" s="573"/>
      <c r="B1146" s="576"/>
      <c r="C1146" s="25" t="s">
        <v>1798</v>
      </c>
      <c r="D1146" s="308" t="s">
        <v>2799</v>
      </c>
      <c r="E1146" s="16">
        <v>1</v>
      </c>
      <c r="F1146" s="9"/>
      <c r="G1146" s="26"/>
      <c r="H1146" s="27"/>
      <c r="I1146" s="28"/>
      <c r="L1146" s="1" t="str">
        <f t="shared" si="18"/>
        <v>空白</v>
      </c>
      <c r="M1146" s="1" t="str">
        <f t="shared" si="18"/>
        <v>空白</v>
      </c>
      <c r="N1146" s="1" t="str">
        <f t="shared" si="18"/>
        <v>空白</v>
      </c>
    </row>
    <row r="1147" spans="1:14" ht="39">
      <c r="A1147" s="573"/>
      <c r="B1147" s="576"/>
      <c r="C1147" s="132" t="s">
        <v>1799</v>
      </c>
      <c r="D1147" s="332" t="s">
        <v>3330</v>
      </c>
      <c r="E1147" s="16">
        <v>1</v>
      </c>
      <c r="F1147" s="9"/>
      <c r="G1147" s="26" t="s">
        <v>1800</v>
      </c>
      <c r="H1147" s="32">
        <v>1</v>
      </c>
      <c r="I1147" s="28" t="s">
        <v>1801</v>
      </c>
      <c r="K1147" s="2" t="s">
        <v>13</v>
      </c>
      <c r="L1147" s="1" t="str">
        <f t="shared" si="18"/>
        <v>空白</v>
      </c>
      <c r="M1147" s="1" t="str">
        <f t="shared" si="18"/>
        <v>對</v>
      </c>
      <c r="N1147" s="1" t="str">
        <f t="shared" si="18"/>
        <v>對</v>
      </c>
    </row>
    <row r="1148" spans="1:14" ht="39">
      <c r="A1148" s="573"/>
      <c r="B1148" s="576"/>
      <c r="C1148" s="425" t="s">
        <v>1802</v>
      </c>
      <c r="D1148" s="332" t="s">
        <v>3331</v>
      </c>
      <c r="E1148" s="16">
        <v>1</v>
      </c>
      <c r="F1148" s="9" t="s">
        <v>1802</v>
      </c>
      <c r="G1148" s="111" t="s">
        <v>1803</v>
      </c>
      <c r="H1148" s="112">
        <v>1</v>
      </c>
      <c r="I1148" s="28" t="s">
        <v>1804</v>
      </c>
      <c r="K1148" s="2" t="s">
        <v>242</v>
      </c>
      <c r="L1148" s="1" t="str">
        <f t="shared" si="18"/>
        <v>對</v>
      </c>
      <c r="M1148" s="1" t="str">
        <f t="shared" si="18"/>
        <v>對</v>
      </c>
      <c r="N1148" s="1" t="str">
        <f t="shared" si="18"/>
        <v>對</v>
      </c>
    </row>
    <row r="1149" spans="1:14" ht="58.5">
      <c r="A1149" s="573"/>
      <c r="B1149" s="576"/>
      <c r="C1149" s="425" t="s">
        <v>1805</v>
      </c>
      <c r="D1149" s="332" t="s">
        <v>3332</v>
      </c>
      <c r="E1149" s="16">
        <v>1</v>
      </c>
      <c r="F1149" s="9" t="s">
        <v>1805</v>
      </c>
      <c r="G1149" s="111" t="s">
        <v>1806</v>
      </c>
      <c r="H1149" s="112">
        <v>1</v>
      </c>
      <c r="I1149" s="28" t="s">
        <v>1807</v>
      </c>
      <c r="K1149" s="2" t="s">
        <v>242</v>
      </c>
      <c r="L1149" s="1" t="str">
        <f t="shared" si="18"/>
        <v>對</v>
      </c>
      <c r="M1149" s="1" t="str">
        <f t="shared" si="18"/>
        <v>對</v>
      </c>
      <c r="N1149" s="1" t="str">
        <f t="shared" si="18"/>
        <v>對</v>
      </c>
    </row>
    <row r="1150" spans="1:14">
      <c r="A1150" s="573"/>
      <c r="B1150" s="576"/>
      <c r="C1150" s="25" t="s">
        <v>1808</v>
      </c>
      <c r="D1150" s="308" t="s">
        <v>2800</v>
      </c>
      <c r="E1150" s="16">
        <v>2</v>
      </c>
      <c r="F1150" s="9"/>
      <c r="G1150" s="26"/>
      <c r="H1150" s="27"/>
      <c r="I1150" s="28"/>
      <c r="L1150" s="1" t="str">
        <f t="shared" si="18"/>
        <v>空白</v>
      </c>
      <c r="M1150" s="1" t="str">
        <f t="shared" si="18"/>
        <v>空白</v>
      </c>
      <c r="N1150" s="1" t="str">
        <f t="shared" si="18"/>
        <v>空白</v>
      </c>
    </row>
    <row r="1151" spans="1:14">
      <c r="A1151" s="573"/>
      <c r="B1151" s="576"/>
      <c r="C1151" s="25" t="s">
        <v>1809</v>
      </c>
      <c r="D1151" s="308" t="s">
        <v>2801</v>
      </c>
      <c r="E1151" s="16">
        <v>2</v>
      </c>
      <c r="F1151" s="9"/>
      <c r="G1151" s="26"/>
      <c r="H1151" s="27"/>
      <c r="I1151" s="28"/>
      <c r="L1151" s="1" t="str">
        <f t="shared" si="18"/>
        <v>空白</v>
      </c>
      <c r="M1151" s="1" t="str">
        <f t="shared" si="18"/>
        <v>空白</v>
      </c>
      <c r="N1151" s="1" t="str">
        <f t="shared" si="18"/>
        <v>空白</v>
      </c>
    </row>
    <row r="1152" spans="1:14">
      <c r="A1152" s="573"/>
      <c r="B1152" s="576"/>
      <c r="C1152" s="63" t="s">
        <v>1810</v>
      </c>
      <c r="D1152" s="337" t="s">
        <v>2802</v>
      </c>
      <c r="E1152" s="67">
        <v>3</v>
      </c>
      <c r="F1152" s="9"/>
      <c r="G1152" s="26"/>
      <c r="H1152" s="27"/>
      <c r="I1152" s="28"/>
      <c r="L1152" s="1" t="str">
        <f t="shared" si="18"/>
        <v>空白</v>
      </c>
      <c r="M1152" s="1" t="str">
        <f t="shared" si="18"/>
        <v>空白</v>
      </c>
      <c r="N1152" s="1" t="str">
        <f t="shared" si="18"/>
        <v>空白</v>
      </c>
    </row>
    <row r="1153" spans="1:14" ht="39">
      <c r="A1153" s="573"/>
      <c r="B1153" s="576"/>
      <c r="C1153" s="34" t="s">
        <v>3333</v>
      </c>
      <c r="D1153" s="337" t="s">
        <v>3334</v>
      </c>
      <c r="E1153" s="16">
        <v>1</v>
      </c>
      <c r="F1153" s="9" t="s">
        <v>1811</v>
      </c>
      <c r="G1153" s="111" t="s">
        <v>1812</v>
      </c>
      <c r="H1153" s="112">
        <v>1</v>
      </c>
      <c r="I1153" s="104" t="s">
        <v>1813</v>
      </c>
      <c r="K1153" s="2" t="s">
        <v>242</v>
      </c>
      <c r="L1153" s="1" t="str">
        <f t="shared" si="18"/>
        <v>對</v>
      </c>
      <c r="M1153" s="1" t="str">
        <f t="shared" si="18"/>
        <v>對</v>
      </c>
      <c r="N1153" s="1" t="str">
        <f t="shared" si="18"/>
        <v>對</v>
      </c>
    </row>
    <row r="1154" spans="1:14" ht="39">
      <c r="A1154" s="573"/>
      <c r="B1154" s="576"/>
      <c r="C1154" s="77" t="s">
        <v>3335</v>
      </c>
      <c r="D1154" s="396" t="s">
        <v>3336</v>
      </c>
      <c r="E1154" s="144">
        <v>1</v>
      </c>
      <c r="F1154" s="9" t="s">
        <v>1814</v>
      </c>
      <c r="G1154" s="114" t="s">
        <v>1815</v>
      </c>
      <c r="H1154" s="112">
        <v>1</v>
      </c>
      <c r="I1154" s="104" t="s">
        <v>1813</v>
      </c>
      <c r="K1154" s="2" t="s">
        <v>242</v>
      </c>
      <c r="L1154" s="1" t="str">
        <f t="shared" si="18"/>
        <v>對</v>
      </c>
      <c r="M1154" s="1" t="str">
        <f t="shared" si="18"/>
        <v>對</v>
      </c>
      <c r="N1154" s="1" t="str">
        <f t="shared" si="18"/>
        <v>對</v>
      </c>
    </row>
    <row r="1155" spans="1:14" ht="39.75" thickBot="1">
      <c r="A1155" s="574"/>
      <c r="B1155" s="582"/>
      <c r="C1155" s="372" t="s">
        <v>3337</v>
      </c>
      <c r="D1155" s="426" t="s">
        <v>3338</v>
      </c>
      <c r="E1155" s="139">
        <v>1</v>
      </c>
      <c r="F1155" s="36" t="s">
        <v>1816</v>
      </c>
      <c r="G1155" s="137" t="s">
        <v>1817</v>
      </c>
      <c r="H1155" s="121">
        <v>1</v>
      </c>
      <c r="I1155" s="122" t="s">
        <v>1818</v>
      </c>
      <c r="K1155" s="2" t="s">
        <v>242</v>
      </c>
      <c r="L1155" s="1" t="str">
        <f t="shared" si="18"/>
        <v>對</v>
      </c>
      <c r="M1155" s="1" t="str">
        <f t="shared" si="18"/>
        <v>對</v>
      </c>
      <c r="N1155" s="1" t="str">
        <f t="shared" si="18"/>
        <v>對</v>
      </c>
    </row>
    <row r="1156" spans="1:14" ht="19.5" thickTop="1">
      <c r="A1156" s="572" t="s">
        <v>1819</v>
      </c>
      <c r="B1156" s="598" t="s">
        <v>1820</v>
      </c>
      <c r="C1156" s="7" t="s">
        <v>1821</v>
      </c>
      <c r="D1156" s="369" t="s">
        <v>2803</v>
      </c>
      <c r="E1156" s="8">
        <v>2</v>
      </c>
      <c r="F1156" s="66"/>
      <c r="G1156" s="24"/>
      <c r="H1156" s="284"/>
      <c r="I1156" s="285"/>
      <c r="L1156" s="1" t="str">
        <f t="shared" si="18"/>
        <v>空白</v>
      </c>
      <c r="M1156" s="1" t="str">
        <f t="shared" si="18"/>
        <v>空白</v>
      </c>
      <c r="N1156" s="1" t="str">
        <f t="shared" si="18"/>
        <v>空白</v>
      </c>
    </row>
    <row r="1157" spans="1:14" ht="39">
      <c r="A1157" s="573"/>
      <c r="B1157" s="595"/>
      <c r="C1157" s="22" t="s">
        <v>3339</v>
      </c>
      <c r="D1157" s="348" t="s">
        <v>3340</v>
      </c>
      <c r="E1157" s="16">
        <v>2</v>
      </c>
      <c r="F1157" s="9" t="s">
        <v>1822</v>
      </c>
      <c r="G1157" s="111" t="s">
        <v>1823</v>
      </c>
      <c r="H1157" s="112">
        <v>2</v>
      </c>
      <c r="I1157" s="28" t="s">
        <v>1824</v>
      </c>
      <c r="K1157" s="2" t="s">
        <v>242</v>
      </c>
      <c r="L1157" s="1" t="str">
        <f t="shared" si="18"/>
        <v>對</v>
      </c>
      <c r="M1157" s="1" t="str">
        <f t="shared" si="18"/>
        <v>對</v>
      </c>
      <c r="N1157" s="1" t="str">
        <f t="shared" si="18"/>
        <v>對</v>
      </c>
    </row>
    <row r="1158" spans="1:14">
      <c r="A1158" s="573"/>
      <c r="B1158" s="595"/>
      <c r="C1158" s="25" t="s">
        <v>1825</v>
      </c>
      <c r="D1158" s="308" t="s">
        <v>2804</v>
      </c>
      <c r="E1158" s="16">
        <v>2</v>
      </c>
      <c r="F1158" s="9"/>
      <c r="G1158" s="111"/>
      <c r="H1158" s="112"/>
      <c r="I1158" s="28"/>
      <c r="L1158" s="1" t="str">
        <f t="shared" ref="L1158:N1221" si="19">IF(ISBLANK(F1158),"空白",IF(F1158=C1158,"對","錯"))</f>
        <v>空白</v>
      </c>
      <c r="M1158" s="1" t="str">
        <f t="shared" si="19"/>
        <v>空白</v>
      </c>
      <c r="N1158" s="1" t="str">
        <f t="shared" si="19"/>
        <v>空白</v>
      </c>
    </row>
    <row r="1159" spans="1:14">
      <c r="A1159" s="573"/>
      <c r="B1159" s="599"/>
      <c r="C1159" s="63" t="s">
        <v>1826</v>
      </c>
      <c r="D1159" s="337" t="s">
        <v>2577</v>
      </c>
      <c r="E1159" s="52">
        <v>2</v>
      </c>
      <c r="F1159" s="428"/>
      <c r="G1159" s="37"/>
      <c r="H1159" s="113"/>
      <c r="I1159" s="55"/>
      <c r="L1159" s="1" t="str">
        <f t="shared" si="19"/>
        <v>空白</v>
      </c>
      <c r="M1159" s="1" t="str">
        <f t="shared" si="19"/>
        <v>空白</v>
      </c>
      <c r="N1159" s="1" t="str">
        <f t="shared" si="19"/>
        <v>空白</v>
      </c>
    </row>
    <row r="1160" spans="1:14">
      <c r="A1160" s="573"/>
      <c r="B1160" s="600" t="s">
        <v>1827</v>
      </c>
      <c r="C1160" s="71" t="s">
        <v>1828</v>
      </c>
      <c r="D1160" s="339" t="s">
        <v>2803</v>
      </c>
      <c r="E1160" s="48">
        <v>2</v>
      </c>
      <c r="F1160" s="23"/>
      <c r="G1160" s="160"/>
      <c r="H1160" s="202"/>
      <c r="I1160" s="304"/>
      <c r="L1160" s="1" t="str">
        <f t="shared" si="19"/>
        <v>空白</v>
      </c>
      <c r="M1160" s="1" t="str">
        <f t="shared" si="19"/>
        <v>空白</v>
      </c>
      <c r="N1160" s="1" t="str">
        <f t="shared" si="19"/>
        <v>空白</v>
      </c>
    </row>
    <row r="1161" spans="1:14" ht="39">
      <c r="A1161" s="573"/>
      <c r="B1161" s="595"/>
      <c r="C1161" s="77" t="s">
        <v>3341</v>
      </c>
      <c r="D1161" s="348" t="s">
        <v>3340</v>
      </c>
      <c r="E1161" s="48">
        <v>2</v>
      </c>
      <c r="F1161" s="9" t="s">
        <v>1829</v>
      </c>
      <c r="G1161" s="111" t="s">
        <v>1823</v>
      </c>
      <c r="H1161" s="112">
        <v>2</v>
      </c>
      <c r="I1161" s="28" t="s">
        <v>1824</v>
      </c>
      <c r="K1161" s="2" t="s">
        <v>242</v>
      </c>
      <c r="L1161" s="1" t="str">
        <f t="shared" si="19"/>
        <v>對</v>
      </c>
      <c r="M1161" s="1" t="str">
        <f t="shared" si="19"/>
        <v>對</v>
      </c>
      <c r="N1161" s="1" t="str">
        <f t="shared" si="19"/>
        <v>對</v>
      </c>
    </row>
    <row r="1162" spans="1:14">
      <c r="A1162" s="573"/>
      <c r="B1162" s="599"/>
      <c r="C1162" s="51" t="s">
        <v>1830</v>
      </c>
      <c r="D1162" s="319" t="s">
        <v>2805</v>
      </c>
      <c r="E1162" s="52">
        <v>2</v>
      </c>
      <c r="F1162" s="428"/>
      <c r="G1162" s="37"/>
      <c r="H1162" s="113"/>
      <c r="I1162" s="55"/>
      <c r="L1162" s="1" t="str">
        <f t="shared" si="19"/>
        <v>空白</v>
      </c>
      <c r="M1162" s="1" t="str">
        <f t="shared" si="19"/>
        <v>空白</v>
      </c>
      <c r="N1162" s="1" t="str">
        <f t="shared" si="19"/>
        <v>空白</v>
      </c>
    </row>
    <row r="1163" spans="1:14">
      <c r="A1163" s="573"/>
      <c r="B1163" s="600" t="s">
        <v>1831</v>
      </c>
      <c r="C1163" s="22" t="s">
        <v>1832</v>
      </c>
      <c r="D1163" s="348" t="s">
        <v>2803</v>
      </c>
      <c r="E1163" s="48">
        <v>2</v>
      </c>
      <c r="F1163" s="23"/>
      <c r="G1163" s="160"/>
      <c r="H1163" s="202"/>
      <c r="I1163" s="304"/>
      <c r="L1163" s="1" t="str">
        <f t="shared" si="19"/>
        <v>空白</v>
      </c>
      <c r="M1163" s="1" t="str">
        <f t="shared" si="19"/>
        <v>空白</v>
      </c>
      <c r="N1163" s="1" t="str">
        <f t="shared" si="19"/>
        <v>空白</v>
      </c>
    </row>
    <row r="1164" spans="1:14" ht="39">
      <c r="A1164" s="573"/>
      <c r="B1164" s="595"/>
      <c r="C1164" s="77" t="s">
        <v>3342</v>
      </c>
      <c r="D1164" s="348" t="s">
        <v>3340</v>
      </c>
      <c r="E1164" s="48">
        <v>2</v>
      </c>
      <c r="F1164" s="9" t="s">
        <v>1833</v>
      </c>
      <c r="G1164" s="111" t="s">
        <v>1823</v>
      </c>
      <c r="H1164" s="112">
        <v>2</v>
      </c>
      <c r="I1164" s="28" t="s">
        <v>1824</v>
      </c>
      <c r="K1164" s="2" t="s">
        <v>242</v>
      </c>
      <c r="L1164" s="1" t="str">
        <f t="shared" si="19"/>
        <v>對</v>
      </c>
      <c r="M1164" s="1" t="str">
        <f t="shared" si="19"/>
        <v>對</v>
      </c>
      <c r="N1164" s="1" t="str">
        <f t="shared" si="19"/>
        <v>對</v>
      </c>
    </row>
    <row r="1165" spans="1:14">
      <c r="A1165" s="573"/>
      <c r="B1165" s="599"/>
      <c r="C1165" s="63" t="s">
        <v>1834</v>
      </c>
      <c r="D1165" s="337" t="s">
        <v>2806</v>
      </c>
      <c r="E1165" s="52">
        <v>2</v>
      </c>
      <c r="F1165" s="428"/>
      <c r="G1165" s="37"/>
      <c r="H1165" s="113"/>
      <c r="I1165" s="55"/>
      <c r="L1165" s="1" t="str">
        <f t="shared" si="19"/>
        <v>空白</v>
      </c>
      <c r="M1165" s="1" t="str">
        <f t="shared" si="19"/>
        <v>空白</v>
      </c>
      <c r="N1165" s="1" t="str">
        <f t="shared" si="19"/>
        <v>空白</v>
      </c>
    </row>
    <row r="1166" spans="1:14">
      <c r="A1166" s="573"/>
      <c r="B1166" s="600" t="s">
        <v>1835</v>
      </c>
      <c r="C1166" s="71" t="s">
        <v>1836</v>
      </c>
      <c r="D1166" s="339" t="s">
        <v>2803</v>
      </c>
      <c r="E1166" s="48">
        <v>2</v>
      </c>
      <c r="F1166" s="23"/>
      <c r="G1166" s="160"/>
      <c r="H1166" s="202"/>
      <c r="I1166" s="304"/>
      <c r="L1166" s="1" t="str">
        <f t="shared" si="19"/>
        <v>空白</v>
      </c>
      <c r="M1166" s="1" t="str">
        <f t="shared" si="19"/>
        <v>空白</v>
      </c>
      <c r="N1166" s="1" t="str">
        <f t="shared" si="19"/>
        <v>空白</v>
      </c>
    </row>
    <row r="1167" spans="1:14" ht="39">
      <c r="A1167" s="573"/>
      <c r="B1167" s="595"/>
      <c r="C1167" s="77" t="s">
        <v>3343</v>
      </c>
      <c r="D1167" s="348" t="s">
        <v>3340</v>
      </c>
      <c r="E1167" s="48">
        <v>2</v>
      </c>
      <c r="F1167" s="9" t="s">
        <v>1837</v>
      </c>
      <c r="G1167" s="111" t="s">
        <v>1823</v>
      </c>
      <c r="H1167" s="112">
        <v>2</v>
      </c>
      <c r="I1167" s="28" t="s">
        <v>1824</v>
      </c>
      <c r="K1167" s="2" t="s">
        <v>242</v>
      </c>
      <c r="L1167" s="1" t="str">
        <f t="shared" si="19"/>
        <v>對</v>
      </c>
      <c r="M1167" s="1" t="str">
        <f t="shared" si="19"/>
        <v>對</v>
      </c>
      <c r="N1167" s="1" t="str">
        <f t="shared" si="19"/>
        <v>對</v>
      </c>
    </row>
    <row r="1168" spans="1:14">
      <c r="A1168" s="573"/>
      <c r="B1168" s="599"/>
      <c r="C1168" s="51" t="s">
        <v>1838</v>
      </c>
      <c r="D1168" s="319" t="s">
        <v>2807</v>
      </c>
      <c r="E1168" s="52">
        <v>2</v>
      </c>
      <c r="F1168" s="428"/>
      <c r="G1168" s="37"/>
      <c r="H1168" s="113"/>
      <c r="I1168" s="55"/>
      <c r="L1168" s="1" t="str">
        <f t="shared" si="19"/>
        <v>空白</v>
      </c>
      <c r="M1168" s="1" t="str">
        <f t="shared" si="19"/>
        <v>空白</v>
      </c>
      <c r="N1168" s="1" t="str">
        <f t="shared" si="19"/>
        <v>空白</v>
      </c>
    </row>
    <row r="1169" spans="1:14">
      <c r="A1169" s="573"/>
      <c r="B1169" s="594" t="s">
        <v>1839</v>
      </c>
      <c r="C1169" s="22" t="s">
        <v>1840</v>
      </c>
      <c r="D1169" s="348" t="s">
        <v>2803</v>
      </c>
      <c r="E1169" s="48">
        <v>2</v>
      </c>
      <c r="F1169" s="23"/>
      <c r="G1169" s="160"/>
      <c r="H1169" s="202"/>
      <c r="I1169" s="304"/>
      <c r="L1169" s="1" t="str">
        <f t="shared" si="19"/>
        <v>空白</v>
      </c>
      <c r="M1169" s="1" t="str">
        <f t="shared" si="19"/>
        <v>空白</v>
      </c>
      <c r="N1169" s="1" t="str">
        <f t="shared" si="19"/>
        <v>空白</v>
      </c>
    </row>
    <row r="1170" spans="1:14" ht="39">
      <c r="A1170" s="573"/>
      <c r="B1170" s="595"/>
      <c r="C1170" s="22" t="s">
        <v>3364</v>
      </c>
      <c r="D1170" s="431" t="s">
        <v>3345</v>
      </c>
      <c r="E1170" s="430">
        <v>2</v>
      </c>
      <c r="F1170" s="9" t="s">
        <v>1841</v>
      </c>
      <c r="G1170" s="111" t="s">
        <v>1823</v>
      </c>
      <c r="H1170" s="112">
        <v>2</v>
      </c>
      <c r="I1170" s="28" t="s">
        <v>1824</v>
      </c>
      <c r="K1170" s="2" t="s">
        <v>242</v>
      </c>
      <c r="L1170" s="1" t="str">
        <f t="shared" si="19"/>
        <v>對</v>
      </c>
      <c r="M1170" s="1" t="str">
        <f t="shared" si="19"/>
        <v>對</v>
      </c>
      <c r="N1170" s="1" t="str">
        <f t="shared" si="19"/>
        <v>對</v>
      </c>
    </row>
    <row r="1171" spans="1:14">
      <c r="A1171" s="573"/>
      <c r="B1171" s="596"/>
      <c r="C1171" s="63" t="s">
        <v>1842</v>
      </c>
      <c r="D1171" s="337" t="s">
        <v>2808</v>
      </c>
      <c r="E1171" s="52">
        <v>2</v>
      </c>
      <c r="F1171" s="428"/>
      <c r="G1171" s="37"/>
      <c r="H1171" s="113"/>
      <c r="I1171" s="55"/>
      <c r="L1171" s="1" t="str">
        <f t="shared" si="19"/>
        <v>空白</v>
      </c>
      <c r="M1171" s="1" t="str">
        <f t="shared" si="19"/>
        <v>空白</v>
      </c>
      <c r="N1171" s="1" t="str">
        <f t="shared" si="19"/>
        <v>空白</v>
      </c>
    </row>
    <row r="1172" spans="1:14">
      <c r="A1172" s="573"/>
      <c r="B1172" s="594" t="s">
        <v>1843</v>
      </c>
      <c r="C1172" s="71" t="s">
        <v>1844</v>
      </c>
      <c r="D1172" s="339" t="s">
        <v>2803</v>
      </c>
      <c r="E1172" s="48">
        <v>2</v>
      </c>
      <c r="F1172" s="23"/>
      <c r="G1172" s="160"/>
      <c r="H1172" s="202"/>
      <c r="I1172" s="304"/>
      <c r="L1172" s="1" t="str">
        <f t="shared" si="19"/>
        <v>空白</v>
      </c>
      <c r="M1172" s="1" t="str">
        <f t="shared" si="19"/>
        <v>空白</v>
      </c>
      <c r="N1172" s="1" t="str">
        <f t="shared" si="19"/>
        <v>空白</v>
      </c>
    </row>
    <row r="1173" spans="1:14" ht="39">
      <c r="A1173" s="573"/>
      <c r="B1173" s="595"/>
      <c r="C1173" s="71" t="s">
        <v>3365</v>
      </c>
      <c r="D1173" s="431" t="s">
        <v>3345</v>
      </c>
      <c r="E1173" s="430">
        <v>2</v>
      </c>
      <c r="F1173" s="9" t="s">
        <v>1845</v>
      </c>
      <c r="G1173" s="111" t="s">
        <v>1823</v>
      </c>
      <c r="H1173" s="112">
        <v>2</v>
      </c>
      <c r="I1173" s="28" t="s">
        <v>1824</v>
      </c>
      <c r="K1173" s="2" t="s">
        <v>242</v>
      </c>
      <c r="L1173" s="1" t="str">
        <f t="shared" si="19"/>
        <v>對</v>
      </c>
      <c r="M1173" s="1" t="str">
        <f t="shared" si="19"/>
        <v>對</v>
      </c>
      <c r="N1173" s="1" t="str">
        <f t="shared" si="19"/>
        <v>對</v>
      </c>
    </row>
    <row r="1174" spans="1:14">
      <c r="A1174" s="573"/>
      <c r="B1174" s="596"/>
      <c r="C1174" s="51" t="s">
        <v>1846</v>
      </c>
      <c r="D1174" s="319" t="s">
        <v>2809</v>
      </c>
      <c r="E1174" s="52">
        <v>2</v>
      </c>
      <c r="F1174" s="428"/>
      <c r="G1174" s="37"/>
      <c r="H1174" s="113"/>
      <c r="I1174" s="55"/>
      <c r="L1174" s="1" t="str">
        <f t="shared" si="19"/>
        <v>空白</v>
      </c>
      <c r="M1174" s="1" t="str">
        <f t="shared" si="19"/>
        <v>空白</v>
      </c>
      <c r="N1174" s="1" t="str">
        <f t="shared" si="19"/>
        <v>空白</v>
      </c>
    </row>
    <row r="1175" spans="1:14">
      <c r="A1175" s="573"/>
      <c r="B1175" s="594" t="s">
        <v>1847</v>
      </c>
      <c r="C1175" s="22" t="s">
        <v>1848</v>
      </c>
      <c r="D1175" s="348" t="s">
        <v>2803</v>
      </c>
      <c r="E1175" s="48">
        <v>2</v>
      </c>
      <c r="F1175" s="23"/>
      <c r="G1175" s="160"/>
      <c r="H1175" s="202"/>
      <c r="I1175" s="304"/>
      <c r="L1175" s="1" t="str">
        <f t="shared" si="19"/>
        <v>空白</v>
      </c>
      <c r="M1175" s="1" t="str">
        <f t="shared" si="19"/>
        <v>空白</v>
      </c>
      <c r="N1175" s="1" t="str">
        <f t="shared" si="19"/>
        <v>空白</v>
      </c>
    </row>
    <row r="1176" spans="1:14" ht="39">
      <c r="A1176" s="573"/>
      <c r="B1176" s="595"/>
      <c r="C1176" s="22" t="s">
        <v>3366</v>
      </c>
      <c r="D1176" s="431" t="s">
        <v>3345</v>
      </c>
      <c r="E1176" s="430">
        <v>2</v>
      </c>
      <c r="F1176" s="9" t="s">
        <v>1849</v>
      </c>
      <c r="G1176" s="111" t="s">
        <v>1823</v>
      </c>
      <c r="H1176" s="112">
        <v>2</v>
      </c>
      <c r="I1176" s="28" t="s">
        <v>1824</v>
      </c>
      <c r="K1176" s="2" t="s">
        <v>242</v>
      </c>
      <c r="L1176" s="1" t="str">
        <f t="shared" si="19"/>
        <v>對</v>
      </c>
      <c r="M1176" s="1" t="str">
        <f t="shared" si="19"/>
        <v>對</v>
      </c>
      <c r="N1176" s="1" t="str">
        <f t="shared" si="19"/>
        <v>對</v>
      </c>
    </row>
    <row r="1177" spans="1:14">
      <c r="A1177" s="573"/>
      <c r="B1177" s="596"/>
      <c r="C1177" s="63" t="s">
        <v>1850</v>
      </c>
      <c r="D1177" s="337" t="s">
        <v>2810</v>
      </c>
      <c r="E1177" s="52">
        <v>2</v>
      </c>
      <c r="F1177" s="428"/>
      <c r="G1177" s="37"/>
      <c r="H1177" s="113"/>
      <c r="I1177" s="55"/>
      <c r="L1177" s="1" t="str">
        <f t="shared" si="19"/>
        <v>空白</v>
      </c>
      <c r="M1177" s="1" t="str">
        <f t="shared" si="19"/>
        <v>空白</v>
      </c>
      <c r="N1177" s="1" t="str">
        <f t="shared" si="19"/>
        <v>空白</v>
      </c>
    </row>
    <row r="1178" spans="1:14">
      <c r="A1178" s="573"/>
      <c r="B1178" s="594" t="s">
        <v>1851</v>
      </c>
      <c r="C1178" s="71" t="s">
        <v>1852</v>
      </c>
      <c r="D1178" s="339" t="s">
        <v>2803</v>
      </c>
      <c r="E1178" s="48">
        <v>2</v>
      </c>
      <c r="F1178" s="23"/>
      <c r="G1178" s="160"/>
      <c r="H1178" s="202"/>
      <c r="I1178" s="304"/>
      <c r="L1178" s="1" t="str">
        <f t="shared" si="19"/>
        <v>空白</v>
      </c>
      <c r="M1178" s="1" t="str">
        <f t="shared" si="19"/>
        <v>空白</v>
      </c>
      <c r="N1178" s="1" t="str">
        <f t="shared" si="19"/>
        <v>空白</v>
      </c>
    </row>
    <row r="1179" spans="1:14" ht="39">
      <c r="A1179" s="573"/>
      <c r="B1179" s="595"/>
      <c r="C1179" s="71" t="s">
        <v>3367</v>
      </c>
      <c r="D1179" s="431" t="s">
        <v>3345</v>
      </c>
      <c r="E1179" s="430">
        <v>2</v>
      </c>
      <c r="F1179" s="9" t="s">
        <v>1853</v>
      </c>
      <c r="G1179" s="111" t="s">
        <v>1823</v>
      </c>
      <c r="H1179" s="112">
        <v>2</v>
      </c>
      <c r="I1179" s="28" t="s">
        <v>1824</v>
      </c>
      <c r="K1179" s="2" t="s">
        <v>242</v>
      </c>
      <c r="L1179" s="1" t="str">
        <f t="shared" si="19"/>
        <v>對</v>
      </c>
      <c r="M1179" s="1" t="str">
        <f t="shared" si="19"/>
        <v>對</v>
      </c>
      <c r="N1179" s="1" t="str">
        <f t="shared" si="19"/>
        <v>對</v>
      </c>
    </row>
    <row r="1180" spans="1:14">
      <c r="A1180" s="573"/>
      <c r="B1180" s="596"/>
      <c r="C1180" s="51" t="s">
        <v>1854</v>
      </c>
      <c r="D1180" s="319" t="s">
        <v>2811</v>
      </c>
      <c r="E1180" s="52">
        <v>2</v>
      </c>
      <c r="F1180" s="428"/>
      <c r="G1180" s="37"/>
      <c r="H1180" s="113"/>
      <c r="I1180" s="55"/>
      <c r="L1180" s="1" t="str">
        <f t="shared" si="19"/>
        <v>空白</v>
      </c>
      <c r="M1180" s="1" t="str">
        <f t="shared" si="19"/>
        <v>空白</v>
      </c>
      <c r="N1180" s="1" t="str">
        <f t="shared" si="19"/>
        <v>空白</v>
      </c>
    </row>
    <row r="1181" spans="1:14">
      <c r="A1181" s="573"/>
      <c r="B1181" s="594" t="s">
        <v>1855</v>
      </c>
      <c r="C1181" s="22" t="s">
        <v>1856</v>
      </c>
      <c r="D1181" s="348" t="s">
        <v>2803</v>
      </c>
      <c r="E1181" s="48">
        <v>2</v>
      </c>
      <c r="F1181" s="23"/>
      <c r="G1181" s="160"/>
      <c r="H1181" s="202"/>
      <c r="I1181" s="304"/>
      <c r="L1181" s="1" t="str">
        <f t="shared" si="19"/>
        <v>空白</v>
      </c>
      <c r="M1181" s="1" t="str">
        <f t="shared" si="19"/>
        <v>空白</v>
      </c>
      <c r="N1181" s="1" t="str">
        <f t="shared" si="19"/>
        <v>空白</v>
      </c>
    </row>
    <row r="1182" spans="1:14" ht="39">
      <c r="A1182" s="573"/>
      <c r="B1182" s="595"/>
      <c r="C1182" s="22" t="s">
        <v>3368</v>
      </c>
      <c r="D1182" s="431" t="s">
        <v>3345</v>
      </c>
      <c r="E1182" s="430">
        <v>2</v>
      </c>
      <c r="F1182" s="9" t="s">
        <v>1857</v>
      </c>
      <c r="G1182" s="111" t="s">
        <v>1823</v>
      </c>
      <c r="H1182" s="112">
        <v>2</v>
      </c>
      <c r="I1182" s="28" t="s">
        <v>1824</v>
      </c>
      <c r="K1182" s="2" t="s">
        <v>242</v>
      </c>
      <c r="L1182" s="1" t="str">
        <f t="shared" si="19"/>
        <v>對</v>
      </c>
      <c r="M1182" s="1" t="str">
        <f t="shared" si="19"/>
        <v>對</v>
      </c>
      <c r="N1182" s="1" t="str">
        <f t="shared" si="19"/>
        <v>對</v>
      </c>
    </row>
    <row r="1183" spans="1:14">
      <c r="A1183" s="573"/>
      <c r="B1183" s="596"/>
      <c r="C1183" s="63" t="s">
        <v>1858</v>
      </c>
      <c r="D1183" s="337" t="s">
        <v>2812</v>
      </c>
      <c r="E1183" s="52">
        <v>2</v>
      </c>
      <c r="F1183" s="428"/>
      <c r="G1183" s="37"/>
      <c r="H1183" s="113"/>
      <c r="I1183" s="55"/>
      <c r="L1183" s="1" t="str">
        <f t="shared" si="19"/>
        <v>空白</v>
      </c>
      <c r="M1183" s="1" t="str">
        <f t="shared" si="19"/>
        <v>空白</v>
      </c>
      <c r="N1183" s="1" t="str">
        <f t="shared" si="19"/>
        <v>空白</v>
      </c>
    </row>
    <row r="1184" spans="1:14">
      <c r="A1184" s="573"/>
      <c r="B1184" s="594" t="s">
        <v>1859</v>
      </c>
      <c r="C1184" s="71" t="s">
        <v>1860</v>
      </c>
      <c r="D1184" s="339" t="s">
        <v>2803</v>
      </c>
      <c r="E1184" s="48">
        <v>2</v>
      </c>
      <c r="F1184" s="23"/>
      <c r="G1184" s="160"/>
      <c r="H1184" s="202"/>
      <c r="I1184" s="304"/>
      <c r="L1184" s="1" t="str">
        <f t="shared" si="19"/>
        <v>空白</v>
      </c>
      <c r="M1184" s="1" t="str">
        <f t="shared" si="19"/>
        <v>空白</v>
      </c>
      <c r="N1184" s="1" t="str">
        <f t="shared" si="19"/>
        <v>空白</v>
      </c>
    </row>
    <row r="1185" spans="1:14" ht="39">
      <c r="A1185" s="573"/>
      <c r="B1185" s="595"/>
      <c r="C1185" s="71" t="s">
        <v>3369</v>
      </c>
      <c r="D1185" s="431" t="s">
        <v>3345</v>
      </c>
      <c r="E1185" s="430">
        <v>2</v>
      </c>
      <c r="F1185" s="9" t="s">
        <v>1861</v>
      </c>
      <c r="G1185" s="111" t="s">
        <v>1823</v>
      </c>
      <c r="H1185" s="112">
        <v>2</v>
      </c>
      <c r="I1185" s="28" t="s">
        <v>1824</v>
      </c>
      <c r="K1185" s="2" t="s">
        <v>242</v>
      </c>
      <c r="L1185" s="1" t="str">
        <f t="shared" si="19"/>
        <v>對</v>
      </c>
      <c r="M1185" s="1" t="str">
        <f t="shared" si="19"/>
        <v>對</v>
      </c>
      <c r="N1185" s="1" t="str">
        <f t="shared" si="19"/>
        <v>對</v>
      </c>
    </row>
    <row r="1186" spans="1:14">
      <c r="A1186" s="573"/>
      <c r="B1186" s="596"/>
      <c r="C1186" s="51" t="s">
        <v>1862</v>
      </c>
      <c r="D1186" s="319" t="s">
        <v>2813</v>
      </c>
      <c r="E1186" s="52">
        <v>2</v>
      </c>
      <c r="F1186" s="428"/>
      <c r="G1186" s="37"/>
      <c r="H1186" s="113"/>
      <c r="I1186" s="55"/>
      <c r="L1186" s="1" t="str">
        <f t="shared" si="19"/>
        <v>空白</v>
      </c>
      <c r="M1186" s="1" t="str">
        <f t="shared" si="19"/>
        <v>空白</v>
      </c>
      <c r="N1186" s="1" t="str">
        <f t="shared" si="19"/>
        <v>空白</v>
      </c>
    </row>
    <row r="1187" spans="1:14">
      <c r="A1187" s="573"/>
      <c r="B1187" s="594" t="s">
        <v>3406</v>
      </c>
      <c r="C1187" s="22" t="s">
        <v>1863</v>
      </c>
      <c r="D1187" s="348" t="s">
        <v>2803</v>
      </c>
      <c r="E1187" s="48">
        <v>2</v>
      </c>
      <c r="F1187" s="23"/>
      <c r="G1187" s="160"/>
      <c r="H1187" s="202"/>
      <c r="I1187" s="304"/>
      <c r="L1187" s="1" t="str">
        <f t="shared" si="19"/>
        <v>空白</v>
      </c>
      <c r="M1187" s="1" t="str">
        <f t="shared" si="19"/>
        <v>空白</v>
      </c>
      <c r="N1187" s="1" t="str">
        <f t="shared" si="19"/>
        <v>空白</v>
      </c>
    </row>
    <row r="1188" spans="1:14" ht="39">
      <c r="A1188" s="573"/>
      <c r="B1188" s="595"/>
      <c r="C1188" s="22" t="s">
        <v>3370</v>
      </c>
      <c r="D1188" s="431" t="s">
        <v>3345</v>
      </c>
      <c r="E1188" s="430">
        <v>2</v>
      </c>
      <c r="F1188" s="9" t="s">
        <v>1864</v>
      </c>
      <c r="G1188" s="111" t="s">
        <v>1823</v>
      </c>
      <c r="H1188" s="112">
        <v>2</v>
      </c>
      <c r="I1188" s="28" t="s">
        <v>1824</v>
      </c>
      <c r="K1188" s="2" t="s">
        <v>242</v>
      </c>
      <c r="L1188" s="1" t="str">
        <f t="shared" si="19"/>
        <v>對</v>
      </c>
      <c r="M1188" s="1" t="str">
        <f t="shared" si="19"/>
        <v>對</v>
      </c>
      <c r="N1188" s="1" t="str">
        <f t="shared" si="19"/>
        <v>對</v>
      </c>
    </row>
    <row r="1189" spans="1:14">
      <c r="A1189" s="573"/>
      <c r="B1189" s="596"/>
      <c r="C1189" s="63" t="s">
        <v>1865</v>
      </c>
      <c r="D1189" s="337" t="s">
        <v>2814</v>
      </c>
      <c r="E1189" s="52">
        <v>2</v>
      </c>
      <c r="F1189" s="428"/>
      <c r="G1189" s="37"/>
      <c r="H1189" s="113"/>
      <c r="I1189" s="55"/>
      <c r="L1189" s="1" t="str">
        <f t="shared" si="19"/>
        <v>空白</v>
      </c>
      <c r="M1189" s="1" t="str">
        <f t="shared" si="19"/>
        <v>空白</v>
      </c>
      <c r="N1189" s="1" t="str">
        <f t="shared" si="19"/>
        <v>空白</v>
      </c>
    </row>
    <row r="1190" spans="1:14">
      <c r="A1190" s="573"/>
      <c r="B1190" s="594" t="s">
        <v>1866</v>
      </c>
      <c r="C1190" s="71" t="s">
        <v>1867</v>
      </c>
      <c r="D1190" s="339" t="s">
        <v>2815</v>
      </c>
      <c r="E1190" s="48">
        <v>2</v>
      </c>
      <c r="F1190" s="23"/>
      <c r="G1190" s="160"/>
      <c r="H1190" s="202"/>
      <c r="I1190" s="304"/>
      <c r="L1190" s="1" t="str">
        <f t="shared" si="19"/>
        <v>空白</v>
      </c>
      <c r="M1190" s="1" t="str">
        <f t="shared" si="19"/>
        <v>空白</v>
      </c>
      <c r="N1190" s="1" t="str">
        <f t="shared" si="19"/>
        <v>空白</v>
      </c>
    </row>
    <row r="1191" spans="1:14" ht="39">
      <c r="A1191" s="573"/>
      <c r="B1191" s="595"/>
      <c r="C1191" s="71" t="s">
        <v>3371</v>
      </c>
      <c r="D1191" s="431" t="s">
        <v>3345</v>
      </c>
      <c r="E1191" s="430">
        <v>2</v>
      </c>
      <c r="F1191" s="9" t="s">
        <v>1868</v>
      </c>
      <c r="G1191" s="111" t="s">
        <v>1823</v>
      </c>
      <c r="H1191" s="112">
        <v>2</v>
      </c>
      <c r="I1191" s="28" t="s">
        <v>1824</v>
      </c>
      <c r="K1191" s="2" t="s">
        <v>242</v>
      </c>
      <c r="L1191" s="1" t="str">
        <f t="shared" si="19"/>
        <v>對</v>
      </c>
      <c r="M1191" s="1" t="str">
        <f t="shared" si="19"/>
        <v>對</v>
      </c>
      <c r="N1191" s="1" t="str">
        <f t="shared" si="19"/>
        <v>對</v>
      </c>
    </row>
    <row r="1192" spans="1:14">
      <c r="A1192" s="573"/>
      <c r="B1192" s="596"/>
      <c r="C1192" s="51" t="s">
        <v>1869</v>
      </c>
      <c r="D1192" s="319" t="s">
        <v>2816</v>
      </c>
      <c r="E1192" s="52">
        <v>3</v>
      </c>
      <c r="F1192" s="428"/>
      <c r="G1192" s="37"/>
      <c r="H1192" s="113"/>
      <c r="I1192" s="55"/>
      <c r="L1192" s="1" t="str">
        <f t="shared" si="19"/>
        <v>空白</v>
      </c>
      <c r="M1192" s="1" t="str">
        <f t="shared" si="19"/>
        <v>空白</v>
      </c>
      <c r="N1192" s="1" t="str">
        <f t="shared" si="19"/>
        <v>空白</v>
      </c>
    </row>
    <row r="1193" spans="1:14">
      <c r="A1193" s="573"/>
      <c r="B1193" s="594" t="s">
        <v>1870</v>
      </c>
      <c r="C1193" s="22" t="s">
        <v>1871</v>
      </c>
      <c r="D1193" s="348" t="s">
        <v>2803</v>
      </c>
      <c r="E1193" s="48">
        <v>2</v>
      </c>
      <c r="F1193" s="23"/>
      <c r="G1193" s="160"/>
      <c r="H1193" s="202"/>
      <c r="I1193" s="304"/>
      <c r="L1193" s="1" t="str">
        <f t="shared" si="19"/>
        <v>空白</v>
      </c>
      <c r="M1193" s="1" t="str">
        <f t="shared" si="19"/>
        <v>空白</v>
      </c>
      <c r="N1193" s="1" t="str">
        <f t="shared" si="19"/>
        <v>空白</v>
      </c>
    </row>
    <row r="1194" spans="1:14" ht="39">
      <c r="A1194" s="573"/>
      <c r="B1194" s="595"/>
      <c r="C1194" s="22" t="s">
        <v>3372</v>
      </c>
      <c r="D1194" s="431" t="s">
        <v>3345</v>
      </c>
      <c r="E1194" s="430">
        <v>2</v>
      </c>
      <c r="F1194" s="9" t="s">
        <v>1872</v>
      </c>
      <c r="G1194" s="111" t="s">
        <v>1823</v>
      </c>
      <c r="H1194" s="112">
        <v>2</v>
      </c>
      <c r="I1194" s="28" t="s">
        <v>1824</v>
      </c>
      <c r="K1194" s="2" t="s">
        <v>242</v>
      </c>
      <c r="L1194" s="1" t="str">
        <f t="shared" si="19"/>
        <v>對</v>
      </c>
      <c r="M1194" s="1" t="str">
        <f t="shared" si="19"/>
        <v>對</v>
      </c>
      <c r="N1194" s="1" t="str">
        <f t="shared" si="19"/>
        <v>對</v>
      </c>
    </row>
    <row r="1195" spans="1:14">
      <c r="A1195" s="573"/>
      <c r="B1195" s="596"/>
      <c r="C1195" s="63" t="s">
        <v>1873</v>
      </c>
      <c r="D1195" s="337" t="s">
        <v>2817</v>
      </c>
      <c r="E1195" s="52">
        <v>3</v>
      </c>
      <c r="F1195" s="428"/>
      <c r="G1195" s="37"/>
      <c r="H1195" s="113"/>
      <c r="I1195" s="55"/>
      <c r="L1195" s="1" t="str">
        <f t="shared" si="19"/>
        <v>空白</v>
      </c>
      <c r="M1195" s="1" t="str">
        <f t="shared" si="19"/>
        <v>空白</v>
      </c>
      <c r="N1195" s="1" t="str">
        <f t="shared" si="19"/>
        <v>空白</v>
      </c>
    </row>
    <row r="1196" spans="1:14">
      <c r="A1196" s="573"/>
      <c r="B1196" s="594" t="s">
        <v>1874</v>
      </c>
      <c r="C1196" s="71" t="s">
        <v>1875</v>
      </c>
      <c r="D1196" s="339" t="s">
        <v>2803</v>
      </c>
      <c r="E1196" s="48">
        <v>2</v>
      </c>
      <c r="F1196" s="23"/>
      <c r="G1196" s="160"/>
      <c r="H1196" s="202"/>
      <c r="I1196" s="304"/>
      <c r="L1196" s="1" t="str">
        <f t="shared" si="19"/>
        <v>空白</v>
      </c>
      <c r="M1196" s="1" t="str">
        <f t="shared" si="19"/>
        <v>空白</v>
      </c>
      <c r="N1196" s="1" t="str">
        <f t="shared" si="19"/>
        <v>空白</v>
      </c>
    </row>
    <row r="1197" spans="1:14" ht="39">
      <c r="A1197" s="573"/>
      <c r="B1197" s="595"/>
      <c r="C1197" s="71" t="s">
        <v>3373</v>
      </c>
      <c r="D1197" s="431" t="s">
        <v>3345</v>
      </c>
      <c r="E1197" s="430">
        <v>2</v>
      </c>
      <c r="F1197" s="9" t="s">
        <v>1876</v>
      </c>
      <c r="G1197" s="111" t="s">
        <v>1823</v>
      </c>
      <c r="H1197" s="112">
        <v>2</v>
      </c>
      <c r="I1197" s="28" t="s">
        <v>1824</v>
      </c>
      <c r="K1197" s="2" t="s">
        <v>242</v>
      </c>
      <c r="L1197" s="1" t="str">
        <f t="shared" si="19"/>
        <v>對</v>
      </c>
      <c r="M1197" s="1" t="str">
        <f t="shared" si="19"/>
        <v>對</v>
      </c>
      <c r="N1197" s="1" t="str">
        <f t="shared" si="19"/>
        <v>對</v>
      </c>
    </row>
    <row r="1198" spans="1:14">
      <c r="A1198" s="573"/>
      <c r="B1198" s="596"/>
      <c r="C1198" s="51" t="s">
        <v>1877</v>
      </c>
      <c r="D1198" s="319" t="s">
        <v>2818</v>
      </c>
      <c r="E1198" s="52">
        <v>3</v>
      </c>
      <c r="F1198" s="428"/>
      <c r="G1198" s="37"/>
      <c r="H1198" s="113"/>
      <c r="I1198" s="55"/>
      <c r="L1198" s="1" t="str">
        <f t="shared" si="19"/>
        <v>空白</v>
      </c>
      <c r="M1198" s="1" t="str">
        <f t="shared" si="19"/>
        <v>空白</v>
      </c>
      <c r="N1198" s="1" t="str">
        <f t="shared" si="19"/>
        <v>空白</v>
      </c>
    </row>
    <row r="1199" spans="1:14">
      <c r="A1199" s="573"/>
      <c r="B1199" s="594" t="s">
        <v>1878</v>
      </c>
      <c r="C1199" s="22" t="s">
        <v>1879</v>
      </c>
      <c r="D1199" s="348" t="s">
        <v>2803</v>
      </c>
      <c r="E1199" s="48">
        <v>2</v>
      </c>
      <c r="F1199" s="23"/>
      <c r="G1199" s="160"/>
      <c r="H1199" s="202"/>
      <c r="I1199" s="304"/>
      <c r="L1199" s="1" t="str">
        <f t="shared" si="19"/>
        <v>空白</v>
      </c>
      <c r="M1199" s="1" t="str">
        <f t="shared" si="19"/>
        <v>空白</v>
      </c>
      <c r="N1199" s="1" t="str">
        <f t="shared" si="19"/>
        <v>空白</v>
      </c>
    </row>
    <row r="1200" spans="1:14" ht="39">
      <c r="A1200" s="573"/>
      <c r="B1200" s="595"/>
      <c r="C1200" s="22" t="s">
        <v>3374</v>
      </c>
      <c r="D1200" s="431" t="s">
        <v>3345</v>
      </c>
      <c r="E1200" s="430">
        <v>2</v>
      </c>
      <c r="F1200" s="9" t="s">
        <v>1880</v>
      </c>
      <c r="G1200" s="111" t="s">
        <v>1823</v>
      </c>
      <c r="H1200" s="112">
        <v>2</v>
      </c>
      <c r="I1200" s="28" t="s">
        <v>1824</v>
      </c>
      <c r="K1200" s="2" t="s">
        <v>242</v>
      </c>
      <c r="L1200" s="1" t="str">
        <f t="shared" si="19"/>
        <v>對</v>
      </c>
      <c r="M1200" s="1" t="str">
        <f t="shared" si="19"/>
        <v>對</v>
      </c>
      <c r="N1200" s="1" t="str">
        <f t="shared" si="19"/>
        <v>對</v>
      </c>
    </row>
    <row r="1201" spans="1:14">
      <c r="A1201" s="573"/>
      <c r="B1201" s="596"/>
      <c r="C1201" s="63" t="s">
        <v>1881</v>
      </c>
      <c r="D1201" s="337" t="s">
        <v>2819</v>
      </c>
      <c r="E1201" s="52">
        <v>3</v>
      </c>
      <c r="F1201" s="428"/>
      <c r="G1201" s="37"/>
      <c r="H1201" s="113"/>
      <c r="I1201" s="55"/>
      <c r="L1201" s="1" t="str">
        <f t="shared" si="19"/>
        <v>空白</v>
      </c>
      <c r="M1201" s="1" t="str">
        <f t="shared" si="19"/>
        <v>空白</v>
      </c>
      <c r="N1201" s="1" t="str">
        <f t="shared" si="19"/>
        <v>空白</v>
      </c>
    </row>
    <row r="1202" spans="1:14">
      <c r="A1202" s="573"/>
      <c r="B1202" s="594" t="s">
        <v>1882</v>
      </c>
      <c r="C1202" s="71" t="s">
        <v>1883</v>
      </c>
      <c r="D1202" s="339" t="s">
        <v>2803</v>
      </c>
      <c r="E1202" s="48">
        <v>2</v>
      </c>
      <c r="F1202" s="23"/>
      <c r="G1202" s="160"/>
      <c r="H1202" s="202"/>
      <c r="I1202" s="304"/>
      <c r="L1202" s="1" t="str">
        <f t="shared" si="19"/>
        <v>空白</v>
      </c>
      <c r="M1202" s="1" t="str">
        <f t="shared" si="19"/>
        <v>空白</v>
      </c>
      <c r="N1202" s="1" t="str">
        <f t="shared" si="19"/>
        <v>空白</v>
      </c>
    </row>
    <row r="1203" spans="1:14" ht="39">
      <c r="A1203" s="573"/>
      <c r="B1203" s="595"/>
      <c r="C1203" s="71" t="s">
        <v>3375</v>
      </c>
      <c r="D1203" s="431" t="s">
        <v>3345</v>
      </c>
      <c r="E1203" s="430">
        <v>2</v>
      </c>
      <c r="F1203" s="9" t="s">
        <v>1884</v>
      </c>
      <c r="G1203" s="111" t="s">
        <v>1823</v>
      </c>
      <c r="H1203" s="112">
        <v>2</v>
      </c>
      <c r="I1203" s="28" t="s">
        <v>1824</v>
      </c>
      <c r="K1203" s="2" t="s">
        <v>242</v>
      </c>
      <c r="L1203" s="1" t="str">
        <f t="shared" si="19"/>
        <v>對</v>
      </c>
      <c r="M1203" s="1" t="str">
        <f t="shared" si="19"/>
        <v>對</v>
      </c>
      <c r="N1203" s="1" t="str">
        <f t="shared" si="19"/>
        <v>對</v>
      </c>
    </row>
    <row r="1204" spans="1:14">
      <c r="A1204" s="573"/>
      <c r="B1204" s="596"/>
      <c r="C1204" s="51" t="s">
        <v>1885</v>
      </c>
      <c r="D1204" s="319" t="s">
        <v>2820</v>
      </c>
      <c r="E1204" s="52">
        <v>3</v>
      </c>
      <c r="F1204" s="428"/>
      <c r="G1204" s="37"/>
      <c r="H1204" s="113"/>
      <c r="I1204" s="55"/>
      <c r="L1204" s="1" t="str">
        <f t="shared" si="19"/>
        <v>空白</v>
      </c>
      <c r="M1204" s="1" t="str">
        <f t="shared" si="19"/>
        <v>空白</v>
      </c>
      <c r="N1204" s="1" t="str">
        <f t="shared" si="19"/>
        <v>空白</v>
      </c>
    </row>
    <row r="1205" spans="1:14">
      <c r="A1205" s="573"/>
      <c r="B1205" s="594" t="s">
        <v>1886</v>
      </c>
      <c r="C1205" s="22" t="s">
        <v>1887</v>
      </c>
      <c r="D1205" s="348" t="s">
        <v>2803</v>
      </c>
      <c r="E1205" s="48">
        <v>2</v>
      </c>
      <c r="F1205" s="23"/>
      <c r="G1205" s="160"/>
      <c r="H1205" s="202"/>
      <c r="I1205" s="304"/>
      <c r="L1205" s="1" t="str">
        <f t="shared" si="19"/>
        <v>空白</v>
      </c>
      <c r="M1205" s="1" t="str">
        <f t="shared" si="19"/>
        <v>空白</v>
      </c>
      <c r="N1205" s="1" t="str">
        <f t="shared" si="19"/>
        <v>空白</v>
      </c>
    </row>
    <row r="1206" spans="1:14" ht="39">
      <c r="A1206" s="573"/>
      <c r="B1206" s="595"/>
      <c r="C1206" s="22" t="s">
        <v>3376</v>
      </c>
      <c r="D1206" s="431" t="s">
        <v>3345</v>
      </c>
      <c r="E1206" s="430">
        <v>2</v>
      </c>
      <c r="F1206" s="9" t="s">
        <v>1888</v>
      </c>
      <c r="G1206" s="111" t="s">
        <v>1823</v>
      </c>
      <c r="H1206" s="112">
        <v>2</v>
      </c>
      <c r="I1206" s="28" t="s">
        <v>1824</v>
      </c>
      <c r="K1206" s="2" t="s">
        <v>242</v>
      </c>
      <c r="L1206" s="1" t="str">
        <f t="shared" si="19"/>
        <v>對</v>
      </c>
      <c r="M1206" s="1" t="str">
        <f t="shared" si="19"/>
        <v>對</v>
      </c>
      <c r="N1206" s="1" t="str">
        <f t="shared" si="19"/>
        <v>對</v>
      </c>
    </row>
    <row r="1207" spans="1:14">
      <c r="A1207" s="573"/>
      <c r="B1207" s="596"/>
      <c r="C1207" s="63" t="s">
        <v>1889</v>
      </c>
      <c r="D1207" s="337" t="s">
        <v>2821</v>
      </c>
      <c r="E1207" s="52">
        <v>3</v>
      </c>
      <c r="F1207" s="428"/>
      <c r="G1207" s="37"/>
      <c r="H1207" s="113"/>
      <c r="I1207" s="55"/>
      <c r="L1207" s="1" t="str">
        <f t="shared" si="19"/>
        <v>空白</v>
      </c>
      <c r="M1207" s="1" t="str">
        <f t="shared" si="19"/>
        <v>空白</v>
      </c>
      <c r="N1207" s="1" t="str">
        <f t="shared" si="19"/>
        <v>空白</v>
      </c>
    </row>
    <row r="1208" spans="1:14">
      <c r="A1208" s="573"/>
      <c r="B1208" s="594" t="s">
        <v>1890</v>
      </c>
      <c r="C1208" s="71" t="s">
        <v>1891</v>
      </c>
      <c r="D1208" s="339" t="s">
        <v>2803</v>
      </c>
      <c r="E1208" s="48">
        <v>3</v>
      </c>
      <c r="F1208" s="23"/>
      <c r="G1208" s="160"/>
      <c r="H1208" s="202"/>
      <c r="I1208" s="304"/>
      <c r="L1208" s="1" t="str">
        <f t="shared" si="19"/>
        <v>空白</v>
      </c>
      <c r="M1208" s="1" t="str">
        <f t="shared" si="19"/>
        <v>空白</v>
      </c>
      <c r="N1208" s="1" t="str">
        <f t="shared" si="19"/>
        <v>空白</v>
      </c>
    </row>
    <row r="1209" spans="1:14" ht="39">
      <c r="A1209" s="573"/>
      <c r="B1209" s="595"/>
      <c r="C1209" s="71" t="s">
        <v>3377</v>
      </c>
      <c r="D1209" s="431" t="s">
        <v>3345</v>
      </c>
      <c r="E1209" s="430">
        <v>3</v>
      </c>
      <c r="F1209" s="9" t="s">
        <v>1892</v>
      </c>
      <c r="G1209" s="111" t="s">
        <v>1823</v>
      </c>
      <c r="H1209" s="112">
        <v>3</v>
      </c>
      <c r="I1209" s="28" t="s">
        <v>1893</v>
      </c>
      <c r="K1209" s="2" t="s">
        <v>242</v>
      </c>
      <c r="L1209" s="1" t="str">
        <f t="shared" si="19"/>
        <v>對</v>
      </c>
      <c r="M1209" s="1" t="str">
        <f t="shared" si="19"/>
        <v>對</v>
      </c>
      <c r="N1209" s="1" t="str">
        <f t="shared" si="19"/>
        <v>對</v>
      </c>
    </row>
    <row r="1210" spans="1:14">
      <c r="A1210" s="573"/>
      <c r="B1210" s="596"/>
      <c r="C1210" s="51" t="s">
        <v>1894</v>
      </c>
      <c r="D1210" s="319" t="s">
        <v>2822</v>
      </c>
      <c r="E1210" s="52">
        <v>3</v>
      </c>
      <c r="F1210" s="428"/>
      <c r="G1210" s="37"/>
      <c r="H1210" s="113"/>
      <c r="I1210" s="55"/>
      <c r="L1210" s="1" t="str">
        <f t="shared" si="19"/>
        <v>空白</v>
      </c>
      <c r="M1210" s="1" t="str">
        <f t="shared" si="19"/>
        <v>空白</v>
      </c>
      <c r="N1210" s="1" t="str">
        <f t="shared" si="19"/>
        <v>空白</v>
      </c>
    </row>
    <row r="1211" spans="1:14">
      <c r="A1211" s="573"/>
      <c r="B1211" s="594" t="s">
        <v>1895</v>
      </c>
      <c r="C1211" s="22" t="s">
        <v>1896</v>
      </c>
      <c r="D1211" s="348" t="s">
        <v>2803</v>
      </c>
      <c r="E1211" s="48">
        <v>3</v>
      </c>
      <c r="F1211" s="23"/>
      <c r="G1211" s="160"/>
      <c r="H1211" s="202"/>
      <c r="I1211" s="304"/>
      <c r="L1211" s="1" t="str">
        <f t="shared" si="19"/>
        <v>空白</v>
      </c>
      <c r="M1211" s="1" t="str">
        <f t="shared" si="19"/>
        <v>空白</v>
      </c>
      <c r="N1211" s="1" t="str">
        <f t="shared" si="19"/>
        <v>空白</v>
      </c>
    </row>
    <row r="1212" spans="1:14" ht="39">
      <c r="A1212" s="573"/>
      <c r="B1212" s="595"/>
      <c r="C1212" s="77" t="s">
        <v>3344</v>
      </c>
      <c r="D1212" s="431" t="s">
        <v>3345</v>
      </c>
      <c r="E1212" s="430">
        <v>3</v>
      </c>
      <c r="F1212" s="9" t="s">
        <v>1897</v>
      </c>
      <c r="G1212" s="111" t="s">
        <v>1823</v>
      </c>
      <c r="H1212" s="112">
        <v>3</v>
      </c>
      <c r="I1212" s="28" t="s">
        <v>1893</v>
      </c>
      <c r="K1212" s="2" t="s">
        <v>242</v>
      </c>
      <c r="L1212" s="1" t="str">
        <f t="shared" si="19"/>
        <v>對</v>
      </c>
      <c r="M1212" s="1" t="str">
        <f t="shared" si="19"/>
        <v>對</v>
      </c>
      <c r="N1212" s="1" t="str">
        <f t="shared" si="19"/>
        <v>對</v>
      </c>
    </row>
    <row r="1213" spans="1:14">
      <c r="A1213" s="573"/>
      <c r="B1213" s="596"/>
      <c r="C1213" s="63" t="s">
        <v>1898</v>
      </c>
      <c r="D1213" s="337" t="s">
        <v>2823</v>
      </c>
      <c r="E1213" s="52">
        <v>3</v>
      </c>
      <c r="F1213" s="428"/>
      <c r="G1213" s="37"/>
      <c r="H1213" s="113"/>
      <c r="I1213" s="55"/>
      <c r="L1213" s="1" t="str">
        <f t="shared" si="19"/>
        <v>空白</v>
      </c>
      <c r="M1213" s="1" t="str">
        <f t="shared" si="19"/>
        <v>空白</v>
      </c>
      <c r="N1213" s="1" t="str">
        <f t="shared" si="19"/>
        <v>空白</v>
      </c>
    </row>
    <row r="1214" spans="1:14">
      <c r="A1214" s="573"/>
      <c r="B1214" s="594" t="s">
        <v>1899</v>
      </c>
      <c r="C1214" s="71" t="s">
        <v>1900</v>
      </c>
      <c r="D1214" s="339" t="s">
        <v>2803</v>
      </c>
      <c r="E1214" s="48">
        <v>3</v>
      </c>
      <c r="F1214" s="23"/>
      <c r="G1214" s="160"/>
      <c r="H1214" s="202"/>
      <c r="I1214" s="304"/>
      <c r="L1214" s="1" t="str">
        <f t="shared" si="19"/>
        <v>空白</v>
      </c>
      <c r="M1214" s="1" t="str">
        <f t="shared" si="19"/>
        <v>空白</v>
      </c>
      <c r="N1214" s="1" t="str">
        <f t="shared" si="19"/>
        <v>空白</v>
      </c>
    </row>
    <row r="1215" spans="1:14" ht="39">
      <c r="A1215" s="573"/>
      <c r="B1215" s="595"/>
      <c r="C1215" s="71" t="s">
        <v>3378</v>
      </c>
      <c r="D1215" s="431" t="s">
        <v>3345</v>
      </c>
      <c r="E1215" s="430">
        <v>3</v>
      </c>
      <c r="F1215" s="9" t="s">
        <v>1901</v>
      </c>
      <c r="G1215" s="111" t="s">
        <v>1823</v>
      </c>
      <c r="H1215" s="112">
        <v>3</v>
      </c>
      <c r="I1215" s="28" t="s">
        <v>1893</v>
      </c>
      <c r="K1215" s="2" t="s">
        <v>242</v>
      </c>
      <c r="L1215" s="1" t="str">
        <f t="shared" si="19"/>
        <v>對</v>
      </c>
      <c r="M1215" s="1" t="str">
        <f t="shared" si="19"/>
        <v>對</v>
      </c>
      <c r="N1215" s="1" t="str">
        <f t="shared" si="19"/>
        <v>對</v>
      </c>
    </row>
    <row r="1216" spans="1:14">
      <c r="A1216" s="573"/>
      <c r="B1216" s="596"/>
      <c r="C1216" s="51" t="s">
        <v>1902</v>
      </c>
      <c r="D1216" s="319" t="s">
        <v>2824</v>
      </c>
      <c r="E1216" s="52">
        <v>3</v>
      </c>
      <c r="F1216" s="428"/>
      <c r="G1216" s="37"/>
      <c r="H1216" s="113"/>
      <c r="I1216" s="55"/>
      <c r="L1216" s="1" t="str">
        <f t="shared" si="19"/>
        <v>空白</v>
      </c>
      <c r="M1216" s="1" t="str">
        <f t="shared" si="19"/>
        <v>空白</v>
      </c>
      <c r="N1216" s="1" t="str">
        <f t="shared" si="19"/>
        <v>空白</v>
      </c>
    </row>
    <row r="1217" spans="1:14">
      <c r="A1217" s="573"/>
      <c r="B1217" s="594" t="s">
        <v>1903</v>
      </c>
      <c r="C1217" s="22" t="s">
        <v>1904</v>
      </c>
      <c r="D1217" s="348" t="s">
        <v>2803</v>
      </c>
      <c r="E1217" s="48">
        <v>3</v>
      </c>
      <c r="F1217" s="23"/>
      <c r="G1217" s="160"/>
      <c r="H1217" s="202"/>
      <c r="I1217" s="304"/>
      <c r="L1217" s="1" t="str">
        <f t="shared" si="19"/>
        <v>空白</v>
      </c>
      <c r="M1217" s="1" t="str">
        <f t="shared" si="19"/>
        <v>空白</v>
      </c>
      <c r="N1217" s="1" t="str">
        <f t="shared" si="19"/>
        <v>空白</v>
      </c>
    </row>
    <row r="1218" spans="1:14" ht="39">
      <c r="A1218" s="573"/>
      <c r="B1218" s="595"/>
      <c r="C1218" s="22" t="s">
        <v>3379</v>
      </c>
      <c r="D1218" s="431" t="s">
        <v>3345</v>
      </c>
      <c r="E1218" s="430">
        <v>3</v>
      </c>
      <c r="F1218" s="9" t="s">
        <v>1905</v>
      </c>
      <c r="G1218" s="111" t="s">
        <v>1823</v>
      </c>
      <c r="H1218" s="112">
        <v>3</v>
      </c>
      <c r="I1218" s="28" t="s">
        <v>1893</v>
      </c>
      <c r="K1218" s="2" t="s">
        <v>242</v>
      </c>
      <c r="L1218" s="1" t="str">
        <f t="shared" si="19"/>
        <v>對</v>
      </c>
      <c r="M1218" s="1" t="str">
        <f t="shared" si="19"/>
        <v>對</v>
      </c>
      <c r="N1218" s="1" t="str">
        <f t="shared" si="19"/>
        <v>對</v>
      </c>
    </row>
    <row r="1219" spans="1:14">
      <c r="A1219" s="573"/>
      <c r="B1219" s="596"/>
      <c r="C1219" s="63" t="s">
        <v>1906</v>
      </c>
      <c r="D1219" s="337" t="s">
        <v>2824</v>
      </c>
      <c r="E1219" s="52">
        <v>3</v>
      </c>
      <c r="F1219" s="428"/>
      <c r="G1219" s="37"/>
      <c r="H1219" s="113"/>
      <c r="I1219" s="55"/>
      <c r="L1219" s="1" t="str">
        <f t="shared" si="19"/>
        <v>空白</v>
      </c>
      <c r="M1219" s="1" t="str">
        <f t="shared" si="19"/>
        <v>空白</v>
      </c>
      <c r="N1219" s="1" t="str">
        <f t="shared" si="19"/>
        <v>空白</v>
      </c>
    </row>
    <row r="1220" spans="1:14">
      <c r="A1220" s="573"/>
      <c r="B1220" s="594" t="s">
        <v>1907</v>
      </c>
      <c r="C1220" s="71" t="s">
        <v>1908</v>
      </c>
      <c r="D1220" s="339" t="s">
        <v>2803</v>
      </c>
      <c r="E1220" s="48">
        <v>2</v>
      </c>
      <c r="F1220" s="23"/>
      <c r="G1220" s="160"/>
      <c r="H1220" s="202"/>
      <c r="I1220" s="304"/>
      <c r="L1220" s="1" t="str">
        <f t="shared" si="19"/>
        <v>空白</v>
      </c>
      <c r="M1220" s="1" t="str">
        <f t="shared" si="19"/>
        <v>空白</v>
      </c>
      <c r="N1220" s="1" t="str">
        <f t="shared" si="19"/>
        <v>空白</v>
      </c>
    </row>
    <row r="1221" spans="1:14" ht="39">
      <c r="A1221" s="573"/>
      <c r="B1221" s="595"/>
      <c r="C1221" s="71" t="s">
        <v>3380</v>
      </c>
      <c r="D1221" s="431" t="s">
        <v>3345</v>
      </c>
      <c r="E1221" s="430">
        <v>2</v>
      </c>
      <c r="F1221" s="9" t="s">
        <v>1909</v>
      </c>
      <c r="G1221" s="111" t="s">
        <v>1823</v>
      </c>
      <c r="H1221" s="112">
        <v>2</v>
      </c>
      <c r="I1221" s="28" t="s">
        <v>1824</v>
      </c>
      <c r="K1221" s="2" t="s">
        <v>242</v>
      </c>
      <c r="L1221" s="1" t="str">
        <f t="shared" si="19"/>
        <v>對</v>
      </c>
      <c r="M1221" s="1" t="str">
        <f t="shared" si="19"/>
        <v>對</v>
      </c>
      <c r="N1221" s="1" t="str">
        <f t="shared" si="19"/>
        <v>對</v>
      </c>
    </row>
    <row r="1222" spans="1:14">
      <c r="A1222" s="573"/>
      <c r="B1222" s="596"/>
      <c r="C1222" s="51" t="s">
        <v>1910</v>
      </c>
      <c r="D1222" s="319" t="s">
        <v>2825</v>
      </c>
      <c r="E1222" s="52">
        <v>3</v>
      </c>
      <c r="F1222" s="428"/>
      <c r="G1222" s="37"/>
      <c r="H1222" s="113"/>
      <c r="I1222" s="55"/>
      <c r="L1222" s="1" t="str">
        <f t="shared" ref="L1222:N1285" si="20">IF(ISBLANK(F1222),"空白",IF(F1222=C1222,"對","錯"))</f>
        <v>空白</v>
      </c>
      <c r="M1222" s="1" t="str">
        <f t="shared" si="20"/>
        <v>空白</v>
      </c>
      <c r="N1222" s="1" t="str">
        <f t="shared" si="20"/>
        <v>空白</v>
      </c>
    </row>
    <row r="1223" spans="1:14">
      <c r="A1223" s="573"/>
      <c r="B1223" s="594" t="s">
        <v>1911</v>
      </c>
      <c r="C1223" s="22" t="s">
        <v>1912</v>
      </c>
      <c r="D1223" s="348" t="s">
        <v>2803</v>
      </c>
      <c r="E1223" s="48">
        <v>2</v>
      </c>
      <c r="F1223" s="23"/>
      <c r="G1223" s="160"/>
      <c r="H1223" s="202"/>
      <c r="I1223" s="304"/>
      <c r="L1223" s="1" t="str">
        <f t="shared" si="20"/>
        <v>空白</v>
      </c>
      <c r="M1223" s="1" t="str">
        <f t="shared" si="20"/>
        <v>空白</v>
      </c>
      <c r="N1223" s="1" t="str">
        <f t="shared" si="20"/>
        <v>空白</v>
      </c>
    </row>
    <row r="1224" spans="1:14" ht="39">
      <c r="A1224" s="573"/>
      <c r="B1224" s="595"/>
      <c r="C1224" s="22" t="s">
        <v>3381</v>
      </c>
      <c r="D1224" s="431" t="s">
        <v>3345</v>
      </c>
      <c r="E1224" s="430">
        <v>2</v>
      </c>
      <c r="F1224" s="9" t="s">
        <v>1913</v>
      </c>
      <c r="G1224" s="111" t="s">
        <v>1823</v>
      </c>
      <c r="H1224" s="112">
        <v>2</v>
      </c>
      <c r="I1224" s="28" t="s">
        <v>1824</v>
      </c>
      <c r="K1224" s="2" t="s">
        <v>242</v>
      </c>
      <c r="L1224" s="1" t="str">
        <f t="shared" si="20"/>
        <v>對</v>
      </c>
      <c r="M1224" s="1" t="str">
        <f t="shared" si="20"/>
        <v>對</v>
      </c>
      <c r="N1224" s="1" t="str">
        <f t="shared" si="20"/>
        <v>對</v>
      </c>
    </row>
    <row r="1225" spans="1:14">
      <c r="A1225" s="573"/>
      <c r="B1225" s="596"/>
      <c r="C1225" s="63" t="s">
        <v>1914</v>
      </c>
      <c r="D1225" s="337" t="s">
        <v>2826</v>
      </c>
      <c r="E1225" s="52">
        <v>3</v>
      </c>
      <c r="F1225" s="428"/>
      <c r="G1225" s="37"/>
      <c r="H1225" s="113"/>
      <c r="I1225" s="55"/>
      <c r="L1225" s="1" t="str">
        <f t="shared" si="20"/>
        <v>空白</v>
      </c>
      <c r="M1225" s="1" t="str">
        <f t="shared" si="20"/>
        <v>空白</v>
      </c>
      <c r="N1225" s="1" t="str">
        <f t="shared" si="20"/>
        <v>空白</v>
      </c>
    </row>
    <row r="1226" spans="1:14">
      <c r="A1226" s="573"/>
      <c r="B1226" s="594" t="s">
        <v>1915</v>
      </c>
      <c r="C1226" s="71" t="s">
        <v>1916</v>
      </c>
      <c r="D1226" s="339" t="s">
        <v>2803</v>
      </c>
      <c r="E1226" s="48">
        <v>4</v>
      </c>
      <c r="F1226" s="23"/>
      <c r="G1226" s="160"/>
      <c r="H1226" s="202"/>
      <c r="I1226" s="304"/>
      <c r="L1226" s="1" t="str">
        <f t="shared" si="20"/>
        <v>空白</v>
      </c>
      <c r="M1226" s="1" t="str">
        <f t="shared" si="20"/>
        <v>空白</v>
      </c>
      <c r="N1226" s="1" t="str">
        <f t="shared" si="20"/>
        <v>空白</v>
      </c>
    </row>
    <row r="1227" spans="1:14" ht="39">
      <c r="A1227" s="573"/>
      <c r="B1227" s="595"/>
      <c r="C1227" s="71" t="s">
        <v>3382</v>
      </c>
      <c r="D1227" s="431" t="s">
        <v>3345</v>
      </c>
      <c r="E1227" s="430">
        <v>4</v>
      </c>
      <c r="F1227" s="9" t="s">
        <v>1917</v>
      </c>
      <c r="G1227" s="111" t="s">
        <v>1823</v>
      </c>
      <c r="H1227" s="112">
        <v>4</v>
      </c>
      <c r="I1227" s="28" t="s">
        <v>1918</v>
      </c>
      <c r="K1227" s="2" t="s">
        <v>242</v>
      </c>
      <c r="L1227" s="1" t="str">
        <f t="shared" si="20"/>
        <v>對</v>
      </c>
      <c r="M1227" s="1" t="str">
        <f t="shared" si="20"/>
        <v>對</v>
      </c>
      <c r="N1227" s="1" t="str">
        <f t="shared" si="20"/>
        <v>對</v>
      </c>
    </row>
    <row r="1228" spans="1:14">
      <c r="A1228" s="573"/>
      <c r="B1228" s="596"/>
      <c r="C1228" s="51" t="s">
        <v>1919</v>
      </c>
      <c r="D1228" s="319" t="s">
        <v>2824</v>
      </c>
      <c r="E1228" s="52">
        <v>4</v>
      </c>
      <c r="F1228" s="428"/>
      <c r="G1228" s="37"/>
      <c r="H1228" s="113"/>
      <c r="I1228" s="55"/>
      <c r="L1228" s="1" t="str">
        <f t="shared" si="20"/>
        <v>空白</v>
      </c>
      <c r="M1228" s="1" t="str">
        <f t="shared" si="20"/>
        <v>空白</v>
      </c>
      <c r="N1228" s="1" t="str">
        <f t="shared" si="20"/>
        <v>空白</v>
      </c>
    </row>
    <row r="1229" spans="1:14">
      <c r="A1229" s="573"/>
      <c r="B1229" s="594" t="s">
        <v>1920</v>
      </c>
      <c r="C1229" s="22" t="s">
        <v>1921</v>
      </c>
      <c r="D1229" s="348" t="s">
        <v>2803</v>
      </c>
      <c r="E1229" s="48">
        <v>4</v>
      </c>
      <c r="F1229" s="23"/>
      <c r="G1229" s="160"/>
      <c r="H1229" s="202"/>
      <c r="I1229" s="304"/>
      <c r="L1229" s="1" t="str">
        <f t="shared" si="20"/>
        <v>空白</v>
      </c>
      <c r="M1229" s="1" t="str">
        <f t="shared" si="20"/>
        <v>空白</v>
      </c>
      <c r="N1229" s="1" t="str">
        <f t="shared" si="20"/>
        <v>空白</v>
      </c>
    </row>
    <row r="1230" spans="1:14" ht="39">
      <c r="A1230" s="573"/>
      <c r="B1230" s="595"/>
      <c r="C1230" s="22" t="s">
        <v>3383</v>
      </c>
      <c r="D1230" s="431" t="s">
        <v>3345</v>
      </c>
      <c r="E1230" s="430">
        <v>4</v>
      </c>
      <c r="F1230" s="9" t="s">
        <v>1922</v>
      </c>
      <c r="G1230" s="111" t="s">
        <v>1823</v>
      </c>
      <c r="H1230" s="112">
        <v>4</v>
      </c>
      <c r="I1230" s="28" t="s">
        <v>1918</v>
      </c>
      <c r="K1230" s="2" t="s">
        <v>242</v>
      </c>
      <c r="L1230" s="1" t="str">
        <f t="shared" si="20"/>
        <v>對</v>
      </c>
      <c r="M1230" s="1" t="str">
        <f t="shared" si="20"/>
        <v>對</v>
      </c>
      <c r="N1230" s="1" t="str">
        <f t="shared" si="20"/>
        <v>對</v>
      </c>
    </row>
    <row r="1231" spans="1:14">
      <c r="A1231" s="573"/>
      <c r="B1231" s="596"/>
      <c r="C1231" s="63" t="s">
        <v>1923</v>
      </c>
      <c r="D1231" s="337" t="s">
        <v>2827</v>
      </c>
      <c r="E1231" s="52">
        <v>4</v>
      </c>
      <c r="F1231" s="428"/>
      <c r="G1231" s="37"/>
      <c r="H1231" s="113"/>
      <c r="I1231" s="55"/>
      <c r="L1231" s="1" t="str">
        <f t="shared" si="20"/>
        <v>空白</v>
      </c>
      <c r="M1231" s="1" t="str">
        <f t="shared" si="20"/>
        <v>空白</v>
      </c>
      <c r="N1231" s="1" t="str">
        <f t="shared" si="20"/>
        <v>空白</v>
      </c>
    </row>
    <row r="1232" spans="1:14">
      <c r="A1232" s="573"/>
      <c r="B1232" s="594" t="s">
        <v>1924</v>
      </c>
      <c r="C1232" s="71" t="s">
        <v>1925</v>
      </c>
      <c r="D1232" s="339" t="s">
        <v>2803</v>
      </c>
      <c r="E1232" s="48">
        <v>2</v>
      </c>
      <c r="F1232" s="23"/>
      <c r="G1232" s="160"/>
      <c r="H1232" s="202"/>
      <c r="I1232" s="304"/>
      <c r="L1232" s="1" t="str">
        <f t="shared" si="20"/>
        <v>空白</v>
      </c>
      <c r="M1232" s="1" t="str">
        <f t="shared" si="20"/>
        <v>空白</v>
      </c>
      <c r="N1232" s="1" t="str">
        <f t="shared" si="20"/>
        <v>空白</v>
      </c>
    </row>
    <row r="1233" spans="1:14" ht="39">
      <c r="A1233" s="573"/>
      <c r="B1233" s="595"/>
      <c r="C1233" s="71" t="s">
        <v>3384</v>
      </c>
      <c r="D1233" s="431" t="s">
        <v>3345</v>
      </c>
      <c r="E1233" s="430">
        <v>2</v>
      </c>
      <c r="F1233" s="9" t="s">
        <v>1926</v>
      </c>
      <c r="G1233" s="111" t="s">
        <v>1823</v>
      </c>
      <c r="H1233" s="112">
        <v>2</v>
      </c>
      <c r="I1233" s="28" t="s">
        <v>1824</v>
      </c>
      <c r="K1233" s="2" t="s">
        <v>242</v>
      </c>
      <c r="L1233" s="1" t="str">
        <f t="shared" si="20"/>
        <v>對</v>
      </c>
      <c r="M1233" s="1" t="str">
        <f t="shared" si="20"/>
        <v>對</v>
      </c>
      <c r="N1233" s="1" t="str">
        <f t="shared" si="20"/>
        <v>對</v>
      </c>
    </row>
    <row r="1234" spans="1:14">
      <c r="A1234" s="573"/>
      <c r="B1234" s="596"/>
      <c r="C1234" s="51" t="s">
        <v>1927</v>
      </c>
      <c r="D1234" s="319" t="s">
        <v>2828</v>
      </c>
      <c r="E1234" s="52">
        <v>4</v>
      </c>
      <c r="F1234" s="428"/>
      <c r="G1234" s="37"/>
      <c r="H1234" s="113"/>
      <c r="I1234" s="55"/>
      <c r="L1234" s="1" t="str">
        <f t="shared" si="20"/>
        <v>空白</v>
      </c>
      <c r="M1234" s="1" t="str">
        <f t="shared" si="20"/>
        <v>空白</v>
      </c>
      <c r="N1234" s="1" t="str">
        <f t="shared" si="20"/>
        <v>空白</v>
      </c>
    </row>
    <row r="1235" spans="1:14">
      <c r="A1235" s="573"/>
      <c r="B1235" s="594" t="s">
        <v>1928</v>
      </c>
      <c r="C1235" s="22" t="s">
        <v>1929</v>
      </c>
      <c r="D1235" s="348" t="s">
        <v>2803</v>
      </c>
      <c r="E1235" s="48">
        <v>2</v>
      </c>
      <c r="F1235" s="23"/>
      <c r="G1235" s="160"/>
      <c r="H1235" s="202"/>
      <c r="I1235" s="304"/>
      <c r="L1235" s="1" t="str">
        <f t="shared" si="20"/>
        <v>空白</v>
      </c>
      <c r="M1235" s="1" t="str">
        <f t="shared" si="20"/>
        <v>空白</v>
      </c>
      <c r="N1235" s="1" t="str">
        <f t="shared" si="20"/>
        <v>空白</v>
      </c>
    </row>
    <row r="1236" spans="1:14" ht="39">
      <c r="A1236" s="573"/>
      <c r="B1236" s="595"/>
      <c r="C1236" s="77" t="s">
        <v>3346</v>
      </c>
      <c r="D1236" s="348" t="s">
        <v>3340</v>
      </c>
      <c r="E1236" s="48">
        <v>2</v>
      </c>
      <c r="F1236" s="9" t="s">
        <v>1930</v>
      </c>
      <c r="G1236" s="111" t="s">
        <v>1823</v>
      </c>
      <c r="H1236" s="112">
        <v>2</v>
      </c>
      <c r="I1236" s="28" t="s">
        <v>1824</v>
      </c>
      <c r="K1236" s="2" t="s">
        <v>242</v>
      </c>
      <c r="L1236" s="1" t="str">
        <f t="shared" si="20"/>
        <v>對</v>
      </c>
      <c r="M1236" s="1" t="str">
        <f t="shared" si="20"/>
        <v>對</v>
      </c>
      <c r="N1236" s="1" t="str">
        <f t="shared" si="20"/>
        <v>對</v>
      </c>
    </row>
    <row r="1237" spans="1:14">
      <c r="A1237" s="573"/>
      <c r="B1237" s="596"/>
      <c r="C1237" s="63" t="s">
        <v>1931</v>
      </c>
      <c r="D1237" s="337" t="s">
        <v>2829</v>
      </c>
      <c r="E1237" s="52">
        <v>5</v>
      </c>
      <c r="F1237" s="428"/>
      <c r="G1237" s="37"/>
      <c r="H1237" s="113"/>
      <c r="I1237" s="55"/>
      <c r="L1237" s="1" t="str">
        <f t="shared" si="20"/>
        <v>空白</v>
      </c>
      <c r="M1237" s="1" t="str">
        <f t="shared" si="20"/>
        <v>空白</v>
      </c>
      <c r="N1237" s="1" t="str">
        <f t="shared" si="20"/>
        <v>空白</v>
      </c>
    </row>
    <row r="1238" spans="1:14">
      <c r="A1238" s="573"/>
      <c r="B1238" s="594" t="s">
        <v>1932</v>
      </c>
      <c r="C1238" s="71" t="s">
        <v>1933</v>
      </c>
      <c r="D1238" s="339" t="s">
        <v>2803</v>
      </c>
      <c r="E1238" s="48">
        <v>3</v>
      </c>
      <c r="F1238" s="23"/>
      <c r="G1238" s="160"/>
      <c r="H1238" s="202"/>
      <c r="I1238" s="304"/>
      <c r="L1238" s="1" t="str">
        <f t="shared" si="20"/>
        <v>空白</v>
      </c>
      <c r="M1238" s="1" t="str">
        <f t="shared" si="20"/>
        <v>空白</v>
      </c>
      <c r="N1238" s="1" t="str">
        <f t="shared" si="20"/>
        <v>空白</v>
      </c>
    </row>
    <row r="1239" spans="1:14" ht="39">
      <c r="A1239" s="573"/>
      <c r="B1239" s="595"/>
      <c r="C1239" s="77" t="s">
        <v>3347</v>
      </c>
      <c r="D1239" s="348" t="s">
        <v>3340</v>
      </c>
      <c r="E1239" s="48">
        <v>3</v>
      </c>
      <c r="F1239" s="9" t="s">
        <v>1934</v>
      </c>
      <c r="G1239" s="111" t="s">
        <v>1823</v>
      </c>
      <c r="H1239" s="112">
        <v>3</v>
      </c>
      <c r="I1239" s="28" t="s">
        <v>1893</v>
      </c>
      <c r="K1239" s="2" t="s">
        <v>242</v>
      </c>
      <c r="L1239" s="1" t="str">
        <f t="shared" si="20"/>
        <v>對</v>
      </c>
      <c r="M1239" s="1" t="str">
        <f t="shared" si="20"/>
        <v>對</v>
      </c>
      <c r="N1239" s="1" t="str">
        <f t="shared" si="20"/>
        <v>對</v>
      </c>
    </row>
    <row r="1240" spans="1:14">
      <c r="A1240" s="573"/>
      <c r="B1240" s="596"/>
      <c r="C1240" s="51" t="s">
        <v>1935</v>
      </c>
      <c r="D1240" s="319" t="s">
        <v>2830</v>
      </c>
      <c r="E1240" s="52">
        <v>6</v>
      </c>
      <c r="F1240" s="428"/>
      <c r="G1240" s="37"/>
      <c r="H1240" s="113"/>
      <c r="I1240" s="55"/>
      <c r="L1240" s="1" t="str">
        <f t="shared" si="20"/>
        <v>空白</v>
      </c>
      <c r="M1240" s="1" t="str">
        <f t="shared" si="20"/>
        <v>空白</v>
      </c>
      <c r="N1240" s="1" t="str">
        <f t="shared" si="20"/>
        <v>空白</v>
      </c>
    </row>
    <row r="1241" spans="1:14">
      <c r="A1241" s="573"/>
      <c r="B1241" s="600" t="s">
        <v>1936</v>
      </c>
      <c r="C1241" s="22" t="s">
        <v>1937</v>
      </c>
      <c r="D1241" s="348" t="s">
        <v>2803</v>
      </c>
      <c r="E1241" s="48">
        <v>2</v>
      </c>
      <c r="F1241" s="23"/>
      <c r="G1241" s="160"/>
      <c r="H1241" s="202"/>
      <c r="I1241" s="304"/>
      <c r="L1241" s="1" t="str">
        <f t="shared" si="20"/>
        <v>空白</v>
      </c>
      <c r="M1241" s="1" t="str">
        <f t="shared" si="20"/>
        <v>空白</v>
      </c>
      <c r="N1241" s="1" t="str">
        <f t="shared" si="20"/>
        <v>空白</v>
      </c>
    </row>
    <row r="1242" spans="1:14" ht="39">
      <c r="A1242" s="573"/>
      <c r="B1242" s="595"/>
      <c r="C1242" s="77" t="s">
        <v>3348</v>
      </c>
      <c r="D1242" s="348" t="s">
        <v>3340</v>
      </c>
      <c r="E1242" s="48">
        <v>2</v>
      </c>
      <c r="F1242" s="9" t="s">
        <v>1938</v>
      </c>
      <c r="G1242" s="111" t="s">
        <v>1823</v>
      </c>
      <c r="H1242" s="112">
        <v>2</v>
      </c>
      <c r="I1242" s="28" t="s">
        <v>1824</v>
      </c>
      <c r="K1242" s="2" t="s">
        <v>242</v>
      </c>
      <c r="L1242" s="1" t="str">
        <f t="shared" si="20"/>
        <v>對</v>
      </c>
      <c r="M1242" s="1" t="str">
        <f t="shared" si="20"/>
        <v>對</v>
      </c>
      <c r="N1242" s="1" t="str">
        <f t="shared" si="20"/>
        <v>對</v>
      </c>
    </row>
    <row r="1243" spans="1:14">
      <c r="A1243" s="573"/>
      <c r="B1243" s="599"/>
      <c r="C1243" s="63" t="s">
        <v>1939</v>
      </c>
      <c r="D1243" s="337" t="s">
        <v>2831</v>
      </c>
      <c r="E1243" s="52">
        <v>6</v>
      </c>
      <c r="F1243" s="428"/>
      <c r="G1243" s="37"/>
      <c r="H1243" s="113"/>
      <c r="I1243" s="55"/>
      <c r="L1243" s="1" t="str">
        <f t="shared" si="20"/>
        <v>空白</v>
      </c>
      <c r="M1243" s="1" t="str">
        <f t="shared" si="20"/>
        <v>空白</v>
      </c>
      <c r="N1243" s="1" t="str">
        <f t="shared" si="20"/>
        <v>空白</v>
      </c>
    </row>
    <row r="1244" spans="1:14">
      <c r="A1244" s="573"/>
      <c r="B1244" s="594" t="s">
        <v>1940</v>
      </c>
      <c r="C1244" s="71" t="s">
        <v>1941</v>
      </c>
      <c r="D1244" s="339" t="s">
        <v>2803</v>
      </c>
      <c r="E1244" s="48">
        <v>2</v>
      </c>
      <c r="F1244" s="23"/>
      <c r="G1244" s="160"/>
      <c r="H1244" s="202"/>
      <c r="I1244" s="304"/>
      <c r="L1244" s="1" t="str">
        <f t="shared" si="20"/>
        <v>空白</v>
      </c>
      <c r="M1244" s="1" t="str">
        <f t="shared" si="20"/>
        <v>空白</v>
      </c>
      <c r="N1244" s="1" t="str">
        <f t="shared" si="20"/>
        <v>空白</v>
      </c>
    </row>
    <row r="1245" spans="1:14" ht="39">
      <c r="A1245" s="573"/>
      <c r="B1245" s="595"/>
      <c r="C1245" s="71" t="s">
        <v>3385</v>
      </c>
      <c r="D1245" s="431" t="s">
        <v>3345</v>
      </c>
      <c r="E1245" s="430">
        <v>2</v>
      </c>
      <c r="F1245" s="9" t="s">
        <v>1942</v>
      </c>
      <c r="G1245" s="111" t="s">
        <v>1823</v>
      </c>
      <c r="H1245" s="112">
        <v>2</v>
      </c>
      <c r="I1245" s="28" t="s">
        <v>1824</v>
      </c>
      <c r="K1245" s="2" t="s">
        <v>242</v>
      </c>
      <c r="L1245" s="1" t="str">
        <f t="shared" si="20"/>
        <v>對</v>
      </c>
      <c r="M1245" s="1" t="str">
        <f t="shared" si="20"/>
        <v>對</v>
      </c>
      <c r="N1245" s="1" t="str">
        <f t="shared" si="20"/>
        <v>對</v>
      </c>
    </row>
    <row r="1246" spans="1:14" ht="19.5">
      <c r="A1246" s="573"/>
      <c r="B1246" s="596"/>
      <c r="C1246" s="51" t="s">
        <v>1943</v>
      </c>
      <c r="D1246" s="319" t="s">
        <v>2832</v>
      </c>
      <c r="E1246" s="52" t="s">
        <v>1944</v>
      </c>
      <c r="F1246" s="428"/>
      <c r="G1246" s="37"/>
      <c r="H1246" s="113"/>
      <c r="I1246" s="55"/>
      <c r="L1246" s="1" t="str">
        <f t="shared" si="20"/>
        <v>空白</v>
      </c>
      <c r="M1246" s="1" t="str">
        <f t="shared" si="20"/>
        <v>空白</v>
      </c>
      <c r="N1246" s="1" t="str">
        <f t="shared" si="20"/>
        <v>空白</v>
      </c>
    </row>
    <row r="1247" spans="1:14">
      <c r="A1247" s="573"/>
      <c r="B1247" s="594" t="s">
        <v>1945</v>
      </c>
      <c r="C1247" s="22" t="s">
        <v>1946</v>
      </c>
      <c r="D1247" s="348" t="s">
        <v>2803</v>
      </c>
      <c r="E1247" s="48">
        <v>3</v>
      </c>
      <c r="F1247" s="23"/>
      <c r="G1247" s="160"/>
      <c r="H1247" s="202"/>
      <c r="I1247" s="304"/>
      <c r="L1247" s="1" t="str">
        <f t="shared" si="20"/>
        <v>空白</v>
      </c>
      <c r="M1247" s="1" t="str">
        <f t="shared" si="20"/>
        <v>空白</v>
      </c>
      <c r="N1247" s="1" t="str">
        <f t="shared" si="20"/>
        <v>空白</v>
      </c>
    </row>
    <row r="1248" spans="1:14" ht="39">
      <c r="A1248" s="573"/>
      <c r="B1248" s="595"/>
      <c r="C1248" s="22" t="s">
        <v>3386</v>
      </c>
      <c r="D1248" s="431" t="s">
        <v>3345</v>
      </c>
      <c r="E1248" s="430">
        <v>3</v>
      </c>
      <c r="F1248" s="9" t="s">
        <v>1947</v>
      </c>
      <c r="G1248" s="111" t="s">
        <v>1823</v>
      </c>
      <c r="H1248" s="112">
        <v>3</v>
      </c>
      <c r="I1248" s="28" t="s">
        <v>1893</v>
      </c>
      <c r="K1248" s="2" t="s">
        <v>242</v>
      </c>
      <c r="L1248" s="1" t="str">
        <f t="shared" si="20"/>
        <v>對</v>
      </c>
      <c r="M1248" s="1" t="str">
        <f t="shared" si="20"/>
        <v>對</v>
      </c>
      <c r="N1248" s="1" t="str">
        <f t="shared" si="20"/>
        <v>對</v>
      </c>
    </row>
    <row r="1249" spans="1:14" ht="19.5">
      <c r="A1249" s="573"/>
      <c r="B1249" s="596"/>
      <c r="C1249" s="63" t="s">
        <v>1948</v>
      </c>
      <c r="D1249" s="337" t="s">
        <v>2833</v>
      </c>
      <c r="E1249" s="52" t="s">
        <v>1944</v>
      </c>
      <c r="F1249" s="428"/>
      <c r="G1249" s="37"/>
      <c r="H1249" s="113"/>
      <c r="I1249" s="55"/>
      <c r="L1249" s="1" t="str">
        <f t="shared" si="20"/>
        <v>空白</v>
      </c>
      <c r="M1249" s="1" t="str">
        <f t="shared" si="20"/>
        <v>空白</v>
      </c>
      <c r="N1249" s="1" t="str">
        <f t="shared" si="20"/>
        <v>空白</v>
      </c>
    </row>
    <row r="1250" spans="1:14">
      <c r="A1250" s="573"/>
      <c r="B1250" s="594" t="s">
        <v>1949</v>
      </c>
      <c r="C1250" s="71" t="s">
        <v>1950</v>
      </c>
      <c r="D1250" s="339" t="s">
        <v>2803</v>
      </c>
      <c r="E1250" s="48">
        <v>3</v>
      </c>
      <c r="F1250" s="23"/>
      <c r="G1250" s="160"/>
      <c r="H1250" s="202"/>
      <c r="I1250" s="304"/>
      <c r="L1250" s="1" t="str">
        <f t="shared" si="20"/>
        <v>空白</v>
      </c>
      <c r="M1250" s="1" t="str">
        <f t="shared" si="20"/>
        <v>空白</v>
      </c>
      <c r="N1250" s="1" t="str">
        <f t="shared" si="20"/>
        <v>空白</v>
      </c>
    </row>
    <row r="1251" spans="1:14" ht="39">
      <c r="A1251" s="573"/>
      <c r="B1251" s="595"/>
      <c r="C1251" s="71" t="s">
        <v>3387</v>
      </c>
      <c r="D1251" s="431" t="s">
        <v>3345</v>
      </c>
      <c r="E1251" s="430">
        <v>3</v>
      </c>
      <c r="F1251" s="9" t="s">
        <v>1951</v>
      </c>
      <c r="G1251" s="111" t="s">
        <v>1823</v>
      </c>
      <c r="H1251" s="112">
        <v>3</v>
      </c>
      <c r="I1251" s="28" t="s">
        <v>1893</v>
      </c>
      <c r="K1251" s="2" t="s">
        <v>242</v>
      </c>
      <c r="L1251" s="1" t="str">
        <f t="shared" si="20"/>
        <v>對</v>
      </c>
      <c r="M1251" s="1" t="str">
        <f t="shared" si="20"/>
        <v>對</v>
      </c>
      <c r="N1251" s="1" t="str">
        <f t="shared" si="20"/>
        <v>對</v>
      </c>
    </row>
    <row r="1252" spans="1:14" ht="19.5">
      <c r="A1252" s="573"/>
      <c r="B1252" s="596"/>
      <c r="C1252" s="51" t="s">
        <v>1952</v>
      </c>
      <c r="D1252" s="319" t="s">
        <v>2834</v>
      </c>
      <c r="E1252" s="52" t="s">
        <v>1944</v>
      </c>
      <c r="F1252" s="428"/>
      <c r="G1252" s="37"/>
      <c r="H1252" s="113"/>
      <c r="I1252" s="55"/>
      <c r="L1252" s="1" t="str">
        <f t="shared" si="20"/>
        <v>空白</v>
      </c>
      <c r="M1252" s="1" t="str">
        <f t="shared" si="20"/>
        <v>空白</v>
      </c>
      <c r="N1252" s="1" t="str">
        <f t="shared" si="20"/>
        <v>空白</v>
      </c>
    </row>
    <row r="1253" spans="1:14">
      <c r="A1253" s="573"/>
      <c r="B1253" s="594" t="s">
        <v>1953</v>
      </c>
      <c r="C1253" s="22" t="s">
        <v>1954</v>
      </c>
      <c r="D1253" s="348" t="s">
        <v>2803</v>
      </c>
      <c r="E1253" s="48">
        <v>3</v>
      </c>
      <c r="F1253" s="23"/>
      <c r="G1253" s="160"/>
      <c r="H1253" s="202"/>
      <c r="I1253" s="304"/>
      <c r="L1253" s="1" t="str">
        <f t="shared" si="20"/>
        <v>空白</v>
      </c>
      <c r="M1253" s="1" t="str">
        <f t="shared" si="20"/>
        <v>空白</v>
      </c>
      <c r="N1253" s="1" t="str">
        <f t="shared" si="20"/>
        <v>空白</v>
      </c>
    </row>
    <row r="1254" spans="1:14" ht="39">
      <c r="A1254" s="573"/>
      <c r="B1254" s="595"/>
      <c r="C1254" s="22" t="s">
        <v>3388</v>
      </c>
      <c r="D1254" s="431" t="s">
        <v>3345</v>
      </c>
      <c r="E1254" s="430">
        <v>3</v>
      </c>
      <c r="F1254" s="9" t="s">
        <v>1955</v>
      </c>
      <c r="G1254" s="111" t="s">
        <v>1823</v>
      </c>
      <c r="H1254" s="112">
        <v>3</v>
      </c>
      <c r="I1254" s="28" t="s">
        <v>1893</v>
      </c>
      <c r="K1254" s="2" t="s">
        <v>242</v>
      </c>
      <c r="L1254" s="1" t="str">
        <f t="shared" si="20"/>
        <v>對</v>
      </c>
      <c r="M1254" s="1" t="str">
        <f t="shared" si="20"/>
        <v>對</v>
      </c>
      <c r="N1254" s="1" t="str">
        <f t="shared" si="20"/>
        <v>對</v>
      </c>
    </row>
    <row r="1255" spans="1:14" ht="19.5">
      <c r="A1255" s="573"/>
      <c r="B1255" s="596"/>
      <c r="C1255" s="63" t="s">
        <v>1956</v>
      </c>
      <c r="D1255" s="337" t="s">
        <v>2835</v>
      </c>
      <c r="E1255" s="52" t="s">
        <v>1944</v>
      </c>
      <c r="F1255" s="428"/>
      <c r="G1255" s="37"/>
      <c r="H1255" s="113"/>
      <c r="I1255" s="55"/>
      <c r="L1255" s="1" t="str">
        <f t="shared" si="20"/>
        <v>空白</v>
      </c>
      <c r="M1255" s="1" t="str">
        <f t="shared" si="20"/>
        <v>空白</v>
      </c>
      <c r="N1255" s="1" t="str">
        <f t="shared" si="20"/>
        <v>空白</v>
      </c>
    </row>
    <row r="1256" spans="1:14">
      <c r="A1256" s="573"/>
      <c r="B1256" s="594" t="s">
        <v>1957</v>
      </c>
      <c r="C1256" s="71" t="s">
        <v>1958</v>
      </c>
      <c r="D1256" s="339" t="s">
        <v>2803</v>
      </c>
      <c r="E1256" s="48">
        <v>3</v>
      </c>
      <c r="F1256" s="23"/>
      <c r="G1256" s="160"/>
      <c r="H1256" s="202"/>
      <c r="I1256" s="304"/>
      <c r="L1256" s="1" t="str">
        <f t="shared" si="20"/>
        <v>空白</v>
      </c>
      <c r="M1256" s="1" t="str">
        <f t="shared" si="20"/>
        <v>空白</v>
      </c>
      <c r="N1256" s="1" t="str">
        <f t="shared" si="20"/>
        <v>空白</v>
      </c>
    </row>
    <row r="1257" spans="1:14" ht="39">
      <c r="A1257" s="573"/>
      <c r="B1257" s="595"/>
      <c r="C1257" s="71" t="s">
        <v>3389</v>
      </c>
      <c r="D1257" s="431" t="s">
        <v>3345</v>
      </c>
      <c r="E1257" s="430">
        <v>3</v>
      </c>
      <c r="F1257" s="9" t="s">
        <v>1959</v>
      </c>
      <c r="G1257" s="111" t="s">
        <v>1823</v>
      </c>
      <c r="H1257" s="112">
        <v>3</v>
      </c>
      <c r="I1257" s="28" t="s">
        <v>1893</v>
      </c>
      <c r="K1257" s="2" t="s">
        <v>242</v>
      </c>
      <c r="L1257" s="1" t="str">
        <f t="shared" si="20"/>
        <v>對</v>
      </c>
      <c r="M1257" s="1" t="str">
        <f t="shared" si="20"/>
        <v>對</v>
      </c>
      <c r="N1257" s="1" t="str">
        <f t="shared" si="20"/>
        <v>對</v>
      </c>
    </row>
    <row r="1258" spans="1:14" ht="19.5">
      <c r="A1258" s="573"/>
      <c r="B1258" s="596"/>
      <c r="C1258" s="51" t="s">
        <v>1960</v>
      </c>
      <c r="D1258" s="319" t="s">
        <v>2836</v>
      </c>
      <c r="E1258" s="52" t="s">
        <v>1944</v>
      </c>
      <c r="F1258" s="428"/>
      <c r="G1258" s="37"/>
      <c r="H1258" s="113"/>
      <c r="I1258" s="55"/>
      <c r="L1258" s="1" t="str">
        <f t="shared" si="20"/>
        <v>空白</v>
      </c>
      <c r="M1258" s="1" t="str">
        <f t="shared" si="20"/>
        <v>空白</v>
      </c>
      <c r="N1258" s="1" t="str">
        <f t="shared" si="20"/>
        <v>空白</v>
      </c>
    </row>
    <row r="1259" spans="1:14">
      <c r="A1259" s="573"/>
      <c r="B1259" s="594" t="s">
        <v>1961</v>
      </c>
      <c r="C1259" s="22" t="s">
        <v>1962</v>
      </c>
      <c r="D1259" s="348" t="s">
        <v>2803</v>
      </c>
      <c r="E1259" s="48">
        <v>3</v>
      </c>
      <c r="F1259" s="23"/>
      <c r="G1259" s="160"/>
      <c r="H1259" s="202"/>
      <c r="I1259" s="304"/>
      <c r="L1259" s="1" t="str">
        <f t="shared" si="20"/>
        <v>空白</v>
      </c>
      <c r="M1259" s="1" t="str">
        <f t="shared" si="20"/>
        <v>空白</v>
      </c>
      <c r="N1259" s="1" t="str">
        <f t="shared" si="20"/>
        <v>空白</v>
      </c>
    </row>
    <row r="1260" spans="1:14" ht="39">
      <c r="A1260" s="573"/>
      <c r="B1260" s="595"/>
      <c r="C1260" s="22" t="s">
        <v>3390</v>
      </c>
      <c r="D1260" s="431" t="s">
        <v>3345</v>
      </c>
      <c r="E1260" s="430">
        <v>3</v>
      </c>
      <c r="F1260" s="9" t="s">
        <v>1963</v>
      </c>
      <c r="G1260" s="111" t="s">
        <v>1823</v>
      </c>
      <c r="H1260" s="112">
        <v>3</v>
      </c>
      <c r="I1260" s="28" t="s">
        <v>1893</v>
      </c>
      <c r="K1260" s="2" t="s">
        <v>242</v>
      </c>
      <c r="L1260" s="1" t="str">
        <f t="shared" si="20"/>
        <v>對</v>
      </c>
      <c r="M1260" s="1" t="str">
        <f t="shared" si="20"/>
        <v>對</v>
      </c>
      <c r="N1260" s="1" t="str">
        <f t="shared" si="20"/>
        <v>對</v>
      </c>
    </row>
    <row r="1261" spans="1:14" ht="19.5">
      <c r="A1261" s="573"/>
      <c r="B1261" s="596"/>
      <c r="C1261" s="63" t="s">
        <v>1964</v>
      </c>
      <c r="D1261" s="337" t="s">
        <v>2837</v>
      </c>
      <c r="E1261" s="52" t="s">
        <v>1944</v>
      </c>
      <c r="F1261" s="428"/>
      <c r="G1261" s="37"/>
      <c r="H1261" s="113"/>
      <c r="I1261" s="55"/>
      <c r="L1261" s="1" t="str">
        <f t="shared" si="20"/>
        <v>空白</v>
      </c>
      <c r="M1261" s="1" t="str">
        <f t="shared" si="20"/>
        <v>空白</v>
      </c>
      <c r="N1261" s="1" t="str">
        <f t="shared" si="20"/>
        <v>空白</v>
      </c>
    </row>
    <row r="1262" spans="1:14">
      <c r="A1262" s="573"/>
      <c r="B1262" s="594" t="s">
        <v>1965</v>
      </c>
      <c r="C1262" s="71" t="s">
        <v>1966</v>
      </c>
      <c r="D1262" s="339" t="s">
        <v>2803</v>
      </c>
      <c r="E1262" s="48">
        <v>3</v>
      </c>
      <c r="F1262" s="23"/>
      <c r="G1262" s="160"/>
      <c r="H1262" s="202"/>
      <c r="I1262" s="304"/>
      <c r="L1262" s="1" t="str">
        <f t="shared" si="20"/>
        <v>空白</v>
      </c>
      <c r="M1262" s="1" t="str">
        <f t="shared" si="20"/>
        <v>空白</v>
      </c>
      <c r="N1262" s="1" t="str">
        <f t="shared" si="20"/>
        <v>空白</v>
      </c>
    </row>
    <row r="1263" spans="1:14" ht="39">
      <c r="A1263" s="573"/>
      <c r="B1263" s="595"/>
      <c r="C1263" s="71" t="s">
        <v>3391</v>
      </c>
      <c r="D1263" s="431" t="s">
        <v>3345</v>
      </c>
      <c r="E1263" s="430">
        <v>3</v>
      </c>
      <c r="F1263" s="9" t="s">
        <v>1967</v>
      </c>
      <c r="G1263" s="111" t="s">
        <v>1823</v>
      </c>
      <c r="H1263" s="112">
        <v>3</v>
      </c>
      <c r="I1263" s="28" t="s">
        <v>1893</v>
      </c>
      <c r="K1263" s="2" t="s">
        <v>242</v>
      </c>
      <c r="L1263" s="1" t="str">
        <f t="shared" si="20"/>
        <v>對</v>
      </c>
      <c r="M1263" s="1" t="str">
        <f t="shared" si="20"/>
        <v>對</v>
      </c>
      <c r="N1263" s="1" t="str">
        <f t="shared" si="20"/>
        <v>對</v>
      </c>
    </row>
    <row r="1264" spans="1:14" ht="19.5">
      <c r="A1264" s="573"/>
      <c r="B1264" s="596"/>
      <c r="C1264" s="51" t="s">
        <v>1968</v>
      </c>
      <c r="D1264" s="319" t="s">
        <v>2838</v>
      </c>
      <c r="E1264" s="52" t="s">
        <v>1944</v>
      </c>
      <c r="F1264" s="428"/>
      <c r="G1264" s="37"/>
      <c r="H1264" s="113"/>
      <c r="I1264" s="55"/>
      <c r="L1264" s="1" t="str">
        <f t="shared" si="20"/>
        <v>空白</v>
      </c>
      <c r="M1264" s="1" t="str">
        <f t="shared" si="20"/>
        <v>空白</v>
      </c>
      <c r="N1264" s="1" t="str">
        <f t="shared" si="20"/>
        <v>空白</v>
      </c>
    </row>
    <row r="1265" spans="1:14">
      <c r="A1265" s="573"/>
      <c r="B1265" s="594" t="s">
        <v>1969</v>
      </c>
      <c r="C1265" s="22" t="s">
        <v>1970</v>
      </c>
      <c r="D1265" s="348" t="s">
        <v>2803</v>
      </c>
      <c r="E1265" s="48">
        <v>3</v>
      </c>
      <c r="F1265" s="23"/>
      <c r="G1265" s="160"/>
      <c r="H1265" s="202"/>
      <c r="I1265" s="304"/>
      <c r="L1265" s="1" t="str">
        <f t="shared" si="20"/>
        <v>空白</v>
      </c>
      <c r="M1265" s="1" t="str">
        <f t="shared" si="20"/>
        <v>空白</v>
      </c>
      <c r="N1265" s="1" t="str">
        <f t="shared" si="20"/>
        <v>空白</v>
      </c>
    </row>
    <row r="1266" spans="1:14" ht="39">
      <c r="A1266" s="573"/>
      <c r="B1266" s="595"/>
      <c r="C1266" s="22" t="s">
        <v>3392</v>
      </c>
      <c r="D1266" s="431" t="s">
        <v>3345</v>
      </c>
      <c r="E1266" s="430">
        <v>3</v>
      </c>
      <c r="F1266" s="9" t="s">
        <v>1971</v>
      </c>
      <c r="G1266" s="111" t="s">
        <v>1823</v>
      </c>
      <c r="H1266" s="112">
        <v>3</v>
      </c>
      <c r="I1266" s="28" t="s">
        <v>1893</v>
      </c>
      <c r="K1266" s="2" t="s">
        <v>242</v>
      </c>
      <c r="L1266" s="1" t="str">
        <f t="shared" si="20"/>
        <v>對</v>
      </c>
      <c r="M1266" s="1" t="str">
        <f t="shared" si="20"/>
        <v>對</v>
      </c>
      <c r="N1266" s="1" t="str">
        <f t="shared" si="20"/>
        <v>對</v>
      </c>
    </row>
    <row r="1267" spans="1:14" ht="19.5">
      <c r="A1267" s="573"/>
      <c r="B1267" s="596"/>
      <c r="C1267" s="63" t="s">
        <v>1972</v>
      </c>
      <c r="D1267" s="337" t="s">
        <v>2839</v>
      </c>
      <c r="E1267" s="52" t="s">
        <v>1944</v>
      </c>
      <c r="F1267" s="428"/>
      <c r="G1267" s="37"/>
      <c r="H1267" s="113"/>
      <c r="I1267" s="55"/>
      <c r="L1267" s="1" t="str">
        <f t="shared" si="20"/>
        <v>空白</v>
      </c>
      <c r="M1267" s="1" t="str">
        <f t="shared" si="20"/>
        <v>空白</v>
      </c>
      <c r="N1267" s="1" t="str">
        <f t="shared" si="20"/>
        <v>空白</v>
      </c>
    </row>
    <row r="1268" spans="1:14" ht="19.5">
      <c r="A1268" s="573"/>
      <c r="B1268" s="594" t="s">
        <v>1973</v>
      </c>
      <c r="C1268" s="71" t="s">
        <v>1974</v>
      </c>
      <c r="D1268" s="339" t="s">
        <v>2803</v>
      </c>
      <c r="E1268" s="48" t="s">
        <v>1944</v>
      </c>
      <c r="F1268" s="23"/>
      <c r="G1268" s="160"/>
      <c r="H1268" s="202"/>
      <c r="I1268" s="304"/>
      <c r="L1268" s="1" t="str">
        <f t="shared" si="20"/>
        <v>空白</v>
      </c>
      <c r="M1268" s="1" t="str">
        <f t="shared" si="20"/>
        <v>空白</v>
      </c>
      <c r="N1268" s="1" t="str">
        <f t="shared" si="20"/>
        <v>空白</v>
      </c>
    </row>
    <row r="1269" spans="1:14" ht="39">
      <c r="A1269" s="573"/>
      <c r="B1269" s="595"/>
      <c r="C1269" s="71" t="s">
        <v>3393</v>
      </c>
      <c r="D1269" s="431" t="s">
        <v>3345</v>
      </c>
      <c r="E1269" s="430" t="s">
        <v>2862</v>
      </c>
      <c r="F1269" s="9" t="s">
        <v>1975</v>
      </c>
      <c r="G1269" s="111" t="s">
        <v>1823</v>
      </c>
      <c r="H1269" s="112" t="s">
        <v>1976</v>
      </c>
      <c r="I1269" s="28" t="s">
        <v>1977</v>
      </c>
      <c r="K1269" s="2" t="s">
        <v>242</v>
      </c>
      <c r="L1269" s="1" t="str">
        <f t="shared" si="20"/>
        <v>對</v>
      </c>
      <c r="M1269" s="1" t="str">
        <f t="shared" si="20"/>
        <v>對</v>
      </c>
      <c r="N1269" s="1" t="str">
        <f t="shared" si="20"/>
        <v>對</v>
      </c>
    </row>
    <row r="1270" spans="1:14" ht="19.5">
      <c r="A1270" s="573"/>
      <c r="B1270" s="596"/>
      <c r="C1270" s="51" t="s">
        <v>1978</v>
      </c>
      <c r="D1270" s="319" t="s">
        <v>2840</v>
      </c>
      <c r="E1270" s="52" t="s">
        <v>1944</v>
      </c>
      <c r="F1270" s="428"/>
      <c r="G1270" s="37"/>
      <c r="H1270" s="113"/>
      <c r="I1270" s="55"/>
      <c r="L1270" s="1" t="str">
        <f t="shared" si="20"/>
        <v>空白</v>
      </c>
      <c r="M1270" s="1" t="str">
        <f t="shared" si="20"/>
        <v>空白</v>
      </c>
      <c r="N1270" s="1" t="str">
        <f t="shared" si="20"/>
        <v>空白</v>
      </c>
    </row>
    <row r="1271" spans="1:14" ht="19.5">
      <c r="A1271" s="573"/>
      <c r="B1271" s="594" t="s">
        <v>1979</v>
      </c>
      <c r="C1271" s="22" t="s">
        <v>1980</v>
      </c>
      <c r="D1271" s="348" t="s">
        <v>2803</v>
      </c>
      <c r="E1271" s="48" t="s">
        <v>1944</v>
      </c>
      <c r="F1271" s="23"/>
      <c r="G1271" s="160"/>
      <c r="H1271" s="202"/>
      <c r="I1271" s="304"/>
      <c r="L1271" s="1" t="str">
        <f t="shared" si="20"/>
        <v>空白</v>
      </c>
      <c r="M1271" s="1" t="str">
        <f t="shared" si="20"/>
        <v>空白</v>
      </c>
      <c r="N1271" s="1" t="str">
        <f t="shared" si="20"/>
        <v>空白</v>
      </c>
    </row>
    <row r="1272" spans="1:14" ht="39">
      <c r="A1272" s="573"/>
      <c r="B1272" s="595"/>
      <c r="C1272" s="22" t="s">
        <v>3394</v>
      </c>
      <c r="D1272" s="431" t="s">
        <v>3345</v>
      </c>
      <c r="E1272" s="430" t="s">
        <v>2862</v>
      </c>
      <c r="F1272" s="9" t="s">
        <v>1981</v>
      </c>
      <c r="G1272" s="111" t="s">
        <v>1823</v>
      </c>
      <c r="H1272" s="112" t="s">
        <v>1982</v>
      </c>
      <c r="I1272" s="28" t="s">
        <v>1977</v>
      </c>
      <c r="K1272" s="2" t="s">
        <v>242</v>
      </c>
      <c r="L1272" s="1" t="str">
        <f t="shared" si="20"/>
        <v>對</v>
      </c>
      <c r="M1272" s="1" t="str">
        <f t="shared" si="20"/>
        <v>對</v>
      </c>
      <c r="N1272" s="1" t="str">
        <f t="shared" si="20"/>
        <v>對</v>
      </c>
    </row>
    <row r="1273" spans="1:14" ht="19.5">
      <c r="A1273" s="573"/>
      <c r="B1273" s="596"/>
      <c r="C1273" s="63" t="s">
        <v>1983</v>
      </c>
      <c r="D1273" s="337" t="s">
        <v>2841</v>
      </c>
      <c r="E1273" s="52" t="s">
        <v>1944</v>
      </c>
      <c r="F1273" s="428"/>
      <c r="G1273" s="37"/>
      <c r="H1273" s="113"/>
      <c r="I1273" s="55"/>
      <c r="L1273" s="1" t="str">
        <f t="shared" si="20"/>
        <v>空白</v>
      </c>
      <c r="M1273" s="1" t="str">
        <f t="shared" si="20"/>
        <v>空白</v>
      </c>
      <c r="N1273" s="1" t="str">
        <f t="shared" si="20"/>
        <v>空白</v>
      </c>
    </row>
    <row r="1274" spans="1:14" ht="19.5">
      <c r="A1274" s="573"/>
      <c r="B1274" s="594" t="s">
        <v>1984</v>
      </c>
      <c r="C1274" s="71" t="s">
        <v>1985</v>
      </c>
      <c r="D1274" s="339" t="s">
        <v>2803</v>
      </c>
      <c r="E1274" s="48" t="s">
        <v>1944</v>
      </c>
      <c r="F1274" s="23"/>
      <c r="G1274" s="160"/>
      <c r="H1274" s="202"/>
      <c r="I1274" s="304"/>
      <c r="L1274" s="1" t="str">
        <f t="shared" si="20"/>
        <v>空白</v>
      </c>
      <c r="M1274" s="1" t="str">
        <f t="shared" si="20"/>
        <v>空白</v>
      </c>
      <c r="N1274" s="1" t="str">
        <f t="shared" si="20"/>
        <v>空白</v>
      </c>
    </row>
    <row r="1275" spans="1:14" ht="39">
      <c r="A1275" s="573"/>
      <c r="B1275" s="595"/>
      <c r="C1275" s="71" t="s">
        <v>3395</v>
      </c>
      <c r="D1275" s="431" t="s">
        <v>3345</v>
      </c>
      <c r="E1275" s="430" t="s">
        <v>2862</v>
      </c>
      <c r="F1275" s="9" t="s">
        <v>1986</v>
      </c>
      <c r="G1275" s="111" t="s">
        <v>1823</v>
      </c>
      <c r="H1275" s="112" t="s">
        <v>1982</v>
      </c>
      <c r="I1275" s="28" t="s">
        <v>1977</v>
      </c>
      <c r="K1275" s="2" t="s">
        <v>242</v>
      </c>
      <c r="L1275" s="1" t="str">
        <f t="shared" si="20"/>
        <v>對</v>
      </c>
      <c r="M1275" s="1" t="str">
        <f t="shared" si="20"/>
        <v>對</v>
      </c>
      <c r="N1275" s="1" t="str">
        <f t="shared" si="20"/>
        <v>對</v>
      </c>
    </row>
    <row r="1276" spans="1:14" ht="19.5">
      <c r="A1276" s="573"/>
      <c r="B1276" s="596"/>
      <c r="C1276" s="51" t="s">
        <v>1987</v>
      </c>
      <c r="D1276" s="319" t="s">
        <v>2842</v>
      </c>
      <c r="E1276" s="52" t="s">
        <v>1944</v>
      </c>
      <c r="F1276" s="428"/>
      <c r="G1276" s="37"/>
      <c r="H1276" s="113"/>
      <c r="I1276" s="55"/>
      <c r="L1276" s="1" t="str">
        <f t="shared" si="20"/>
        <v>空白</v>
      </c>
      <c r="M1276" s="1" t="str">
        <f t="shared" si="20"/>
        <v>空白</v>
      </c>
      <c r="N1276" s="1" t="str">
        <f t="shared" si="20"/>
        <v>空白</v>
      </c>
    </row>
    <row r="1277" spans="1:14" ht="19.5">
      <c r="A1277" s="573"/>
      <c r="B1277" s="594" t="s">
        <v>1988</v>
      </c>
      <c r="C1277" s="22" t="s">
        <v>1989</v>
      </c>
      <c r="D1277" s="348" t="s">
        <v>2803</v>
      </c>
      <c r="E1277" s="48" t="s">
        <v>1944</v>
      </c>
      <c r="F1277" s="23"/>
      <c r="G1277" s="160"/>
      <c r="H1277" s="202"/>
      <c r="I1277" s="304"/>
      <c r="L1277" s="1" t="str">
        <f t="shared" si="20"/>
        <v>空白</v>
      </c>
      <c r="M1277" s="1" t="str">
        <f t="shared" si="20"/>
        <v>空白</v>
      </c>
      <c r="N1277" s="1" t="str">
        <f t="shared" si="20"/>
        <v>空白</v>
      </c>
    </row>
    <row r="1278" spans="1:14" ht="39">
      <c r="A1278" s="573"/>
      <c r="B1278" s="595"/>
      <c r="C1278" s="22" t="s">
        <v>3396</v>
      </c>
      <c r="D1278" s="431" t="s">
        <v>3345</v>
      </c>
      <c r="E1278" s="430" t="s">
        <v>2862</v>
      </c>
      <c r="F1278" s="9" t="s">
        <v>1990</v>
      </c>
      <c r="G1278" s="111" t="s">
        <v>1823</v>
      </c>
      <c r="H1278" s="112" t="s">
        <v>1982</v>
      </c>
      <c r="I1278" s="28" t="s">
        <v>1977</v>
      </c>
      <c r="K1278" s="2" t="s">
        <v>242</v>
      </c>
      <c r="L1278" s="1" t="str">
        <f t="shared" si="20"/>
        <v>對</v>
      </c>
      <c r="M1278" s="1" t="str">
        <f t="shared" si="20"/>
        <v>對</v>
      </c>
      <c r="N1278" s="1" t="str">
        <f t="shared" si="20"/>
        <v>對</v>
      </c>
    </row>
    <row r="1279" spans="1:14" ht="19.5">
      <c r="A1279" s="573"/>
      <c r="B1279" s="596"/>
      <c r="C1279" s="63" t="s">
        <v>1991</v>
      </c>
      <c r="D1279" s="337" t="s">
        <v>2843</v>
      </c>
      <c r="E1279" s="52" t="s">
        <v>1944</v>
      </c>
      <c r="F1279" s="428"/>
      <c r="G1279" s="37"/>
      <c r="H1279" s="113"/>
      <c r="I1279" s="55"/>
      <c r="L1279" s="1" t="str">
        <f t="shared" si="20"/>
        <v>空白</v>
      </c>
      <c r="M1279" s="1" t="str">
        <f t="shared" si="20"/>
        <v>空白</v>
      </c>
      <c r="N1279" s="1" t="str">
        <f t="shared" si="20"/>
        <v>空白</v>
      </c>
    </row>
    <row r="1280" spans="1:14" ht="19.5">
      <c r="A1280" s="573"/>
      <c r="B1280" s="594" t="s">
        <v>1992</v>
      </c>
      <c r="C1280" s="71" t="s">
        <v>1993</v>
      </c>
      <c r="D1280" s="339" t="s">
        <v>2803</v>
      </c>
      <c r="E1280" s="48" t="s">
        <v>1944</v>
      </c>
      <c r="F1280" s="23"/>
      <c r="G1280" s="160"/>
      <c r="H1280" s="112"/>
      <c r="I1280" s="28"/>
      <c r="L1280" s="1" t="str">
        <f t="shared" si="20"/>
        <v>空白</v>
      </c>
      <c r="M1280" s="1" t="str">
        <f t="shared" si="20"/>
        <v>空白</v>
      </c>
      <c r="N1280" s="1" t="str">
        <f t="shared" si="20"/>
        <v>空白</v>
      </c>
    </row>
    <row r="1281" spans="1:14" ht="39">
      <c r="A1281" s="573"/>
      <c r="B1281" s="595"/>
      <c r="C1281" s="71" t="s">
        <v>3397</v>
      </c>
      <c r="D1281" s="431" t="s">
        <v>3345</v>
      </c>
      <c r="E1281" s="430" t="s">
        <v>2862</v>
      </c>
      <c r="F1281" s="9" t="s">
        <v>1994</v>
      </c>
      <c r="G1281" s="111" t="s">
        <v>1823</v>
      </c>
      <c r="H1281" s="112" t="s">
        <v>1982</v>
      </c>
      <c r="I1281" s="28" t="s">
        <v>1977</v>
      </c>
      <c r="K1281" s="2" t="s">
        <v>242</v>
      </c>
      <c r="L1281" s="1" t="str">
        <f t="shared" si="20"/>
        <v>對</v>
      </c>
      <c r="M1281" s="1" t="str">
        <f t="shared" si="20"/>
        <v>對</v>
      </c>
      <c r="N1281" s="1" t="str">
        <f t="shared" si="20"/>
        <v>對</v>
      </c>
    </row>
    <row r="1282" spans="1:14" ht="19.5">
      <c r="A1282" s="573"/>
      <c r="B1282" s="596"/>
      <c r="C1282" s="51" t="s">
        <v>1995</v>
      </c>
      <c r="D1282" s="319" t="s">
        <v>2844</v>
      </c>
      <c r="E1282" s="52" t="s">
        <v>1944</v>
      </c>
      <c r="F1282" s="428"/>
      <c r="G1282" s="37"/>
      <c r="H1282" s="112"/>
      <c r="I1282" s="28"/>
      <c r="L1282" s="1" t="str">
        <f t="shared" si="20"/>
        <v>空白</v>
      </c>
      <c r="M1282" s="1" t="str">
        <f t="shared" si="20"/>
        <v>空白</v>
      </c>
      <c r="N1282" s="1" t="str">
        <f t="shared" si="20"/>
        <v>空白</v>
      </c>
    </row>
    <row r="1283" spans="1:14" ht="19.5">
      <c r="A1283" s="573"/>
      <c r="B1283" s="594" t="s">
        <v>1996</v>
      </c>
      <c r="C1283" s="22" t="s">
        <v>1997</v>
      </c>
      <c r="D1283" s="348" t="s">
        <v>2803</v>
      </c>
      <c r="E1283" s="48" t="s">
        <v>1944</v>
      </c>
      <c r="F1283" s="23"/>
      <c r="G1283" s="160"/>
      <c r="H1283" s="112"/>
      <c r="I1283" s="28"/>
      <c r="L1283" s="1" t="str">
        <f t="shared" si="20"/>
        <v>空白</v>
      </c>
      <c r="M1283" s="1" t="str">
        <f t="shared" si="20"/>
        <v>空白</v>
      </c>
      <c r="N1283" s="1" t="str">
        <f t="shared" si="20"/>
        <v>空白</v>
      </c>
    </row>
    <row r="1284" spans="1:14" ht="39">
      <c r="A1284" s="573"/>
      <c r="B1284" s="595"/>
      <c r="C1284" s="22" t="s">
        <v>3398</v>
      </c>
      <c r="D1284" s="431" t="s">
        <v>3345</v>
      </c>
      <c r="E1284" s="430" t="s">
        <v>2862</v>
      </c>
      <c r="F1284" s="9" t="s">
        <v>1998</v>
      </c>
      <c r="G1284" s="111" t="s">
        <v>1823</v>
      </c>
      <c r="H1284" s="112" t="s">
        <v>1982</v>
      </c>
      <c r="I1284" s="28" t="s">
        <v>1977</v>
      </c>
      <c r="K1284" s="2" t="s">
        <v>242</v>
      </c>
      <c r="L1284" s="1" t="str">
        <f t="shared" si="20"/>
        <v>對</v>
      </c>
      <c r="M1284" s="1" t="str">
        <f t="shared" si="20"/>
        <v>對</v>
      </c>
      <c r="N1284" s="1" t="str">
        <f t="shared" si="20"/>
        <v>對</v>
      </c>
    </row>
    <row r="1285" spans="1:14" ht="19.5">
      <c r="A1285" s="573"/>
      <c r="B1285" s="596"/>
      <c r="C1285" s="63" t="s">
        <v>1999</v>
      </c>
      <c r="D1285" s="337" t="s">
        <v>2845</v>
      </c>
      <c r="E1285" s="52" t="s">
        <v>1944</v>
      </c>
      <c r="F1285" s="429"/>
      <c r="G1285" s="44"/>
      <c r="H1285" s="286"/>
      <c r="I1285" s="55"/>
      <c r="L1285" s="1" t="str">
        <f t="shared" si="20"/>
        <v>空白</v>
      </c>
      <c r="M1285" s="1" t="str">
        <f t="shared" si="20"/>
        <v>空白</v>
      </c>
      <c r="N1285" s="1" t="str">
        <f t="shared" si="20"/>
        <v>空白</v>
      </c>
    </row>
    <row r="1286" spans="1:14" ht="19.5">
      <c r="A1286" s="573"/>
      <c r="B1286" s="594" t="s">
        <v>2000</v>
      </c>
      <c r="C1286" s="71" t="s">
        <v>2001</v>
      </c>
      <c r="D1286" s="339" t="s">
        <v>2803</v>
      </c>
      <c r="E1286" s="48" t="s">
        <v>1944</v>
      </c>
      <c r="F1286" s="23"/>
      <c r="G1286" s="160"/>
      <c r="H1286" s="112"/>
      <c r="I1286" s="28"/>
      <c r="L1286" s="1" t="str">
        <f t="shared" ref="L1286:N1339" si="21">IF(ISBLANK(F1286),"空白",IF(F1286=C1286,"對","錯"))</f>
        <v>空白</v>
      </c>
      <c r="M1286" s="1" t="str">
        <f t="shared" si="21"/>
        <v>空白</v>
      </c>
      <c r="N1286" s="1" t="str">
        <f t="shared" si="21"/>
        <v>空白</v>
      </c>
    </row>
    <row r="1287" spans="1:14" ht="39">
      <c r="A1287" s="573"/>
      <c r="B1287" s="595"/>
      <c r="C1287" s="71" t="s">
        <v>3399</v>
      </c>
      <c r="D1287" s="431" t="s">
        <v>3345</v>
      </c>
      <c r="E1287" s="430" t="s">
        <v>2862</v>
      </c>
      <c r="F1287" s="9" t="s">
        <v>2002</v>
      </c>
      <c r="G1287" s="111" t="s">
        <v>1823</v>
      </c>
      <c r="H1287" s="112" t="s">
        <v>1982</v>
      </c>
      <c r="I1287" s="28" t="s">
        <v>1977</v>
      </c>
      <c r="K1287" s="2" t="s">
        <v>242</v>
      </c>
      <c r="L1287" s="1" t="str">
        <f t="shared" si="21"/>
        <v>對</v>
      </c>
      <c r="M1287" s="1" t="str">
        <f t="shared" si="21"/>
        <v>對</v>
      </c>
      <c r="N1287" s="1" t="str">
        <f t="shared" si="21"/>
        <v>對</v>
      </c>
    </row>
    <row r="1288" spans="1:14" ht="19.5">
      <c r="A1288" s="573"/>
      <c r="B1288" s="596"/>
      <c r="C1288" s="51" t="s">
        <v>2003</v>
      </c>
      <c r="D1288" s="319" t="s">
        <v>2846</v>
      </c>
      <c r="E1288" s="52" t="s">
        <v>1944</v>
      </c>
      <c r="F1288" s="429"/>
      <c r="G1288" s="44"/>
      <c r="H1288" s="286"/>
      <c r="I1288" s="55"/>
      <c r="L1288" s="1" t="str">
        <f t="shared" si="21"/>
        <v>空白</v>
      </c>
      <c r="M1288" s="1" t="str">
        <f t="shared" si="21"/>
        <v>空白</v>
      </c>
      <c r="N1288" s="1" t="str">
        <f t="shared" si="21"/>
        <v>空白</v>
      </c>
    </row>
    <row r="1289" spans="1:14" ht="19.5">
      <c r="A1289" s="573"/>
      <c r="B1289" s="594" t="s">
        <v>3407</v>
      </c>
      <c r="C1289" s="22" t="s">
        <v>2004</v>
      </c>
      <c r="D1289" s="348" t="s">
        <v>2803</v>
      </c>
      <c r="E1289" s="48" t="s">
        <v>1944</v>
      </c>
      <c r="F1289" s="23"/>
      <c r="G1289" s="160"/>
      <c r="H1289" s="112"/>
      <c r="I1289" s="28"/>
      <c r="L1289" s="1" t="str">
        <f t="shared" si="21"/>
        <v>空白</v>
      </c>
      <c r="M1289" s="1" t="str">
        <f t="shared" si="21"/>
        <v>空白</v>
      </c>
      <c r="N1289" s="1" t="str">
        <f t="shared" si="21"/>
        <v>空白</v>
      </c>
    </row>
    <row r="1290" spans="1:14" ht="39">
      <c r="A1290" s="573"/>
      <c r="B1290" s="595"/>
      <c r="C1290" s="22" t="s">
        <v>3400</v>
      </c>
      <c r="D1290" s="431" t="s">
        <v>3345</v>
      </c>
      <c r="E1290" s="430" t="s">
        <v>2862</v>
      </c>
      <c r="F1290" s="9" t="s">
        <v>2005</v>
      </c>
      <c r="G1290" s="111" t="s">
        <v>1823</v>
      </c>
      <c r="H1290" s="112" t="s">
        <v>1982</v>
      </c>
      <c r="I1290" s="28" t="s">
        <v>1977</v>
      </c>
      <c r="K1290" s="2" t="s">
        <v>242</v>
      </c>
      <c r="L1290" s="1" t="str">
        <f t="shared" si="21"/>
        <v>對</v>
      </c>
      <c r="M1290" s="1" t="str">
        <f t="shared" si="21"/>
        <v>對</v>
      </c>
      <c r="N1290" s="1" t="str">
        <f t="shared" si="21"/>
        <v>對</v>
      </c>
    </row>
    <row r="1291" spans="1:14" ht="19.5">
      <c r="A1291" s="573"/>
      <c r="B1291" s="596"/>
      <c r="C1291" s="63" t="s">
        <v>2006</v>
      </c>
      <c r="D1291" s="337" t="s">
        <v>2847</v>
      </c>
      <c r="E1291" s="52" t="s">
        <v>120</v>
      </c>
      <c r="F1291" s="429"/>
      <c r="G1291" s="44"/>
      <c r="H1291" s="286"/>
      <c r="I1291" s="55"/>
      <c r="L1291" s="1" t="str">
        <f t="shared" si="21"/>
        <v>空白</v>
      </c>
      <c r="M1291" s="1" t="str">
        <f t="shared" si="21"/>
        <v>空白</v>
      </c>
      <c r="N1291" s="1" t="str">
        <f t="shared" si="21"/>
        <v>空白</v>
      </c>
    </row>
    <row r="1292" spans="1:14" ht="19.5">
      <c r="A1292" s="573"/>
      <c r="B1292" s="594" t="s">
        <v>2007</v>
      </c>
      <c r="C1292" s="71" t="s">
        <v>2008</v>
      </c>
      <c r="D1292" s="339" t="s">
        <v>2803</v>
      </c>
      <c r="E1292" s="48" t="s">
        <v>120</v>
      </c>
      <c r="F1292" s="23"/>
      <c r="G1292" s="160"/>
      <c r="H1292" s="112"/>
      <c r="I1292" s="28"/>
      <c r="L1292" s="1" t="str">
        <f t="shared" si="21"/>
        <v>空白</v>
      </c>
      <c r="M1292" s="1" t="str">
        <f t="shared" si="21"/>
        <v>空白</v>
      </c>
      <c r="N1292" s="1" t="str">
        <f t="shared" si="21"/>
        <v>空白</v>
      </c>
    </row>
    <row r="1293" spans="1:14" ht="39">
      <c r="A1293" s="573"/>
      <c r="B1293" s="595"/>
      <c r="C1293" s="71" t="s">
        <v>3401</v>
      </c>
      <c r="D1293" s="431" t="s">
        <v>3345</v>
      </c>
      <c r="E1293" s="432" t="s">
        <v>1264</v>
      </c>
      <c r="F1293" s="9" t="s">
        <v>2009</v>
      </c>
      <c r="G1293" s="111" t="s">
        <v>1823</v>
      </c>
      <c r="H1293" s="112" t="s">
        <v>2010</v>
      </c>
      <c r="I1293" s="28" t="s">
        <v>2011</v>
      </c>
      <c r="K1293" s="2" t="s">
        <v>242</v>
      </c>
      <c r="L1293" s="1" t="str">
        <f t="shared" si="21"/>
        <v>對</v>
      </c>
      <c r="M1293" s="1" t="str">
        <f t="shared" si="21"/>
        <v>對</v>
      </c>
      <c r="N1293" s="1" t="str">
        <f t="shared" si="21"/>
        <v>對</v>
      </c>
    </row>
    <row r="1294" spans="1:14" ht="19.5">
      <c r="A1294" s="573"/>
      <c r="B1294" s="596"/>
      <c r="C1294" s="51" t="s">
        <v>2012</v>
      </c>
      <c r="D1294" s="319" t="s">
        <v>2848</v>
      </c>
      <c r="E1294" s="52" t="s">
        <v>120</v>
      </c>
      <c r="F1294" s="429"/>
      <c r="G1294" s="44"/>
      <c r="H1294" s="286"/>
      <c r="I1294" s="55"/>
      <c r="L1294" s="1" t="str">
        <f t="shared" si="21"/>
        <v>空白</v>
      </c>
      <c r="M1294" s="1" t="str">
        <f t="shared" si="21"/>
        <v>空白</v>
      </c>
      <c r="N1294" s="1" t="str">
        <f t="shared" si="21"/>
        <v>空白</v>
      </c>
    </row>
    <row r="1295" spans="1:14" ht="39">
      <c r="A1295" s="573"/>
      <c r="B1295" s="287" t="s">
        <v>2013</v>
      </c>
      <c r="C1295" s="97" t="s">
        <v>2014</v>
      </c>
      <c r="D1295" s="367" t="s">
        <v>2849</v>
      </c>
      <c r="E1295" s="48" t="s">
        <v>1944</v>
      </c>
      <c r="F1295" s="23"/>
      <c r="G1295" s="160"/>
      <c r="H1295" s="112"/>
      <c r="I1295" s="28"/>
      <c r="L1295" s="1" t="str">
        <f t="shared" si="21"/>
        <v>空白</v>
      </c>
      <c r="M1295" s="1" t="str">
        <f t="shared" si="21"/>
        <v>空白</v>
      </c>
      <c r="N1295" s="1" t="str">
        <f t="shared" si="21"/>
        <v>空白</v>
      </c>
    </row>
    <row r="1296" spans="1:14" ht="39">
      <c r="A1296" s="573"/>
      <c r="B1296" s="287"/>
      <c r="C1296" s="97" t="s">
        <v>3402</v>
      </c>
      <c r="D1296" s="348" t="s">
        <v>3340</v>
      </c>
      <c r="E1296" s="427" t="s">
        <v>3349</v>
      </c>
      <c r="F1296" s="9" t="s">
        <v>2015</v>
      </c>
      <c r="G1296" s="111" t="s">
        <v>1823</v>
      </c>
      <c r="H1296" s="112" t="s">
        <v>1982</v>
      </c>
      <c r="I1296" s="28" t="s">
        <v>1977</v>
      </c>
      <c r="K1296" s="2" t="s">
        <v>242</v>
      </c>
      <c r="L1296" s="1" t="str">
        <f t="shared" si="21"/>
        <v>對</v>
      </c>
      <c r="M1296" s="1" t="str">
        <f t="shared" si="21"/>
        <v>對</v>
      </c>
      <c r="N1296" s="1" t="str">
        <f t="shared" si="21"/>
        <v>對</v>
      </c>
    </row>
    <row r="1297" spans="1:14" ht="19.5">
      <c r="A1297" s="573"/>
      <c r="B1297" s="299"/>
      <c r="C1297" s="143" t="s">
        <v>2016</v>
      </c>
      <c r="D1297" s="370" t="s">
        <v>2846</v>
      </c>
      <c r="E1297" s="52" t="s">
        <v>1944</v>
      </c>
      <c r="F1297" s="429"/>
      <c r="G1297" s="44"/>
      <c r="H1297" s="286"/>
      <c r="I1297" s="55"/>
      <c r="L1297" s="1" t="str">
        <f t="shared" si="21"/>
        <v>空白</v>
      </c>
      <c r="M1297" s="1" t="str">
        <f t="shared" si="21"/>
        <v>空白</v>
      </c>
      <c r="N1297" s="1" t="str">
        <f t="shared" si="21"/>
        <v>空白</v>
      </c>
    </row>
    <row r="1298" spans="1:14">
      <c r="A1298" s="573"/>
      <c r="B1298" s="605" t="s">
        <v>2017</v>
      </c>
      <c r="C1298" s="22" t="s">
        <v>2018</v>
      </c>
      <c r="D1298" s="348" t="s">
        <v>2803</v>
      </c>
      <c r="E1298" s="48">
        <v>1</v>
      </c>
      <c r="F1298" s="23"/>
      <c r="G1298" s="160"/>
      <c r="H1298" s="112"/>
      <c r="I1298" s="28"/>
      <c r="L1298" s="1" t="str">
        <f t="shared" si="21"/>
        <v>空白</v>
      </c>
      <c r="M1298" s="1" t="str">
        <f t="shared" si="21"/>
        <v>空白</v>
      </c>
      <c r="N1298" s="1" t="str">
        <f t="shared" si="21"/>
        <v>空白</v>
      </c>
    </row>
    <row r="1299" spans="1:14" ht="39">
      <c r="A1299" s="573"/>
      <c r="B1299" s="606"/>
      <c r="C1299" s="77" t="s">
        <v>3350</v>
      </c>
      <c r="D1299" s="348" t="s">
        <v>3340</v>
      </c>
      <c r="E1299" s="48">
        <v>1</v>
      </c>
      <c r="F1299" s="9" t="s">
        <v>2019</v>
      </c>
      <c r="G1299" s="111" t="s">
        <v>1823</v>
      </c>
      <c r="H1299" s="112">
        <v>1</v>
      </c>
      <c r="I1299" s="28" t="s">
        <v>2020</v>
      </c>
      <c r="K1299" s="2" t="s">
        <v>242</v>
      </c>
      <c r="L1299" s="1" t="str">
        <f t="shared" si="21"/>
        <v>對</v>
      </c>
      <c r="M1299" s="1" t="str">
        <f t="shared" si="21"/>
        <v>對</v>
      </c>
      <c r="N1299" s="1" t="str">
        <f t="shared" si="21"/>
        <v>對</v>
      </c>
    </row>
    <row r="1300" spans="1:14">
      <c r="A1300" s="573"/>
      <c r="B1300" s="607"/>
      <c r="C1300" s="63" t="s">
        <v>2021</v>
      </c>
      <c r="D1300" s="337" t="s">
        <v>2850</v>
      </c>
      <c r="E1300" s="52">
        <v>2</v>
      </c>
      <c r="F1300" s="429"/>
      <c r="G1300" s="44"/>
      <c r="H1300" s="286"/>
      <c r="I1300" s="55"/>
      <c r="L1300" s="1" t="str">
        <f t="shared" si="21"/>
        <v>空白</v>
      </c>
      <c r="M1300" s="1" t="str">
        <f t="shared" si="21"/>
        <v>空白</v>
      </c>
      <c r="N1300" s="1" t="str">
        <f t="shared" si="21"/>
        <v>空白</v>
      </c>
    </row>
    <row r="1301" spans="1:14">
      <c r="A1301" s="573"/>
      <c r="B1301" s="594" t="s">
        <v>2022</v>
      </c>
      <c r="C1301" s="71" t="s">
        <v>2023</v>
      </c>
      <c r="D1301" s="339" t="s">
        <v>2803</v>
      </c>
      <c r="E1301" s="48">
        <v>2</v>
      </c>
      <c r="F1301" s="23"/>
      <c r="G1301" s="160"/>
      <c r="H1301" s="112"/>
      <c r="I1301" s="28"/>
      <c r="L1301" s="1" t="str">
        <f t="shared" si="21"/>
        <v>空白</v>
      </c>
      <c r="M1301" s="1" t="str">
        <f t="shared" si="21"/>
        <v>空白</v>
      </c>
      <c r="N1301" s="1" t="str">
        <f t="shared" si="21"/>
        <v>空白</v>
      </c>
    </row>
    <row r="1302" spans="1:14" ht="39">
      <c r="A1302" s="573"/>
      <c r="B1302" s="595"/>
      <c r="C1302" s="77" t="s">
        <v>3351</v>
      </c>
      <c r="D1302" s="348" t="s">
        <v>3340</v>
      </c>
      <c r="E1302" s="48">
        <v>2</v>
      </c>
      <c r="F1302" s="9" t="s">
        <v>2024</v>
      </c>
      <c r="G1302" s="111" t="s">
        <v>1823</v>
      </c>
      <c r="H1302" s="112">
        <v>2</v>
      </c>
      <c r="I1302" s="28" t="s">
        <v>1824</v>
      </c>
      <c r="K1302" s="2" t="s">
        <v>242</v>
      </c>
      <c r="L1302" s="1" t="str">
        <f t="shared" si="21"/>
        <v>對</v>
      </c>
      <c r="M1302" s="1" t="str">
        <f t="shared" si="21"/>
        <v>對</v>
      </c>
      <c r="N1302" s="1" t="str">
        <f t="shared" si="21"/>
        <v>對</v>
      </c>
    </row>
    <row r="1303" spans="1:14">
      <c r="A1303" s="573"/>
      <c r="B1303" s="596"/>
      <c r="C1303" s="51" t="s">
        <v>2025</v>
      </c>
      <c r="D1303" s="319" t="s">
        <v>2851</v>
      </c>
      <c r="E1303" s="52">
        <v>3</v>
      </c>
      <c r="F1303" s="429"/>
      <c r="G1303" s="44"/>
      <c r="H1303" s="286"/>
      <c r="I1303" s="55"/>
      <c r="L1303" s="1" t="str">
        <f t="shared" si="21"/>
        <v>空白</v>
      </c>
      <c r="M1303" s="1" t="str">
        <f t="shared" si="21"/>
        <v>空白</v>
      </c>
      <c r="N1303" s="1" t="str">
        <f t="shared" si="21"/>
        <v>空白</v>
      </c>
    </row>
    <row r="1304" spans="1:14">
      <c r="A1304" s="573"/>
      <c r="B1304" s="594" t="s">
        <v>2026</v>
      </c>
      <c r="C1304" s="22" t="s">
        <v>2027</v>
      </c>
      <c r="D1304" s="348" t="s">
        <v>2803</v>
      </c>
      <c r="E1304" s="48">
        <v>2</v>
      </c>
      <c r="F1304" s="23"/>
      <c r="G1304" s="160"/>
      <c r="H1304" s="112"/>
      <c r="I1304" s="28"/>
      <c r="L1304" s="1" t="str">
        <f t="shared" si="21"/>
        <v>空白</v>
      </c>
      <c r="M1304" s="1" t="str">
        <f t="shared" si="21"/>
        <v>空白</v>
      </c>
      <c r="N1304" s="1" t="str">
        <f t="shared" si="21"/>
        <v>空白</v>
      </c>
    </row>
    <row r="1305" spans="1:14" ht="39">
      <c r="A1305" s="573"/>
      <c r="B1305" s="595"/>
      <c r="C1305" s="77" t="s">
        <v>3352</v>
      </c>
      <c r="D1305" s="348" t="s">
        <v>3340</v>
      </c>
      <c r="E1305" s="48">
        <v>2</v>
      </c>
      <c r="F1305" s="9" t="s">
        <v>2028</v>
      </c>
      <c r="G1305" s="111" t="s">
        <v>1823</v>
      </c>
      <c r="H1305" s="112">
        <v>2</v>
      </c>
      <c r="I1305" s="28" t="s">
        <v>1824</v>
      </c>
      <c r="K1305" s="2" t="s">
        <v>242</v>
      </c>
      <c r="L1305" s="1" t="str">
        <f t="shared" si="21"/>
        <v>對</v>
      </c>
      <c r="M1305" s="1" t="str">
        <f t="shared" si="21"/>
        <v>對</v>
      </c>
      <c r="N1305" s="1" t="str">
        <f t="shared" si="21"/>
        <v>對</v>
      </c>
    </row>
    <row r="1306" spans="1:14">
      <c r="A1306" s="573"/>
      <c r="B1306" s="596"/>
      <c r="C1306" s="63" t="s">
        <v>2029</v>
      </c>
      <c r="D1306" s="337" t="s">
        <v>2852</v>
      </c>
      <c r="E1306" s="52">
        <v>3</v>
      </c>
      <c r="F1306" s="429"/>
      <c r="G1306" s="44"/>
      <c r="H1306" s="286"/>
      <c r="I1306" s="55"/>
      <c r="L1306" s="1" t="str">
        <f t="shared" si="21"/>
        <v>空白</v>
      </c>
      <c r="M1306" s="1" t="str">
        <f t="shared" si="21"/>
        <v>空白</v>
      </c>
      <c r="N1306" s="1" t="str">
        <f t="shared" si="21"/>
        <v>空白</v>
      </c>
    </row>
    <row r="1307" spans="1:14" ht="19.5">
      <c r="A1307" s="573"/>
      <c r="B1307" s="594" t="s">
        <v>2030</v>
      </c>
      <c r="C1307" s="71" t="s">
        <v>2031</v>
      </c>
      <c r="D1307" s="339" t="s">
        <v>2803</v>
      </c>
      <c r="E1307" s="48" t="s">
        <v>1944</v>
      </c>
      <c r="F1307" s="23"/>
      <c r="G1307" s="160"/>
      <c r="H1307" s="112"/>
      <c r="I1307" s="28"/>
      <c r="L1307" s="1" t="str">
        <f t="shared" si="21"/>
        <v>空白</v>
      </c>
      <c r="M1307" s="1" t="str">
        <f t="shared" si="21"/>
        <v>空白</v>
      </c>
      <c r="N1307" s="1" t="str">
        <f t="shared" si="21"/>
        <v>空白</v>
      </c>
    </row>
    <row r="1308" spans="1:14" ht="39">
      <c r="A1308" s="573"/>
      <c r="B1308" s="595"/>
      <c r="C1308" s="77" t="s">
        <v>3353</v>
      </c>
      <c r="D1308" s="348" t="s">
        <v>3340</v>
      </c>
      <c r="E1308" s="427" t="s">
        <v>3349</v>
      </c>
      <c r="F1308" s="9" t="s">
        <v>2032</v>
      </c>
      <c r="G1308" s="111" t="s">
        <v>1823</v>
      </c>
      <c r="H1308" s="112" t="s">
        <v>1982</v>
      </c>
      <c r="I1308" s="28" t="s">
        <v>1977</v>
      </c>
      <c r="K1308" s="2" t="s">
        <v>242</v>
      </c>
      <c r="L1308" s="1" t="str">
        <f t="shared" si="21"/>
        <v>對</v>
      </c>
      <c r="M1308" s="1" t="str">
        <f t="shared" si="21"/>
        <v>對</v>
      </c>
      <c r="N1308" s="1" t="str">
        <f t="shared" si="21"/>
        <v>對</v>
      </c>
    </row>
    <row r="1309" spans="1:14" ht="19.5">
      <c r="A1309" s="573"/>
      <c r="B1309" s="596"/>
      <c r="C1309" s="51" t="s">
        <v>2033</v>
      </c>
      <c r="D1309" s="319" t="s">
        <v>2852</v>
      </c>
      <c r="E1309" s="52" t="s">
        <v>1944</v>
      </c>
      <c r="F1309" s="429"/>
      <c r="G1309" s="44"/>
      <c r="H1309" s="286"/>
      <c r="I1309" s="55"/>
      <c r="L1309" s="1" t="str">
        <f t="shared" si="21"/>
        <v>空白</v>
      </c>
      <c r="M1309" s="1" t="str">
        <f t="shared" si="21"/>
        <v>空白</v>
      </c>
      <c r="N1309" s="1" t="str">
        <f t="shared" si="21"/>
        <v>空白</v>
      </c>
    </row>
    <row r="1310" spans="1:14" ht="19.5">
      <c r="A1310" s="573"/>
      <c r="B1310" s="594" t="s">
        <v>2034</v>
      </c>
      <c r="C1310" s="22" t="s">
        <v>2035</v>
      </c>
      <c r="D1310" s="348" t="s">
        <v>2803</v>
      </c>
      <c r="E1310" s="48" t="s">
        <v>1944</v>
      </c>
      <c r="F1310" s="23"/>
      <c r="G1310" s="160"/>
      <c r="H1310" s="112"/>
      <c r="I1310" s="28"/>
      <c r="L1310" s="1" t="str">
        <f t="shared" si="21"/>
        <v>空白</v>
      </c>
      <c r="M1310" s="1" t="str">
        <f t="shared" si="21"/>
        <v>空白</v>
      </c>
      <c r="N1310" s="1" t="str">
        <f t="shared" si="21"/>
        <v>空白</v>
      </c>
    </row>
    <row r="1311" spans="1:14" ht="39">
      <c r="A1311" s="573"/>
      <c r="B1311" s="595"/>
      <c r="C1311" s="77" t="s">
        <v>3354</v>
      </c>
      <c r="D1311" s="348" t="s">
        <v>3340</v>
      </c>
      <c r="E1311" s="48" t="s">
        <v>1944</v>
      </c>
      <c r="F1311" s="9" t="s">
        <v>2036</v>
      </c>
      <c r="G1311" s="111" t="s">
        <v>1823</v>
      </c>
      <c r="H1311" s="112" t="s">
        <v>1982</v>
      </c>
      <c r="I1311" s="28" t="s">
        <v>1977</v>
      </c>
      <c r="K1311" s="2" t="s">
        <v>242</v>
      </c>
      <c r="L1311" s="1" t="str">
        <f t="shared" si="21"/>
        <v>對</v>
      </c>
      <c r="M1311" s="1" t="str">
        <f t="shared" si="21"/>
        <v>對</v>
      </c>
      <c r="N1311" s="1" t="str">
        <f t="shared" si="21"/>
        <v>對</v>
      </c>
    </row>
    <row r="1312" spans="1:14" ht="19.5">
      <c r="A1312" s="573"/>
      <c r="B1312" s="596"/>
      <c r="C1312" s="63" t="s">
        <v>2037</v>
      </c>
      <c r="D1312" s="337" t="s">
        <v>2853</v>
      </c>
      <c r="E1312" s="52" t="s">
        <v>1944</v>
      </c>
      <c r="F1312" s="429"/>
      <c r="G1312" s="44"/>
      <c r="H1312" s="286"/>
      <c r="I1312" s="55"/>
      <c r="L1312" s="1" t="str">
        <f t="shared" si="21"/>
        <v>空白</v>
      </c>
      <c r="M1312" s="1" t="str">
        <f t="shared" si="21"/>
        <v>空白</v>
      </c>
      <c r="N1312" s="1" t="str">
        <f t="shared" si="21"/>
        <v>空白</v>
      </c>
    </row>
    <row r="1313" spans="1:14" ht="19.5">
      <c r="A1313" s="573"/>
      <c r="B1313" s="594" t="s">
        <v>2038</v>
      </c>
      <c r="C1313" s="71" t="s">
        <v>2039</v>
      </c>
      <c r="D1313" s="339" t="s">
        <v>2803</v>
      </c>
      <c r="E1313" s="48" t="s">
        <v>1944</v>
      </c>
      <c r="F1313" s="23"/>
      <c r="G1313" s="160"/>
      <c r="H1313" s="112"/>
      <c r="I1313" s="28"/>
      <c r="L1313" s="1" t="str">
        <f t="shared" si="21"/>
        <v>空白</v>
      </c>
      <c r="M1313" s="1" t="str">
        <f t="shared" si="21"/>
        <v>空白</v>
      </c>
      <c r="N1313" s="1" t="str">
        <f t="shared" si="21"/>
        <v>空白</v>
      </c>
    </row>
    <row r="1314" spans="1:14" ht="39">
      <c r="A1314" s="573"/>
      <c r="B1314" s="595"/>
      <c r="C1314" s="77" t="s">
        <v>3355</v>
      </c>
      <c r="D1314" s="348" t="s">
        <v>3340</v>
      </c>
      <c r="E1314" s="48" t="s">
        <v>1944</v>
      </c>
      <c r="F1314" s="9" t="s">
        <v>2040</v>
      </c>
      <c r="G1314" s="111" t="s">
        <v>1823</v>
      </c>
      <c r="H1314" s="112" t="s">
        <v>1982</v>
      </c>
      <c r="I1314" s="28" t="s">
        <v>1977</v>
      </c>
      <c r="K1314" s="2" t="s">
        <v>242</v>
      </c>
      <c r="L1314" s="1" t="str">
        <f t="shared" si="21"/>
        <v>對</v>
      </c>
      <c r="M1314" s="1" t="str">
        <f t="shared" si="21"/>
        <v>對</v>
      </c>
      <c r="N1314" s="1" t="str">
        <f t="shared" si="21"/>
        <v>對</v>
      </c>
    </row>
    <row r="1315" spans="1:14" ht="19.5">
      <c r="A1315" s="573"/>
      <c r="B1315" s="596"/>
      <c r="C1315" s="51" t="s">
        <v>2041</v>
      </c>
      <c r="D1315" s="319" t="s">
        <v>2854</v>
      </c>
      <c r="E1315" s="52" t="s">
        <v>1944</v>
      </c>
      <c r="F1315" s="429"/>
      <c r="G1315" s="44"/>
      <c r="H1315" s="286"/>
      <c r="I1315" s="55"/>
      <c r="L1315" s="1" t="str">
        <f t="shared" si="21"/>
        <v>空白</v>
      </c>
      <c r="M1315" s="1" t="str">
        <f t="shared" si="21"/>
        <v>空白</v>
      </c>
      <c r="N1315" s="1" t="str">
        <f t="shared" si="21"/>
        <v>空白</v>
      </c>
    </row>
    <row r="1316" spans="1:14" ht="19.5">
      <c r="A1316" s="573"/>
      <c r="B1316" s="594" t="s">
        <v>2042</v>
      </c>
      <c r="C1316" s="22" t="s">
        <v>2043</v>
      </c>
      <c r="D1316" s="348" t="s">
        <v>2803</v>
      </c>
      <c r="E1316" s="48" t="s">
        <v>1944</v>
      </c>
      <c r="F1316" s="23"/>
      <c r="G1316" s="160"/>
      <c r="H1316" s="112"/>
      <c r="I1316" s="28"/>
      <c r="L1316" s="1" t="str">
        <f t="shared" si="21"/>
        <v>空白</v>
      </c>
      <c r="M1316" s="1" t="str">
        <f t="shared" si="21"/>
        <v>空白</v>
      </c>
      <c r="N1316" s="1" t="str">
        <f t="shared" si="21"/>
        <v>空白</v>
      </c>
    </row>
    <row r="1317" spans="1:14" ht="39">
      <c r="A1317" s="573"/>
      <c r="B1317" s="595"/>
      <c r="C1317" s="77" t="s">
        <v>3356</v>
      </c>
      <c r="D1317" s="348" t="s">
        <v>3340</v>
      </c>
      <c r="E1317" s="48" t="s">
        <v>1944</v>
      </c>
      <c r="F1317" s="9" t="s">
        <v>2044</v>
      </c>
      <c r="G1317" s="111" t="s">
        <v>1823</v>
      </c>
      <c r="H1317" s="112" t="s">
        <v>1982</v>
      </c>
      <c r="I1317" s="28" t="s">
        <v>1977</v>
      </c>
      <c r="K1317" s="2" t="s">
        <v>242</v>
      </c>
      <c r="L1317" s="1" t="str">
        <f t="shared" si="21"/>
        <v>對</v>
      </c>
      <c r="M1317" s="1" t="str">
        <f t="shared" si="21"/>
        <v>對</v>
      </c>
      <c r="N1317" s="1" t="str">
        <f t="shared" si="21"/>
        <v>對</v>
      </c>
    </row>
    <row r="1318" spans="1:14" ht="19.5">
      <c r="A1318" s="573"/>
      <c r="B1318" s="596"/>
      <c r="C1318" s="63" t="s">
        <v>2045</v>
      </c>
      <c r="D1318" s="337" t="s">
        <v>2855</v>
      </c>
      <c r="E1318" s="52" t="s">
        <v>1944</v>
      </c>
      <c r="F1318" s="429"/>
      <c r="G1318" s="44"/>
      <c r="H1318" s="286"/>
      <c r="I1318" s="55"/>
      <c r="L1318" s="1" t="str">
        <f t="shared" si="21"/>
        <v>空白</v>
      </c>
      <c r="M1318" s="1" t="str">
        <f t="shared" si="21"/>
        <v>空白</v>
      </c>
      <c r="N1318" s="1" t="str">
        <f t="shared" si="21"/>
        <v>空白</v>
      </c>
    </row>
    <row r="1319" spans="1:14" ht="19.5">
      <c r="A1319" s="573"/>
      <c r="B1319" s="594" t="s">
        <v>2046</v>
      </c>
      <c r="C1319" s="71" t="s">
        <v>2047</v>
      </c>
      <c r="D1319" s="339" t="s">
        <v>2803</v>
      </c>
      <c r="E1319" s="48" t="s">
        <v>1944</v>
      </c>
      <c r="F1319" s="23"/>
      <c r="G1319" s="160"/>
      <c r="H1319" s="112"/>
      <c r="I1319" s="28"/>
      <c r="L1319" s="1" t="str">
        <f t="shared" si="21"/>
        <v>空白</v>
      </c>
      <c r="M1319" s="1" t="str">
        <f t="shared" si="21"/>
        <v>空白</v>
      </c>
      <c r="N1319" s="1" t="str">
        <f t="shared" si="21"/>
        <v>空白</v>
      </c>
    </row>
    <row r="1320" spans="1:14" ht="39">
      <c r="A1320" s="573"/>
      <c r="B1320" s="595"/>
      <c r="C1320" s="77" t="s">
        <v>3357</v>
      </c>
      <c r="D1320" s="348" t="s">
        <v>3340</v>
      </c>
      <c r="E1320" s="48" t="s">
        <v>1944</v>
      </c>
      <c r="F1320" s="9" t="s">
        <v>2048</v>
      </c>
      <c r="G1320" s="111" t="s">
        <v>1823</v>
      </c>
      <c r="H1320" s="112" t="s">
        <v>1982</v>
      </c>
      <c r="I1320" s="28" t="s">
        <v>1977</v>
      </c>
      <c r="K1320" s="2" t="s">
        <v>242</v>
      </c>
      <c r="L1320" s="1" t="str">
        <f t="shared" si="21"/>
        <v>對</v>
      </c>
      <c r="M1320" s="1" t="str">
        <f t="shared" si="21"/>
        <v>對</v>
      </c>
      <c r="N1320" s="1" t="str">
        <f t="shared" si="21"/>
        <v>對</v>
      </c>
    </row>
    <row r="1321" spans="1:14" ht="19.5">
      <c r="A1321" s="573"/>
      <c r="B1321" s="596"/>
      <c r="C1321" s="51" t="s">
        <v>2049</v>
      </c>
      <c r="D1321" s="319" t="s">
        <v>2856</v>
      </c>
      <c r="E1321" s="52" t="s">
        <v>1944</v>
      </c>
      <c r="F1321" s="429"/>
      <c r="G1321" s="44"/>
      <c r="H1321" s="286"/>
      <c r="I1321" s="55"/>
      <c r="L1321" s="1" t="str">
        <f t="shared" si="21"/>
        <v>空白</v>
      </c>
      <c r="M1321" s="1" t="str">
        <f t="shared" si="21"/>
        <v>空白</v>
      </c>
      <c r="N1321" s="1" t="str">
        <f t="shared" si="21"/>
        <v>空白</v>
      </c>
    </row>
    <row r="1322" spans="1:14" ht="19.5">
      <c r="A1322" s="573"/>
      <c r="B1322" s="594" t="s">
        <v>2050</v>
      </c>
      <c r="C1322" s="22" t="s">
        <v>2051</v>
      </c>
      <c r="D1322" s="348" t="s">
        <v>2803</v>
      </c>
      <c r="E1322" s="48" t="s">
        <v>1944</v>
      </c>
      <c r="F1322" s="23"/>
      <c r="G1322" s="160"/>
      <c r="H1322" s="112"/>
      <c r="I1322" s="28"/>
      <c r="L1322" s="1" t="str">
        <f t="shared" si="21"/>
        <v>空白</v>
      </c>
      <c r="M1322" s="1" t="str">
        <f t="shared" si="21"/>
        <v>空白</v>
      </c>
      <c r="N1322" s="1" t="str">
        <f t="shared" si="21"/>
        <v>空白</v>
      </c>
    </row>
    <row r="1323" spans="1:14" ht="39">
      <c r="A1323" s="573"/>
      <c r="B1323" s="595"/>
      <c r="C1323" s="77" t="s">
        <v>3358</v>
      </c>
      <c r="D1323" s="348" t="s">
        <v>3340</v>
      </c>
      <c r="E1323" s="48" t="s">
        <v>1944</v>
      </c>
      <c r="F1323" s="9" t="s">
        <v>2052</v>
      </c>
      <c r="G1323" s="111" t="s">
        <v>1823</v>
      </c>
      <c r="H1323" s="112" t="s">
        <v>1982</v>
      </c>
      <c r="I1323" s="28" t="s">
        <v>1977</v>
      </c>
      <c r="K1323" s="2" t="s">
        <v>242</v>
      </c>
      <c r="L1323" s="1" t="str">
        <f t="shared" si="21"/>
        <v>對</v>
      </c>
      <c r="M1323" s="1" t="str">
        <f t="shared" si="21"/>
        <v>對</v>
      </c>
      <c r="N1323" s="1" t="str">
        <f t="shared" si="21"/>
        <v>對</v>
      </c>
    </row>
    <row r="1324" spans="1:14" ht="19.5">
      <c r="A1324" s="573"/>
      <c r="B1324" s="596"/>
      <c r="C1324" s="63" t="s">
        <v>2053</v>
      </c>
      <c r="D1324" s="337" t="s">
        <v>2857</v>
      </c>
      <c r="E1324" s="48" t="s">
        <v>1944</v>
      </c>
      <c r="F1324" s="429"/>
      <c r="G1324" s="44"/>
      <c r="H1324" s="286"/>
      <c r="I1324" s="55"/>
      <c r="L1324" s="1" t="str">
        <f t="shared" si="21"/>
        <v>空白</v>
      </c>
      <c r="M1324" s="1" t="str">
        <f t="shared" si="21"/>
        <v>空白</v>
      </c>
      <c r="N1324" s="1" t="str">
        <f t="shared" si="21"/>
        <v>空白</v>
      </c>
    </row>
    <row r="1325" spans="1:14" ht="19.5">
      <c r="A1325" s="573"/>
      <c r="B1325" s="594" t="s">
        <v>2054</v>
      </c>
      <c r="C1325" s="71" t="s">
        <v>2055</v>
      </c>
      <c r="D1325" s="339" t="s">
        <v>2803</v>
      </c>
      <c r="E1325" s="48" t="s">
        <v>1944</v>
      </c>
      <c r="F1325" s="23"/>
      <c r="G1325" s="160"/>
      <c r="H1325" s="112"/>
      <c r="I1325" s="28"/>
      <c r="L1325" s="1" t="str">
        <f t="shared" si="21"/>
        <v>空白</v>
      </c>
      <c r="M1325" s="1" t="str">
        <f t="shared" si="21"/>
        <v>空白</v>
      </c>
      <c r="N1325" s="1" t="str">
        <f t="shared" si="21"/>
        <v>空白</v>
      </c>
    </row>
    <row r="1326" spans="1:14" ht="39">
      <c r="A1326" s="573"/>
      <c r="B1326" s="595"/>
      <c r="C1326" s="77" t="s">
        <v>3359</v>
      </c>
      <c r="D1326" s="348" t="s">
        <v>3340</v>
      </c>
      <c r="E1326" s="48" t="s">
        <v>1944</v>
      </c>
      <c r="F1326" s="9" t="s">
        <v>2056</v>
      </c>
      <c r="G1326" s="111" t="s">
        <v>1823</v>
      </c>
      <c r="H1326" s="112" t="s">
        <v>1982</v>
      </c>
      <c r="I1326" s="28" t="s">
        <v>1977</v>
      </c>
      <c r="K1326" s="2" t="s">
        <v>242</v>
      </c>
      <c r="L1326" s="1" t="str">
        <f t="shared" si="21"/>
        <v>對</v>
      </c>
      <c r="M1326" s="1" t="str">
        <f t="shared" si="21"/>
        <v>對</v>
      </c>
      <c r="N1326" s="1" t="str">
        <f t="shared" si="21"/>
        <v>對</v>
      </c>
    </row>
    <row r="1327" spans="1:14" ht="19.5">
      <c r="A1327" s="573"/>
      <c r="B1327" s="596"/>
      <c r="C1327" s="51" t="s">
        <v>2057</v>
      </c>
      <c r="D1327" s="319" t="s">
        <v>2857</v>
      </c>
      <c r="E1327" s="48" t="s">
        <v>1944</v>
      </c>
      <c r="F1327" s="429"/>
      <c r="G1327" s="44"/>
      <c r="H1327" s="286"/>
      <c r="I1327" s="55"/>
      <c r="L1327" s="1" t="str">
        <f t="shared" si="21"/>
        <v>空白</v>
      </c>
      <c r="M1327" s="1" t="str">
        <f t="shared" si="21"/>
        <v>空白</v>
      </c>
      <c r="N1327" s="1" t="str">
        <f t="shared" si="21"/>
        <v>空白</v>
      </c>
    </row>
    <row r="1328" spans="1:14" ht="19.5">
      <c r="A1328" s="573"/>
      <c r="B1328" s="594" t="s">
        <v>2058</v>
      </c>
      <c r="C1328" s="22" t="s">
        <v>2059</v>
      </c>
      <c r="D1328" s="348" t="s">
        <v>2803</v>
      </c>
      <c r="E1328" s="48" t="s">
        <v>1944</v>
      </c>
      <c r="F1328" s="23"/>
      <c r="G1328" s="160"/>
      <c r="H1328" s="112"/>
      <c r="I1328" s="28"/>
      <c r="L1328" s="1" t="str">
        <f t="shared" si="21"/>
        <v>空白</v>
      </c>
      <c r="M1328" s="1" t="str">
        <f t="shared" si="21"/>
        <v>空白</v>
      </c>
      <c r="N1328" s="1" t="str">
        <f t="shared" si="21"/>
        <v>空白</v>
      </c>
    </row>
    <row r="1329" spans="1:14" ht="39">
      <c r="A1329" s="573"/>
      <c r="B1329" s="595"/>
      <c r="C1329" s="77" t="s">
        <v>3360</v>
      </c>
      <c r="D1329" s="348" t="s">
        <v>3340</v>
      </c>
      <c r="E1329" s="48" t="s">
        <v>1944</v>
      </c>
      <c r="F1329" s="9" t="s">
        <v>2060</v>
      </c>
      <c r="G1329" s="111" t="s">
        <v>1823</v>
      </c>
      <c r="H1329" s="112" t="s">
        <v>1982</v>
      </c>
      <c r="I1329" s="28" t="s">
        <v>1977</v>
      </c>
      <c r="K1329" s="2" t="s">
        <v>242</v>
      </c>
      <c r="L1329" s="1" t="str">
        <f t="shared" si="21"/>
        <v>對</v>
      </c>
      <c r="M1329" s="1" t="str">
        <f t="shared" si="21"/>
        <v>對</v>
      </c>
      <c r="N1329" s="1" t="str">
        <f t="shared" si="21"/>
        <v>對</v>
      </c>
    </row>
    <row r="1330" spans="1:14" ht="19.5">
      <c r="A1330" s="573"/>
      <c r="B1330" s="596"/>
      <c r="C1330" s="63" t="s">
        <v>2061</v>
      </c>
      <c r="D1330" s="337" t="s">
        <v>2857</v>
      </c>
      <c r="E1330" s="48" t="s">
        <v>1944</v>
      </c>
      <c r="F1330" s="428"/>
      <c r="G1330" s="37"/>
      <c r="H1330" s="113"/>
      <c r="I1330" s="55"/>
      <c r="L1330" s="1" t="str">
        <f t="shared" si="21"/>
        <v>空白</v>
      </c>
      <c r="M1330" s="1" t="str">
        <f t="shared" si="21"/>
        <v>空白</v>
      </c>
      <c r="N1330" s="1" t="str">
        <f t="shared" si="21"/>
        <v>空白</v>
      </c>
    </row>
    <row r="1331" spans="1:14">
      <c r="A1331" s="573"/>
      <c r="B1331" s="594" t="s">
        <v>2062</v>
      </c>
      <c r="C1331" s="71" t="s">
        <v>2063</v>
      </c>
      <c r="D1331" s="339" t="s">
        <v>2803</v>
      </c>
      <c r="E1331" s="48">
        <v>2</v>
      </c>
      <c r="F1331" s="23"/>
      <c r="G1331" s="160"/>
      <c r="H1331" s="112"/>
      <c r="I1331" s="28"/>
      <c r="L1331" s="1" t="str">
        <f t="shared" si="21"/>
        <v>空白</v>
      </c>
      <c r="M1331" s="1" t="str">
        <f t="shared" si="21"/>
        <v>空白</v>
      </c>
      <c r="N1331" s="1" t="str">
        <f t="shared" si="21"/>
        <v>空白</v>
      </c>
    </row>
    <row r="1332" spans="1:14" ht="39">
      <c r="A1332" s="573"/>
      <c r="B1332" s="595"/>
      <c r="C1332" s="77" t="s">
        <v>3361</v>
      </c>
      <c r="D1332" s="348" t="s">
        <v>3340</v>
      </c>
      <c r="E1332" s="48">
        <v>2</v>
      </c>
      <c r="F1332" s="9" t="s">
        <v>2064</v>
      </c>
      <c r="G1332" s="111" t="s">
        <v>1823</v>
      </c>
      <c r="H1332" s="112">
        <v>2</v>
      </c>
      <c r="I1332" s="28" t="s">
        <v>1824</v>
      </c>
      <c r="K1332" s="2" t="s">
        <v>242</v>
      </c>
      <c r="L1332" s="1" t="str">
        <f t="shared" si="21"/>
        <v>對</v>
      </c>
      <c r="M1332" s="1" t="str">
        <f t="shared" si="21"/>
        <v>對</v>
      </c>
      <c r="N1332" s="1" t="str">
        <f t="shared" si="21"/>
        <v>對</v>
      </c>
    </row>
    <row r="1333" spans="1:14">
      <c r="A1333" s="573"/>
      <c r="B1333" s="596"/>
      <c r="C1333" s="51" t="s">
        <v>2065</v>
      </c>
      <c r="D1333" s="319" t="s">
        <v>2857</v>
      </c>
      <c r="E1333" s="52">
        <v>3</v>
      </c>
      <c r="F1333" s="428"/>
      <c r="G1333" s="37"/>
      <c r="H1333" s="113"/>
      <c r="I1333" s="55"/>
      <c r="L1333" s="1" t="str">
        <f t="shared" si="21"/>
        <v>空白</v>
      </c>
      <c r="M1333" s="1" t="str">
        <f t="shared" si="21"/>
        <v>空白</v>
      </c>
      <c r="N1333" s="1" t="str">
        <f t="shared" si="21"/>
        <v>空白</v>
      </c>
    </row>
    <row r="1334" spans="1:14">
      <c r="A1334" s="573"/>
      <c r="B1334" s="600" t="s">
        <v>2066</v>
      </c>
      <c r="C1334" s="22" t="s">
        <v>2067</v>
      </c>
      <c r="D1334" s="348" t="s">
        <v>2803</v>
      </c>
      <c r="E1334" s="48">
        <v>2</v>
      </c>
      <c r="F1334" s="23"/>
      <c r="G1334" s="160"/>
      <c r="H1334" s="112"/>
      <c r="I1334" s="28"/>
      <c r="L1334" s="1" t="str">
        <f t="shared" si="21"/>
        <v>空白</v>
      </c>
      <c r="M1334" s="1" t="str">
        <f t="shared" si="21"/>
        <v>空白</v>
      </c>
      <c r="N1334" s="1" t="str">
        <f t="shared" si="21"/>
        <v>空白</v>
      </c>
    </row>
    <row r="1335" spans="1:14" ht="39">
      <c r="A1335" s="573"/>
      <c r="B1335" s="595"/>
      <c r="C1335" s="77" t="s">
        <v>3362</v>
      </c>
      <c r="D1335" s="348" t="s">
        <v>3340</v>
      </c>
      <c r="E1335" s="48">
        <v>2</v>
      </c>
      <c r="F1335" s="9" t="s">
        <v>2068</v>
      </c>
      <c r="G1335" s="111" t="s">
        <v>1823</v>
      </c>
      <c r="H1335" s="112">
        <v>2</v>
      </c>
      <c r="I1335" s="28" t="s">
        <v>1824</v>
      </c>
      <c r="K1335" s="2" t="s">
        <v>242</v>
      </c>
      <c r="L1335" s="1" t="str">
        <f t="shared" si="21"/>
        <v>對</v>
      </c>
      <c r="M1335" s="1" t="str">
        <f t="shared" si="21"/>
        <v>對</v>
      </c>
      <c r="N1335" s="1" t="str">
        <f t="shared" si="21"/>
        <v>對</v>
      </c>
    </row>
    <row r="1336" spans="1:14">
      <c r="A1336" s="573"/>
      <c r="B1336" s="595"/>
      <c r="C1336" s="51" t="s">
        <v>2069</v>
      </c>
      <c r="D1336" s="337" t="s">
        <v>2857</v>
      </c>
      <c r="E1336" s="52">
        <v>3</v>
      </c>
      <c r="F1336" s="428"/>
      <c r="G1336" s="37"/>
      <c r="H1336" s="113"/>
      <c r="I1336" s="55"/>
      <c r="L1336" s="1" t="str">
        <f t="shared" si="21"/>
        <v>空白</v>
      </c>
      <c r="M1336" s="1" t="str">
        <f t="shared" si="21"/>
        <v>空白</v>
      </c>
      <c r="N1336" s="1" t="str">
        <f t="shared" si="21"/>
        <v>空白</v>
      </c>
    </row>
    <row r="1337" spans="1:14">
      <c r="A1337" s="573"/>
      <c r="B1337" s="600" t="s">
        <v>2070</v>
      </c>
      <c r="C1337" s="71" t="s">
        <v>2071</v>
      </c>
      <c r="D1337" s="339" t="s">
        <v>2803</v>
      </c>
      <c r="E1337" s="41">
        <v>1</v>
      </c>
      <c r="F1337" s="23"/>
      <c r="G1337" s="160"/>
      <c r="H1337" s="112"/>
      <c r="I1337" s="28"/>
      <c r="L1337" s="1" t="str">
        <f t="shared" si="21"/>
        <v>空白</v>
      </c>
      <c r="M1337" s="1" t="str">
        <f t="shared" si="21"/>
        <v>空白</v>
      </c>
      <c r="N1337" s="1" t="str">
        <f t="shared" si="21"/>
        <v>空白</v>
      </c>
    </row>
    <row r="1338" spans="1:14" ht="39">
      <c r="A1338" s="573"/>
      <c r="B1338" s="595"/>
      <c r="C1338" s="77" t="s">
        <v>3363</v>
      </c>
      <c r="D1338" s="348" t="s">
        <v>3340</v>
      </c>
      <c r="E1338" s="48">
        <v>1</v>
      </c>
      <c r="F1338" s="9" t="s">
        <v>2072</v>
      </c>
      <c r="G1338" s="111" t="s">
        <v>1823</v>
      </c>
      <c r="H1338" s="112">
        <v>1</v>
      </c>
      <c r="I1338" s="28" t="s">
        <v>2020</v>
      </c>
      <c r="K1338" s="2" t="s">
        <v>242</v>
      </c>
      <c r="L1338" s="1" t="str">
        <f t="shared" si="21"/>
        <v>對</v>
      </c>
      <c r="M1338" s="1" t="str">
        <f t="shared" si="21"/>
        <v>對</v>
      </c>
      <c r="N1338" s="1" t="str">
        <f t="shared" si="21"/>
        <v>對</v>
      </c>
    </row>
    <row r="1339" spans="1:14" ht="19.5" thickBot="1">
      <c r="A1339" s="597"/>
      <c r="B1339" s="604"/>
      <c r="C1339" s="288" t="s">
        <v>2073</v>
      </c>
      <c r="D1339" s="371" t="s">
        <v>2857</v>
      </c>
      <c r="E1339" s="289">
        <v>2</v>
      </c>
      <c r="F1339" s="290"/>
      <c r="G1339" s="291"/>
      <c r="H1339" s="292"/>
      <c r="I1339" s="293"/>
      <c r="L1339" s="1" t="str">
        <f t="shared" si="21"/>
        <v>空白</v>
      </c>
      <c r="M1339" s="1" t="str">
        <f t="shared" si="21"/>
        <v>空白</v>
      </c>
      <c r="N1339" s="1" t="str">
        <f t="shared" si="21"/>
        <v>空白</v>
      </c>
    </row>
    <row r="1340" spans="1:14">
      <c r="B1340" s="378"/>
      <c r="C1340" s="378"/>
      <c r="D1340" s="379"/>
      <c r="E1340" s="383"/>
      <c r="F1340" s="294"/>
      <c r="G1340" s="295"/>
      <c r="H1340" s="207"/>
    </row>
    <row r="1341" spans="1:14">
      <c r="D1341" s="380"/>
      <c r="E1341" s="384"/>
      <c r="F1341" s="296"/>
      <c r="G1341" s="296"/>
    </row>
    <row r="1342" spans="1:14">
      <c r="D1342" s="380"/>
      <c r="E1342" s="384"/>
      <c r="F1342" s="296"/>
      <c r="G1342" s="296"/>
    </row>
    <row r="1343" spans="1:14">
      <c r="D1343" s="380"/>
      <c r="E1343" s="384"/>
      <c r="F1343" s="296"/>
      <c r="G1343" s="296"/>
    </row>
    <row r="1344" spans="1:14">
      <c r="D1344" s="380"/>
      <c r="E1344" s="384"/>
      <c r="F1344" s="296"/>
      <c r="G1344" s="296"/>
    </row>
    <row r="1345" spans="4:7">
      <c r="D1345" s="380"/>
      <c r="E1345" s="384"/>
      <c r="F1345" s="296"/>
      <c r="G1345" s="296"/>
    </row>
    <row r="1346" spans="4:7">
      <c r="D1346" s="380"/>
      <c r="E1346" s="384"/>
      <c r="F1346" s="296"/>
      <c r="G1346" s="296"/>
    </row>
    <row r="1347" spans="4:7">
      <c r="D1347" s="380"/>
      <c r="E1347" s="384"/>
      <c r="F1347" s="296"/>
      <c r="G1347" s="296"/>
    </row>
    <row r="1348" spans="4:7">
      <c r="D1348" s="380"/>
      <c r="E1348" s="384"/>
      <c r="F1348" s="296"/>
      <c r="G1348" s="296"/>
    </row>
    <row r="1349" spans="4:7">
      <c r="D1349" s="380"/>
      <c r="E1349" s="384"/>
      <c r="F1349" s="296"/>
      <c r="G1349" s="296"/>
    </row>
    <row r="1350" spans="4:7">
      <c r="D1350" s="380"/>
      <c r="E1350" s="384"/>
      <c r="F1350" s="296"/>
      <c r="G1350" s="296"/>
    </row>
    <row r="1351" spans="4:7">
      <c r="D1351" s="380"/>
      <c r="E1351" s="384"/>
      <c r="F1351" s="296"/>
      <c r="G1351" s="296"/>
    </row>
    <row r="1352" spans="4:7">
      <c r="D1352" s="380"/>
      <c r="E1352" s="384"/>
      <c r="F1352" s="296"/>
      <c r="G1352" s="296"/>
    </row>
    <row r="1353" spans="4:7">
      <c r="D1353" s="380"/>
      <c r="E1353" s="384"/>
      <c r="F1353" s="296"/>
      <c r="G1353" s="296"/>
    </row>
    <row r="1354" spans="4:7">
      <c r="D1354" s="380"/>
      <c r="E1354" s="384"/>
      <c r="F1354" s="296"/>
      <c r="G1354" s="296"/>
    </row>
    <row r="1355" spans="4:7">
      <c r="E1355" s="384"/>
      <c r="F1355" s="296"/>
      <c r="G1355" s="296"/>
    </row>
    <row r="1356" spans="4:7">
      <c r="E1356" s="384"/>
      <c r="F1356" s="296"/>
      <c r="G1356" s="296"/>
    </row>
    <row r="1357" spans="4:7">
      <c r="E1357" s="384"/>
      <c r="F1357" s="296"/>
      <c r="G1357" s="296"/>
    </row>
    <row r="1358" spans="4:7">
      <c r="E1358" s="384"/>
      <c r="F1358" s="296"/>
      <c r="G1358" s="296"/>
    </row>
    <row r="1359" spans="4:7">
      <c r="E1359" s="384"/>
      <c r="F1359" s="296"/>
      <c r="G1359" s="296"/>
    </row>
    <row r="1360" spans="4:7">
      <c r="E1360" s="384"/>
      <c r="F1360" s="296"/>
      <c r="G1360" s="296"/>
    </row>
    <row r="1361" spans="5:7">
      <c r="E1361" s="384"/>
      <c r="F1361" s="296"/>
      <c r="G1361" s="296"/>
    </row>
    <row r="1362" spans="5:7">
      <c r="E1362" s="384"/>
      <c r="F1362" s="296"/>
      <c r="G1362" s="296"/>
    </row>
    <row r="1363" spans="5:7">
      <c r="E1363" s="384"/>
      <c r="F1363" s="296"/>
      <c r="G1363" s="296"/>
    </row>
    <row r="1364" spans="5:7">
      <c r="E1364" s="384"/>
      <c r="F1364" s="296"/>
      <c r="G1364" s="296"/>
    </row>
    <row r="1365" spans="5:7">
      <c r="E1365" s="384"/>
      <c r="F1365" s="296"/>
      <c r="G1365" s="296"/>
    </row>
    <row r="1366" spans="5:7">
      <c r="E1366" s="384"/>
      <c r="F1366" s="296"/>
      <c r="G1366" s="296"/>
    </row>
    <row r="1367" spans="5:7">
      <c r="E1367" s="384"/>
      <c r="F1367" s="296"/>
      <c r="G1367" s="296"/>
    </row>
    <row r="1368" spans="5:7">
      <c r="E1368" s="384"/>
      <c r="F1368" s="296"/>
      <c r="G1368" s="296"/>
    </row>
    <row r="1369" spans="5:7">
      <c r="E1369" s="384"/>
      <c r="F1369" s="296"/>
      <c r="G1369" s="296"/>
    </row>
    <row r="1370" spans="5:7">
      <c r="E1370" s="384"/>
      <c r="F1370" s="296"/>
      <c r="G1370" s="296"/>
    </row>
    <row r="1371" spans="5:7">
      <c r="E1371" s="384"/>
      <c r="F1371" s="296"/>
      <c r="G1371" s="296"/>
    </row>
    <row r="1372" spans="5:7">
      <c r="E1372" s="384"/>
      <c r="F1372" s="296"/>
      <c r="G1372" s="296"/>
    </row>
    <row r="1373" spans="5:7">
      <c r="E1373" s="384"/>
      <c r="F1373" s="296"/>
      <c r="G1373" s="296"/>
    </row>
    <row r="1374" spans="5:7">
      <c r="E1374" s="384"/>
      <c r="F1374" s="296"/>
      <c r="G1374" s="296"/>
    </row>
    <row r="1375" spans="5:7">
      <c r="E1375" s="384"/>
      <c r="F1375" s="296"/>
      <c r="G1375" s="296"/>
    </row>
    <row r="1376" spans="5:7">
      <c r="E1376" s="384"/>
      <c r="F1376" s="296"/>
      <c r="G1376" s="296"/>
    </row>
    <row r="1377" spans="5:7">
      <c r="E1377" s="384"/>
      <c r="F1377" s="296"/>
      <c r="G1377" s="296"/>
    </row>
    <row r="1378" spans="5:7">
      <c r="E1378" s="384"/>
      <c r="F1378" s="296"/>
      <c r="G1378" s="296"/>
    </row>
    <row r="1379" spans="5:7">
      <c r="E1379" s="384"/>
      <c r="F1379" s="296"/>
      <c r="G1379" s="296"/>
    </row>
    <row r="1380" spans="5:7">
      <c r="E1380" s="384"/>
      <c r="F1380" s="296"/>
      <c r="G1380" s="296"/>
    </row>
    <row r="1381" spans="5:7">
      <c r="E1381" s="384"/>
      <c r="F1381" s="296"/>
      <c r="G1381" s="296"/>
    </row>
    <row r="1382" spans="5:7">
      <c r="E1382" s="384"/>
      <c r="F1382" s="296"/>
      <c r="G1382" s="296"/>
    </row>
    <row r="1383" spans="5:7">
      <c r="E1383" s="384"/>
      <c r="F1383" s="296"/>
      <c r="G1383" s="296"/>
    </row>
    <row r="1384" spans="5:7">
      <c r="E1384" s="384"/>
      <c r="F1384" s="296"/>
      <c r="G1384" s="296"/>
    </row>
    <row r="1385" spans="5:7">
      <c r="E1385" s="384"/>
      <c r="F1385" s="296"/>
      <c r="G1385" s="296"/>
    </row>
    <row r="1386" spans="5:7">
      <c r="E1386" s="384"/>
      <c r="F1386" s="296"/>
      <c r="G1386" s="296"/>
    </row>
    <row r="1387" spans="5:7">
      <c r="E1387" s="384"/>
      <c r="F1387" s="296"/>
      <c r="G1387" s="296"/>
    </row>
    <row r="1388" spans="5:7">
      <c r="E1388" s="384"/>
      <c r="F1388" s="296"/>
      <c r="G1388" s="296"/>
    </row>
    <row r="1389" spans="5:7">
      <c r="E1389" s="384"/>
      <c r="F1389" s="296"/>
      <c r="G1389" s="296"/>
    </row>
    <row r="1390" spans="5:7">
      <c r="E1390" s="384"/>
      <c r="F1390" s="296"/>
      <c r="G1390" s="296"/>
    </row>
    <row r="1391" spans="5:7">
      <c r="E1391" s="384"/>
      <c r="F1391" s="296"/>
      <c r="G1391" s="296"/>
    </row>
    <row r="1392" spans="5:7">
      <c r="E1392" s="384"/>
      <c r="F1392" s="296"/>
      <c r="G1392" s="296"/>
    </row>
    <row r="1393" spans="5:7">
      <c r="E1393" s="384"/>
      <c r="F1393" s="296"/>
      <c r="G1393" s="296"/>
    </row>
    <row r="1394" spans="5:7">
      <c r="E1394" s="384"/>
      <c r="F1394" s="296"/>
      <c r="G1394" s="296"/>
    </row>
    <row r="1395" spans="5:7">
      <c r="E1395" s="384"/>
      <c r="F1395" s="296"/>
      <c r="G1395" s="296"/>
    </row>
    <row r="1396" spans="5:7">
      <c r="E1396" s="384"/>
      <c r="F1396" s="296"/>
      <c r="G1396" s="296"/>
    </row>
    <row r="1397" spans="5:7">
      <c r="E1397" s="384"/>
      <c r="F1397" s="296"/>
      <c r="G1397" s="296"/>
    </row>
    <row r="1398" spans="5:7">
      <c r="E1398" s="384"/>
      <c r="F1398" s="296"/>
      <c r="G1398" s="296"/>
    </row>
    <row r="1399" spans="5:7">
      <c r="E1399" s="384"/>
      <c r="F1399" s="296"/>
      <c r="G1399" s="296"/>
    </row>
    <row r="1400" spans="5:7">
      <c r="E1400" s="384"/>
      <c r="F1400" s="296"/>
      <c r="G1400" s="296"/>
    </row>
    <row r="1401" spans="5:7">
      <c r="E1401" s="384"/>
      <c r="F1401" s="296"/>
      <c r="G1401" s="296"/>
    </row>
    <row r="1402" spans="5:7">
      <c r="E1402" s="384"/>
      <c r="F1402" s="296"/>
      <c r="G1402" s="296"/>
    </row>
    <row r="1403" spans="5:7">
      <c r="E1403" s="384"/>
      <c r="F1403" s="296"/>
      <c r="G1403" s="296"/>
    </row>
    <row r="1404" spans="5:7">
      <c r="E1404" s="384"/>
      <c r="F1404" s="296"/>
      <c r="G1404" s="296"/>
    </row>
    <row r="1405" spans="5:7">
      <c r="E1405" s="384"/>
      <c r="F1405" s="296"/>
      <c r="G1405" s="296"/>
    </row>
    <row r="1406" spans="5:7">
      <c r="E1406" s="384"/>
      <c r="F1406" s="296"/>
      <c r="G1406" s="296"/>
    </row>
    <row r="1407" spans="5:7">
      <c r="E1407" s="384"/>
      <c r="F1407" s="296"/>
      <c r="G1407" s="296"/>
    </row>
    <row r="1408" spans="5:7">
      <c r="E1408" s="384"/>
      <c r="F1408" s="296"/>
      <c r="G1408" s="296"/>
    </row>
    <row r="1409" spans="5:7">
      <c r="E1409" s="384"/>
      <c r="F1409" s="296"/>
      <c r="G1409" s="296"/>
    </row>
    <row r="1410" spans="5:7">
      <c r="E1410" s="384"/>
      <c r="F1410" s="296"/>
      <c r="G1410" s="296"/>
    </row>
    <row r="1411" spans="5:7">
      <c r="E1411" s="384"/>
      <c r="F1411" s="296"/>
      <c r="G1411" s="296"/>
    </row>
    <row r="1412" spans="5:7">
      <c r="E1412" s="384"/>
      <c r="F1412" s="296"/>
      <c r="G1412" s="296"/>
    </row>
    <row r="1413" spans="5:7">
      <c r="E1413" s="384"/>
      <c r="F1413" s="296"/>
      <c r="G1413" s="296"/>
    </row>
    <row r="1414" spans="5:7">
      <c r="E1414" s="384"/>
      <c r="F1414" s="296"/>
      <c r="G1414" s="296"/>
    </row>
    <row r="1415" spans="5:7">
      <c r="E1415" s="384"/>
      <c r="F1415" s="296"/>
      <c r="G1415" s="296"/>
    </row>
    <row r="1416" spans="5:7">
      <c r="E1416" s="384"/>
      <c r="F1416" s="296"/>
      <c r="G1416" s="296"/>
    </row>
    <row r="1417" spans="5:7">
      <c r="E1417" s="384"/>
      <c r="F1417" s="296"/>
      <c r="G1417" s="296"/>
    </row>
    <row r="1418" spans="5:7">
      <c r="E1418" s="384"/>
      <c r="F1418" s="296"/>
      <c r="G1418" s="296"/>
    </row>
    <row r="1419" spans="5:7">
      <c r="E1419" s="384"/>
      <c r="F1419" s="296"/>
      <c r="G1419" s="296"/>
    </row>
    <row r="1420" spans="5:7">
      <c r="E1420" s="384"/>
      <c r="F1420" s="296"/>
      <c r="G1420" s="296"/>
    </row>
    <row r="1421" spans="5:7">
      <c r="E1421" s="384"/>
      <c r="F1421" s="296"/>
      <c r="G1421" s="296"/>
    </row>
    <row r="1422" spans="5:7">
      <c r="E1422" s="384"/>
      <c r="F1422" s="296"/>
      <c r="G1422" s="296"/>
    </row>
    <row r="1423" spans="5:7">
      <c r="E1423" s="384"/>
      <c r="F1423" s="296"/>
      <c r="G1423" s="296"/>
    </row>
    <row r="1424" spans="5:7">
      <c r="E1424" s="384"/>
      <c r="F1424" s="296"/>
      <c r="G1424" s="296"/>
    </row>
    <row r="1425" spans="5:7">
      <c r="E1425" s="384"/>
      <c r="F1425" s="296"/>
      <c r="G1425" s="296"/>
    </row>
    <row r="1426" spans="5:7">
      <c r="E1426" s="384"/>
      <c r="F1426" s="296"/>
      <c r="G1426" s="296"/>
    </row>
    <row r="1427" spans="5:7">
      <c r="E1427" s="384"/>
      <c r="F1427" s="296"/>
      <c r="G1427" s="296"/>
    </row>
    <row r="1428" spans="5:7">
      <c r="E1428" s="384"/>
      <c r="F1428" s="296"/>
      <c r="G1428" s="296"/>
    </row>
    <row r="1429" spans="5:7">
      <c r="E1429" s="384"/>
      <c r="F1429" s="296"/>
      <c r="G1429" s="296"/>
    </row>
    <row r="1430" spans="5:7">
      <c r="E1430" s="384"/>
      <c r="F1430" s="296"/>
      <c r="G1430" s="296"/>
    </row>
    <row r="1431" spans="5:7">
      <c r="E1431" s="384"/>
      <c r="F1431" s="296"/>
      <c r="G1431" s="296"/>
    </row>
    <row r="1432" spans="5:7">
      <c r="E1432" s="384"/>
      <c r="F1432" s="296"/>
      <c r="G1432" s="296"/>
    </row>
    <row r="1433" spans="5:7">
      <c r="E1433" s="384"/>
      <c r="F1433" s="296"/>
      <c r="G1433" s="296"/>
    </row>
    <row r="1434" spans="5:7">
      <c r="E1434" s="384"/>
      <c r="F1434" s="296"/>
      <c r="G1434" s="296"/>
    </row>
    <row r="1435" spans="5:7">
      <c r="E1435" s="384"/>
      <c r="F1435" s="296"/>
      <c r="G1435" s="296"/>
    </row>
    <row r="1436" spans="5:7">
      <c r="E1436" s="384"/>
      <c r="F1436" s="296"/>
      <c r="G1436" s="296"/>
    </row>
    <row r="1437" spans="5:7">
      <c r="E1437" s="384"/>
      <c r="F1437" s="296"/>
      <c r="G1437" s="296"/>
    </row>
    <row r="1438" spans="5:7">
      <c r="E1438" s="384"/>
      <c r="F1438" s="296"/>
      <c r="G1438" s="296"/>
    </row>
    <row r="1439" spans="5:7">
      <c r="E1439" s="384"/>
      <c r="F1439" s="296"/>
      <c r="G1439" s="296"/>
    </row>
    <row r="1440" spans="5:7">
      <c r="E1440" s="384"/>
      <c r="F1440" s="296"/>
      <c r="G1440" s="296"/>
    </row>
    <row r="1441" spans="5:7">
      <c r="E1441" s="384"/>
      <c r="F1441" s="296"/>
      <c r="G1441" s="296"/>
    </row>
    <row r="1442" spans="5:7">
      <c r="E1442" s="384"/>
      <c r="F1442" s="296"/>
      <c r="G1442" s="296"/>
    </row>
    <row r="1443" spans="5:7">
      <c r="E1443" s="384"/>
      <c r="F1443" s="296"/>
      <c r="G1443" s="296"/>
    </row>
    <row r="1444" spans="5:7">
      <c r="E1444" s="384"/>
      <c r="F1444" s="296"/>
      <c r="G1444" s="296"/>
    </row>
    <row r="1445" spans="5:7">
      <c r="E1445" s="384"/>
      <c r="F1445" s="296"/>
      <c r="G1445" s="296"/>
    </row>
    <row r="1446" spans="5:7">
      <c r="E1446" s="384"/>
      <c r="F1446" s="296"/>
      <c r="G1446" s="296"/>
    </row>
    <row r="1447" spans="5:7">
      <c r="E1447" s="384"/>
      <c r="F1447" s="296"/>
      <c r="G1447" s="296"/>
    </row>
    <row r="1448" spans="5:7">
      <c r="E1448" s="384"/>
      <c r="F1448" s="296"/>
      <c r="G1448" s="296"/>
    </row>
    <row r="1449" spans="5:7">
      <c r="E1449" s="384"/>
      <c r="F1449" s="296"/>
      <c r="G1449" s="296"/>
    </row>
    <row r="1450" spans="5:7">
      <c r="E1450" s="384"/>
      <c r="F1450" s="296"/>
      <c r="G1450" s="296"/>
    </row>
    <row r="1451" spans="5:7">
      <c r="E1451" s="384"/>
      <c r="F1451" s="296"/>
      <c r="G1451" s="296"/>
    </row>
    <row r="1452" spans="5:7">
      <c r="E1452" s="384"/>
      <c r="F1452" s="296"/>
      <c r="G1452" s="296"/>
    </row>
    <row r="1453" spans="5:7">
      <c r="E1453" s="384"/>
      <c r="F1453" s="296"/>
      <c r="G1453" s="296"/>
    </row>
    <row r="1454" spans="5:7">
      <c r="E1454" s="384"/>
      <c r="F1454" s="296"/>
      <c r="G1454" s="296"/>
    </row>
    <row r="1455" spans="5:7">
      <c r="E1455" s="384"/>
      <c r="F1455" s="296"/>
      <c r="G1455" s="296"/>
    </row>
    <row r="1456" spans="5:7">
      <c r="E1456" s="384"/>
      <c r="F1456" s="296"/>
      <c r="G1456" s="296"/>
    </row>
    <row r="1457" spans="5:7">
      <c r="E1457" s="384"/>
      <c r="F1457" s="296"/>
      <c r="G1457" s="296"/>
    </row>
    <row r="1458" spans="5:7">
      <c r="E1458" s="384"/>
      <c r="F1458" s="296"/>
      <c r="G1458" s="296"/>
    </row>
    <row r="1459" spans="5:7">
      <c r="E1459" s="384"/>
      <c r="F1459" s="296"/>
      <c r="G1459" s="296"/>
    </row>
    <row r="1460" spans="5:7">
      <c r="E1460" s="384"/>
      <c r="F1460" s="296"/>
      <c r="G1460" s="296"/>
    </row>
    <row r="1461" spans="5:7">
      <c r="E1461" s="384"/>
      <c r="F1461" s="296"/>
      <c r="G1461" s="296"/>
    </row>
    <row r="1462" spans="5:7">
      <c r="E1462" s="384"/>
      <c r="F1462" s="296"/>
      <c r="G1462" s="296"/>
    </row>
    <row r="1463" spans="5:7">
      <c r="E1463" s="384"/>
      <c r="F1463" s="296"/>
      <c r="G1463" s="296"/>
    </row>
    <row r="1464" spans="5:7">
      <c r="E1464" s="384"/>
      <c r="F1464" s="296"/>
      <c r="G1464" s="296"/>
    </row>
    <row r="1465" spans="5:7">
      <c r="E1465" s="384"/>
      <c r="F1465" s="296"/>
      <c r="G1465" s="296"/>
    </row>
    <row r="1466" spans="5:7">
      <c r="E1466" s="384"/>
      <c r="F1466" s="296"/>
      <c r="G1466" s="296"/>
    </row>
    <row r="1467" spans="5:7">
      <c r="E1467" s="384"/>
      <c r="F1467" s="296"/>
      <c r="G1467" s="296"/>
    </row>
    <row r="1468" spans="5:7">
      <c r="E1468" s="384"/>
      <c r="F1468" s="296"/>
      <c r="G1468" s="296"/>
    </row>
    <row r="1469" spans="5:7">
      <c r="E1469" s="384"/>
      <c r="F1469" s="296"/>
      <c r="G1469" s="296"/>
    </row>
    <row r="1470" spans="5:7">
      <c r="E1470" s="384"/>
      <c r="F1470" s="296"/>
      <c r="G1470" s="296"/>
    </row>
    <row r="1471" spans="5:7">
      <c r="E1471" s="384"/>
      <c r="F1471" s="296"/>
      <c r="G1471" s="296"/>
    </row>
    <row r="1472" spans="5:7">
      <c r="E1472" s="384"/>
      <c r="F1472" s="296"/>
      <c r="G1472" s="296"/>
    </row>
    <row r="1473" spans="5:7">
      <c r="E1473" s="384"/>
      <c r="F1473" s="296"/>
      <c r="G1473" s="296"/>
    </row>
    <row r="1474" spans="5:7">
      <c r="E1474" s="384"/>
      <c r="F1474" s="296"/>
      <c r="G1474" s="296"/>
    </row>
    <row r="1475" spans="5:7">
      <c r="E1475" s="384"/>
      <c r="F1475" s="296"/>
      <c r="G1475" s="296"/>
    </row>
    <row r="1476" spans="5:7">
      <c r="E1476" s="384"/>
      <c r="F1476" s="296"/>
      <c r="G1476" s="296"/>
    </row>
    <row r="1477" spans="5:7">
      <c r="E1477" s="384"/>
      <c r="F1477" s="296"/>
      <c r="G1477" s="296"/>
    </row>
    <row r="1478" spans="5:7">
      <c r="E1478" s="384"/>
      <c r="F1478" s="296"/>
      <c r="G1478" s="296"/>
    </row>
    <row r="1479" spans="5:7">
      <c r="E1479" s="384"/>
      <c r="F1479" s="296"/>
      <c r="G1479" s="296"/>
    </row>
    <row r="1480" spans="5:7">
      <c r="E1480" s="384"/>
      <c r="F1480" s="296"/>
      <c r="G1480" s="296"/>
    </row>
    <row r="1481" spans="5:7">
      <c r="E1481" s="384"/>
      <c r="F1481" s="296"/>
      <c r="G1481" s="296"/>
    </row>
    <row r="1482" spans="5:7">
      <c r="E1482" s="384"/>
      <c r="F1482" s="296"/>
      <c r="G1482" s="296"/>
    </row>
    <row r="1483" spans="5:7">
      <c r="E1483" s="384"/>
      <c r="F1483" s="296"/>
      <c r="G1483" s="296"/>
    </row>
    <row r="1484" spans="5:7">
      <c r="E1484" s="384"/>
      <c r="F1484" s="296"/>
      <c r="G1484" s="296"/>
    </row>
    <row r="1485" spans="5:7">
      <c r="E1485" s="384"/>
      <c r="F1485" s="296"/>
      <c r="G1485" s="296"/>
    </row>
    <row r="1486" spans="5:7">
      <c r="E1486" s="384"/>
      <c r="F1486" s="296"/>
      <c r="G1486" s="296"/>
    </row>
    <row r="1487" spans="5:7">
      <c r="E1487" s="384"/>
      <c r="F1487" s="296"/>
      <c r="G1487" s="296"/>
    </row>
    <row r="1488" spans="5:7">
      <c r="E1488" s="384"/>
      <c r="F1488" s="296"/>
      <c r="G1488" s="296"/>
    </row>
    <row r="1489" spans="5:7">
      <c r="E1489" s="384"/>
      <c r="F1489" s="296"/>
      <c r="G1489" s="296"/>
    </row>
    <row r="1490" spans="5:7">
      <c r="E1490" s="384"/>
      <c r="F1490" s="296"/>
      <c r="G1490" s="296"/>
    </row>
    <row r="1491" spans="5:7">
      <c r="E1491" s="384"/>
      <c r="F1491" s="296"/>
      <c r="G1491" s="296"/>
    </row>
    <row r="1492" spans="5:7">
      <c r="E1492" s="384"/>
      <c r="F1492" s="296"/>
      <c r="G1492" s="296"/>
    </row>
    <row r="1493" spans="5:7">
      <c r="E1493" s="384"/>
      <c r="F1493" s="296"/>
      <c r="G1493" s="296"/>
    </row>
    <row r="1494" spans="5:7">
      <c r="E1494" s="384"/>
      <c r="F1494" s="296"/>
      <c r="G1494" s="296"/>
    </row>
    <row r="1495" spans="5:7">
      <c r="E1495" s="384"/>
      <c r="F1495" s="296"/>
      <c r="G1495" s="296"/>
    </row>
    <row r="1496" spans="5:7">
      <c r="E1496" s="384"/>
      <c r="F1496" s="296"/>
      <c r="G1496" s="296"/>
    </row>
    <row r="1497" spans="5:7">
      <c r="E1497" s="384"/>
      <c r="F1497" s="296"/>
      <c r="G1497" s="296"/>
    </row>
    <row r="1498" spans="5:7">
      <c r="E1498" s="384"/>
      <c r="F1498" s="296"/>
      <c r="G1498" s="296"/>
    </row>
    <row r="1499" spans="5:7">
      <c r="E1499" s="384"/>
      <c r="F1499" s="296"/>
      <c r="G1499" s="296"/>
    </row>
    <row r="1500" spans="5:7">
      <c r="E1500" s="384"/>
      <c r="F1500" s="296"/>
      <c r="G1500" s="296"/>
    </row>
    <row r="1501" spans="5:7">
      <c r="E1501" s="384"/>
      <c r="F1501" s="296"/>
      <c r="G1501" s="296"/>
    </row>
    <row r="1502" spans="5:7">
      <c r="E1502" s="384"/>
      <c r="F1502" s="296"/>
      <c r="G1502" s="296"/>
    </row>
    <row r="1503" spans="5:7">
      <c r="E1503" s="384"/>
      <c r="F1503" s="296"/>
      <c r="G1503" s="296"/>
    </row>
    <row r="1504" spans="5:7">
      <c r="E1504" s="384"/>
      <c r="F1504" s="296"/>
      <c r="G1504" s="296"/>
    </row>
    <row r="1505" spans="5:7">
      <c r="E1505" s="384"/>
      <c r="F1505" s="296"/>
      <c r="G1505" s="296"/>
    </row>
    <row r="1506" spans="5:7">
      <c r="E1506" s="384"/>
      <c r="F1506" s="296"/>
      <c r="G1506" s="296"/>
    </row>
    <row r="1507" spans="5:7">
      <c r="E1507" s="384"/>
      <c r="F1507" s="296"/>
      <c r="G1507" s="296"/>
    </row>
    <row r="1508" spans="5:7">
      <c r="E1508" s="384"/>
      <c r="F1508" s="296"/>
      <c r="G1508" s="296"/>
    </row>
    <row r="1509" spans="5:7">
      <c r="E1509" s="384"/>
      <c r="F1509" s="296"/>
      <c r="G1509" s="296"/>
    </row>
    <row r="1510" spans="5:7">
      <c r="E1510" s="384"/>
      <c r="F1510" s="296"/>
      <c r="G1510" s="296"/>
    </row>
    <row r="1511" spans="5:7">
      <c r="E1511" s="384"/>
      <c r="F1511" s="296"/>
      <c r="G1511" s="296"/>
    </row>
    <row r="1512" spans="5:7">
      <c r="E1512" s="384"/>
      <c r="F1512" s="296"/>
      <c r="G1512" s="296"/>
    </row>
    <row r="1513" spans="5:7">
      <c r="E1513" s="384"/>
      <c r="F1513" s="296"/>
      <c r="G1513" s="296"/>
    </row>
    <row r="1514" spans="5:7">
      <c r="E1514" s="384"/>
      <c r="F1514" s="296"/>
      <c r="G1514" s="296"/>
    </row>
    <row r="1515" spans="5:7">
      <c r="E1515" s="384"/>
      <c r="F1515" s="296"/>
      <c r="G1515" s="296"/>
    </row>
    <row r="1516" spans="5:7">
      <c r="E1516" s="384"/>
      <c r="F1516" s="296"/>
      <c r="G1516" s="296"/>
    </row>
    <row r="1517" spans="5:7">
      <c r="E1517" s="384"/>
      <c r="F1517" s="296"/>
      <c r="G1517" s="296"/>
    </row>
    <row r="1518" spans="5:7">
      <c r="E1518" s="384"/>
      <c r="F1518" s="296"/>
      <c r="G1518" s="296"/>
    </row>
    <row r="1519" spans="5:7">
      <c r="E1519" s="384"/>
      <c r="F1519" s="296"/>
      <c r="G1519" s="296"/>
    </row>
    <row r="1520" spans="5:7">
      <c r="E1520" s="384"/>
      <c r="F1520" s="296"/>
      <c r="G1520" s="296"/>
    </row>
    <row r="1521" spans="5:7">
      <c r="E1521" s="384"/>
      <c r="F1521" s="296"/>
      <c r="G1521" s="296"/>
    </row>
    <row r="1522" spans="5:7">
      <c r="E1522" s="384"/>
      <c r="F1522" s="296"/>
      <c r="G1522" s="296"/>
    </row>
    <row r="1523" spans="5:7">
      <c r="E1523" s="384"/>
      <c r="F1523" s="296"/>
      <c r="G1523" s="296"/>
    </row>
    <row r="1524" spans="5:7">
      <c r="E1524" s="384"/>
      <c r="F1524" s="296"/>
      <c r="G1524" s="296"/>
    </row>
    <row r="1525" spans="5:7">
      <c r="E1525" s="384"/>
      <c r="F1525" s="296"/>
      <c r="G1525" s="296"/>
    </row>
    <row r="1526" spans="5:7">
      <c r="E1526" s="384"/>
      <c r="F1526" s="296"/>
      <c r="G1526" s="296"/>
    </row>
    <row r="1527" spans="5:7">
      <c r="E1527" s="384"/>
      <c r="F1527" s="296"/>
      <c r="G1527" s="296"/>
    </row>
    <row r="1528" spans="5:7">
      <c r="E1528" s="384"/>
      <c r="F1528" s="296"/>
      <c r="G1528" s="296"/>
    </row>
    <row r="1529" spans="5:7">
      <c r="E1529" s="384"/>
      <c r="F1529" s="296"/>
      <c r="G1529" s="296"/>
    </row>
    <row r="1530" spans="5:7">
      <c r="E1530" s="384"/>
      <c r="F1530" s="296"/>
      <c r="G1530" s="296"/>
    </row>
    <row r="1531" spans="5:7">
      <c r="E1531" s="384"/>
      <c r="F1531" s="296"/>
      <c r="G1531" s="296"/>
    </row>
    <row r="1532" spans="5:7">
      <c r="E1532" s="384"/>
      <c r="F1532" s="296"/>
      <c r="G1532" s="296"/>
    </row>
    <row r="1533" spans="5:7">
      <c r="E1533" s="384"/>
      <c r="F1533" s="296"/>
      <c r="G1533" s="296"/>
    </row>
    <row r="1534" spans="5:7">
      <c r="E1534" s="384"/>
      <c r="F1534" s="296"/>
      <c r="G1534" s="296"/>
    </row>
    <row r="1535" spans="5:7">
      <c r="E1535" s="384"/>
      <c r="F1535" s="296"/>
      <c r="G1535" s="296"/>
    </row>
    <row r="1536" spans="5:7">
      <c r="E1536" s="384"/>
      <c r="F1536" s="296"/>
      <c r="G1536" s="296"/>
    </row>
    <row r="1537" spans="5:7">
      <c r="E1537" s="384"/>
      <c r="F1537" s="296"/>
      <c r="G1537" s="296"/>
    </row>
    <row r="1538" spans="5:7">
      <c r="E1538" s="384"/>
      <c r="F1538" s="296"/>
      <c r="G1538" s="296"/>
    </row>
    <row r="1539" spans="5:7">
      <c r="E1539" s="384"/>
      <c r="F1539" s="296"/>
      <c r="G1539" s="296"/>
    </row>
    <row r="1540" spans="5:7">
      <c r="E1540" s="384"/>
      <c r="F1540" s="296"/>
      <c r="G1540" s="296"/>
    </row>
    <row r="1541" spans="5:7">
      <c r="E1541" s="384"/>
      <c r="F1541" s="296"/>
      <c r="G1541" s="296"/>
    </row>
    <row r="1542" spans="5:7">
      <c r="E1542" s="384"/>
      <c r="F1542" s="296"/>
      <c r="G1542" s="296"/>
    </row>
    <row r="1543" spans="5:7">
      <c r="E1543" s="384"/>
      <c r="F1543" s="296"/>
      <c r="G1543" s="296"/>
    </row>
    <row r="1544" spans="5:7">
      <c r="E1544" s="384"/>
      <c r="F1544" s="296"/>
      <c r="G1544" s="296"/>
    </row>
    <row r="1545" spans="5:7">
      <c r="E1545" s="384"/>
      <c r="F1545" s="296"/>
      <c r="G1545" s="296"/>
    </row>
    <row r="1546" spans="5:7">
      <c r="E1546" s="384"/>
      <c r="F1546" s="296"/>
      <c r="G1546" s="296"/>
    </row>
    <row r="1547" spans="5:7">
      <c r="E1547" s="384"/>
      <c r="F1547" s="296"/>
      <c r="G1547" s="296"/>
    </row>
    <row r="1548" spans="5:7">
      <c r="E1548" s="384"/>
      <c r="F1548" s="296"/>
      <c r="G1548" s="296"/>
    </row>
    <row r="1549" spans="5:7">
      <c r="E1549" s="384"/>
      <c r="F1549" s="296"/>
      <c r="G1549" s="296"/>
    </row>
    <row r="1550" spans="5:7">
      <c r="E1550" s="384"/>
      <c r="F1550" s="296"/>
      <c r="G1550" s="296"/>
    </row>
    <row r="1551" spans="5:7">
      <c r="E1551" s="384"/>
      <c r="F1551" s="296"/>
      <c r="G1551" s="296"/>
    </row>
    <row r="1552" spans="5:7">
      <c r="E1552" s="384"/>
      <c r="F1552" s="296"/>
      <c r="G1552" s="296"/>
    </row>
    <row r="1553" spans="5:7">
      <c r="E1553" s="384"/>
      <c r="F1553" s="296"/>
      <c r="G1553" s="296"/>
    </row>
    <row r="1554" spans="5:7">
      <c r="E1554" s="384"/>
      <c r="F1554" s="296"/>
      <c r="G1554" s="296"/>
    </row>
    <row r="1555" spans="5:7">
      <c r="E1555" s="384"/>
      <c r="F1555" s="296"/>
      <c r="G1555" s="296"/>
    </row>
    <row r="1556" spans="5:7">
      <c r="E1556" s="384"/>
      <c r="F1556" s="296"/>
      <c r="G1556" s="296"/>
    </row>
    <row r="1557" spans="5:7">
      <c r="E1557" s="384"/>
      <c r="F1557" s="296"/>
      <c r="G1557" s="296"/>
    </row>
    <row r="1558" spans="5:7">
      <c r="E1558" s="384"/>
      <c r="F1558" s="296"/>
      <c r="G1558" s="296"/>
    </row>
    <row r="1559" spans="5:7">
      <c r="E1559" s="384"/>
      <c r="F1559" s="296"/>
      <c r="G1559" s="296"/>
    </row>
    <row r="1560" spans="5:7">
      <c r="E1560" s="384"/>
      <c r="F1560" s="296"/>
      <c r="G1560" s="296"/>
    </row>
    <row r="1561" spans="5:7">
      <c r="E1561" s="384"/>
      <c r="F1561" s="296"/>
      <c r="G1561" s="296"/>
    </row>
    <row r="1562" spans="5:7">
      <c r="E1562" s="384"/>
      <c r="F1562" s="296"/>
      <c r="G1562" s="296"/>
    </row>
    <row r="1563" spans="5:7">
      <c r="E1563" s="384"/>
      <c r="F1563" s="296"/>
      <c r="G1563" s="296"/>
    </row>
    <row r="1564" spans="5:7">
      <c r="E1564" s="384"/>
      <c r="F1564" s="296"/>
      <c r="G1564" s="296"/>
    </row>
    <row r="1565" spans="5:7">
      <c r="E1565" s="384"/>
      <c r="F1565" s="296"/>
      <c r="G1565" s="296"/>
    </row>
    <row r="1566" spans="5:7">
      <c r="E1566" s="384"/>
      <c r="F1566" s="296"/>
      <c r="G1566" s="296"/>
    </row>
    <row r="1567" spans="5:7">
      <c r="E1567" s="384"/>
      <c r="F1567" s="296"/>
      <c r="G1567" s="296"/>
    </row>
    <row r="1568" spans="5:7">
      <c r="E1568" s="384"/>
      <c r="F1568" s="296"/>
      <c r="G1568" s="296"/>
    </row>
    <row r="1569" spans="5:7">
      <c r="E1569" s="384"/>
      <c r="F1569" s="296"/>
      <c r="G1569" s="296"/>
    </row>
    <row r="1570" spans="5:7">
      <c r="E1570" s="384"/>
      <c r="F1570" s="296"/>
      <c r="G1570" s="296"/>
    </row>
    <row r="1571" spans="5:7">
      <c r="E1571" s="384"/>
      <c r="F1571" s="296"/>
      <c r="G1571" s="296"/>
    </row>
    <row r="1572" spans="5:7">
      <c r="E1572" s="384"/>
      <c r="F1572" s="296"/>
      <c r="G1572" s="296"/>
    </row>
    <row r="1573" spans="5:7">
      <c r="E1573" s="384"/>
      <c r="F1573" s="296"/>
      <c r="G1573" s="296"/>
    </row>
    <row r="1574" spans="5:7">
      <c r="E1574" s="384"/>
      <c r="F1574" s="296"/>
      <c r="G1574" s="296"/>
    </row>
    <row r="1575" spans="5:7">
      <c r="E1575" s="384"/>
      <c r="F1575" s="296"/>
      <c r="G1575" s="296"/>
    </row>
    <row r="1576" spans="5:7">
      <c r="E1576" s="384"/>
      <c r="F1576" s="296"/>
      <c r="G1576" s="296"/>
    </row>
    <row r="1577" spans="5:7">
      <c r="E1577" s="384"/>
      <c r="F1577" s="296"/>
      <c r="G1577" s="296"/>
    </row>
    <row r="1578" spans="5:7">
      <c r="E1578" s="384"/>
      <c r="F1578" s="296"/>
      <c r="G1578" s="296"/>
    </row>
    <row r="1579" spans="5:7">
      <c r="E1579" s="384"/>
      <c r="F1579" s="296"/>
      <c r="G1579" s="296"/>
    </row>
    <row r="1580" spans="5:7">
      <c r="E1580" s="384"/>
      <c r="F1580" s="296"/>
      <c r="G1580" s="296"/>
    </row>
    <row r="1581" spans="5:7">
      <c r="E1581" s="384"/>
      <c r="F1581" s="296"/>
      <c r="G1581" s="296"/>
    </row>
    <row r="1582" spans="5:7">
      <c r="E1582" s="384"/>
      <c r="F1582" s="296"/>
      <c r="G1582" s="296"/>
    </row>
    <row r="1583" spans="5:7">
      <c r="E1583" s="384"/>
      <c r="F1583" s="296"/>
      <c r="G1583" s="296"/>
    </row>
    <row r="1584" spans="5:7">
      <c r="E1584" s="384"/>
      <c r="F1584" s="296"/>
      <c r="G1584" s="296"/>
    </row>
    <row r="1585" spans="5:7">
      <c r="E1585" s="384"/>
      <c r="F1585" s="296"/>
      <c r="G1585" s="296"/>
    </row>
    <row r="1586" spans="5:7">
      <c r="E1586" s="384"/>
      <c r="F1586" s="296"/>
      <c r="G1586" s="296"/>
    </row>
    <row r="1587" spans="5:7">
      <c r="E1587" s="384"/>
      <c r="F1587" s="296"/>
      <c r="G1587" s="296"/>
    </row>
    <row r="1588" spans="5:7">
      <c r="E1588" s="384"/>
      <c r="F1588" s="296"/>
      <c r="G1588" s="296"/>
    </row>
    <row r="1589" spans="5:7">
      <c r="E1589" s="384"/>
      <c r="F1589" s="296"/>
      <c r="G1589" s="296"/>
    </row>
    <row r="1590" spans="5:7">
      <c r="E1590" s="384"/>
      <c r="F1590" s="296"/>
      <c r="G1590" s="296"/>
    </row>
    <row r="1591" spans="5:7">
      <c r="E1591" s="384"/>
      <c r="F1591" s="296"/>
      <c r="G1591" s="296"/>
    </row>
    <row r="1592" spans="5:7">
      <c r="E1592" s="384"/>
      <c r="F1592" s="296"/>
      <c r="G1592" s="296"/>
    </row>
    <row r="1593" spans="5:7">
      <c r="E1593" s="384"/>
      <c r="F1593" s="296"/>
      <c r="G1593" s="296"/>
    </row>
    <row r="1594" spans="5:7">
      <c r="E1594" s="384"/>
      <c r="F1594" s="296"/>
      <c r="G1594" s="296"/>
    </row>
    <row r="1595" spans="5:7">
      <c r="E1595" s="384"/>
      <c r="F1595" s="296"/>
      <c r="G1595" s="296"/>
    </row>
    <row r="1596" spans="5:7">
      <c r="E1596" s="384"/>
      <c r="F1596" s="296"/>
      <c r="G1596" s="296"/>
    </row>
    <row r="1597" spans="5:7">
      <c r="E1597" s="384"/>
      <c r="F1597" s="296"/>
      <c r="G1597" s="296"/>
    </row>
    <row r="1598" spans="5:7">
      <c r="E1598" s="384"/>
      <c r="F1598" s="296"/>
      <c r="G1598" s="296"/>
    </row>
    <row r="1599" spans="5:7">
      <c r="E1599" s="384"/>
      <c r="F1599" s="296"/>
      <c r="G1599" s="296"/>
    </row>
    <row r="1600" spans="5:7">
      <c r="E1600" s="384"/>
      <c r="F1600" s="296"/>
      <c r="G1600" s="296"/>
    </row>
    <row r="1601" spans="5:7">
      <c r="E1601" s="384"/>
      <c r="F1601" s="296"/>
      <c r="G1601" s="296"/>
    </row>
    <row r="1602" spans="5:7">
      <c r="E1602" s="384"/>
      <c r="F1602" s="296"/>
      <c r="G1602" s="296"/>
    </row>
    <row r="1603" spans="5:7">
      <c r="E1603" s="384"/>
      <c r="F1603" s="296"/>
      <c r="G1603" s="296"/>
    </row>
    <row r="1604" spans="5:7">
      <c r="E1604" s="384"/>
      <c r="F1604" s="296"/>
      <c r="G1604" s="296"/>
    </row>
    <row r="1605" spans="5:7">
      <c r="E1605" s="384"/>
      <c r="F1605" s="296"/>
      <c r="G1605" s="296"/>
    </row>
    <row r="1606" spans="5:7">
      <c r="E1606" s="384"/>
      <c r="F1606" s="296"/>
      <c r="G1606" s="296"/>
    </row>
    <row r="1607" spans="5:7">
      <c r="E1607" s="384"/>
      <c r="F1607" s="296"/>
      <c r="G1607" s="296"/>
    </row>
    <row r="1608" spans="5:7">
      <c r="E1608" s="384"/>
      <c r="F1608" s="296"/>
      <c r="G1608" s="296"/>
    </row>
    <row r="1609" spans="5:7">
      <c r="E1609" s="384"/>
      <c r="F1609" s="296"/>
      <c r="G1609" s="296"/>
    </row>
    <row r="1610" spans="5:7">
      <c r="E1610" s="384"/>
      <c r="F1610" s="296"/>
      <c r="G1610" s="296"/>
    </row>
    <row r="1611" spans="5:7">
      <c r="E1611" s="384"/>
      <c r="F1611" s="296"/>
      <c r="G1611" s="296"/>
    </row>
    <row r="1612" spans="5:7">
      <c r="E1612" s="384"/>
      <c r="F1612" s="296"/>
      <c r="G1612" s="296"/>
    </row>
    <row r="1613" spans="5:7">
      <c r="E1613" s="384"/>
      <c r="F1613" s="296"/>
      <c r="G1613" s="296"/>
    </row>
    <row r="1614" spans="5:7">
      <c r="E1614" s="384"/>
      <c r="F1614" s="296"/>
      <c r="G1614" s="296"/>
    </row>
    <row r="1615" spans="5:7">
      <c r="E1615" s="384"/>
      <c r="F1615" s="296"/>
      <c r="G1615" s="296"/>
    </row>
    <row r="1616" spans="5:7">
      <c r="E1616" s="384"/>
      <c r="F1616" s="296"/>
      <c r="G1616" s="296"/>
    </row>
    <row r="1617" spans="5:7">
      <c r="E1617" s="384"/>
      <c r="F1617" s="296"/>
      <c r="G1617" s="296"/>
    </row>
    <row r="1618" spans="5:7">
      <c r="E1618" s="384"/>
      <c r="F1618" s="296"/>
      <c r="G1618" s="296"/>
    </row>
    <row r="1619" spans="5:7">
      <c r="E1619" s="384"/>
      <c r="F1619" s="296"/>
      <c r="G1619" s="296"/>
    </row>
    <row r="1620" spans="5:7">
      <c r="E1620" s="384"/>
      <c r="F1620" s="296"/>
      <c r="G1620" s="296"/>
    </row>
    <row r="1621" spans="5:7">
      <c r="E1621" s="384"/>
      <c r="F1621" s="296"/>
      <c r="G1621" s="296"/>
    </row>
    <row r="1622" spans="5:7">
      <c r="E1622" s="384"/>
      <c r="F1622" s="296"/>
      <c r="G1622" s="296"/>
    </row>
    <row r="1623" spans="5:7">
      <c r="E1623" s="384"/>
      <c r="F1623" s="296"/>
      <c r="G1623" s="296"/>
    </row>
    <row r="1624" spans="5:7">
      <c r="E1624" s="384"/>
      <c r="F1624" s="296"/>
      <c r="G1624" s="296"/>
    </row>
    <row r="1625" spans="5:7">
      <c r="E1625" s="384"/>
      <c r="F1625" s="296"/>
      <c r="G1625" s="296"/>
    </row>
    <row r="1626" spans="5:7">
      <c r="E1626" s="384"/>
      <c r="F1626" s="296"/>
      <c r="G1626" s="296"/>
    </row>
    <row r="1627" spans="5:7">
      <c r="E1627" s="384"/>
      <c r="F1627" s="296"/>
      <c r="G1627" s="296"/>
    </row>
    <row r="1628" spans="5:7">
      <c r="E1628" s="384"/>
      <c r="F1628" s="296"/>
      <c r="G1628" s="296"/>
    </row>
    <row r="1629" spans="5:7">
      <c r="E1629" s="384"/>
      <c r="F1629" s="296"/>
      <c r="G1629" s="296"/>
    </row>
    <row r="1630" spans="5:7">
      <c r="E1630" s="384"/>
      <c r="F1630" s="296"/>
      <c r="G1630" s="296"/>
    </row>
    <row r="1631" spans="5:7">
      <c r="E1631" s="384"/>
      <c r="F1631" s="296"/>
      <c r="G1631" s="296"/>
    </row>
    <row r="1632" spans="5:7">
      <c r="E1632" s="384"/>
      <c r="F1632" s="296"/>
      <c r="G1632" s="296"/>
    </row>
    <row r="1633" spans="5:7">
      <c r="E1633" s="384"/>
      <c r="F1633" s="296"/>
      <c r="G1633" s="296"/>
    </row>
    <row r="1634" spans="5:7">
      <c r="E1634" s="384"/>
      <c r="F1634" s="296"/>
      <c r="G1634" s="296"/>
    </row>
    <row r="1635" spans="5:7">
      <c r="E1635" s="384"/>
      <c r="F1635" s="296"/>
      <c r="G1635" s="296"/>
    </row>
    <row r="1636" spans="5:7">
      <c r="E1636" s="384"/>
      <c r="F1636" s="296"/>
      <c r="G1636" s="296"/>
    </row>
    <row r="1637" spans="5:7">
      <c r="E1637" s="384"/>
      <c r="F1637" s="296"/>
      <c r="G1637" s="296"/>
    </row>
    <row r="1638" spans="5:7">
      <c r="E1638" s="384"/>
      <c r="F1638" s="296"/>
      <c r="G1638" s="296"/>
    </row>
    <row r="1639" spans="5:7">
      <c r="E1639" s="384"/>
      <c r="F1639" s="296"/>
      <c r="G1639" s="296"/>
    </row>
    <row r="1640" spans="5:7">
      <c r="E1640" s="384"/>
      <c r="F1640" s="296"/>
      <c r="G1640" s="296"/>
    </row>
    <row r="1641" spans="5:7">
      <c r="E1641" s="384"/>
      <c r="F1641" s="296"/>
      <c r="G1641" s="296"/>
    </row>
    <row r="1642" spans="5:7">
      <c r="E1642" s="384"/>
      <c r="F1642" s="296"/>
      <c r="G1642" s="296"/>
    </row>
    <row r="1643" spans="5:7">
      <c r="E1643" s="384"/>
      <c r="F1643" s="296"/>
      <c r="G1643" s="296"/>
    </row>
    <row r="1644" spans="5:7">
      <c r="E1644" s="384"/>
      <c r="F1644" s="296"/>
      <c r="G1644" s="296"/>
    </row>
    <row r="1645" spans="5:7">
      <c r="E1645" s="384"/>
      <c r="F1645" s="296"/>
      <c r="G1645" s="296"/>
    </row>
    <row r="1646" spans="5:7">
      <c r="E1646" s="384"/>
      <c r="F1646" s="296"/>
      <c r="G1646" s="296"/>
    </row>
    <row r="1647" spans="5:7">
      <c r="E1647" s="384"/>
      <c r="F1647" s="296"/>
      <c r="G1647" s="296"/>
    </row>
    <row r="1648" spans="5:7">
      <c r="E1648" s="384"/>
      <c r="F1648" s="296"/>
      <c r="G1648" s="296"/>
    </row>
    <row r="1649" spans="5:7">
      <c r="E1649" s="384"/>
      <c r="F1649" s="296"/>
      <c r="G1649" s="296"/>
    </row>
    <row r="1650" spans="5:7">
      <c r="E1650" s="384"/>
      <c r="F1650" s="296"/>
      <c r="G1650" s="296"/>
    </row>
    <row r="1651" spans="5:7">
      <c r="E1651" s="384"/>
      <c r="F1651" s="296"/>
      <c r="G1651" s="296"/>
    </row>
    <row r="1652" spans="5:7">
      <c r="E1652" s="384"/>
      <c r="F1652" s="296"/>
      <c r="G1652" s="296"/>
    </row>
    <row r="1653" spans="5:7">
      <c r="E1653" s="384"/>
      <c r="F1653" s="296"/>
      <c r="G1653" s="296"/>
    </row>
    <row r="1654" spans="5:7">
      <c r="E1654" s="384"/>
      <c r="F1654" s="296"/>
      <c r="G1654" s="296"/>
    </row>
    <row r="1655" spans="5:7">
      <c r="E1655" s="384"/>
      <c r="F1655" s="296"/>
      <c r="G1655" s="296"/>
    </row>
    <row r="1656" spans="5:7">
      <c r="E1656" s="384"/>
      <c r="F1656" s="296"/>
      <c r="G1656" s="296"/>
    </row>
    <row r="1657" spans="5:7">
      <c r="E1657" s="384"/>
      <c r="F1657" s="296"/>
      <c r="G1657" s="296"/>
    </row>
    <row r="1658" spans="5:7">
      <c r="E1658" s="384"/>
      <c r="F1658" s="296"/>
      <c r="G1658" s="296"/>
    </row>
    <row r="1659" spans="5:7">
      <c r="E1659" s="384"/>
      <c r="F1659" s="296"/>
      <c r="G1659" s="296"/>
    </row>
    <row r="1660" spans="5:7">
      <c r="E1660" s="384"/>
      <c r="F1660" s="296"/>
      <c r="G1660" s="296"/>
    </row>
    <row r="1661" spans="5:7">
      <c r="E1661" s="384"/>
      <c r="F1661" s="296"/>
      <c r="G1661" s="296"/>
    </row>
    <row r="1662" spans="5:7">
      <c r="E1662" s="384"/>
      <c r="F1662" s="296"/>
      <c r="G1662" s="296"/>
    </row>
    <row r="1663" spans="5:7">
      <c r="E1663" s="384"/>
      <c r="F1663" s="296"/>
      <c r="G1663" s="296"/>
    </row>
    <row r="1664" spans="5:7">
      <c r="E1664" s="384"/>
      <c r="F1664" s="296"/>
      <c r="G1664" s="296"/>
    </row>
    <row r="1665" spans="5:7">
      <c r="E1665" s="384"/>
      <c r="F1665" s="296"/>
      <c r="G1665" s="296"/>
    </row>
    <row r="1666" spans="5:7">
      <c r="E1666" s="384"/>
      <c r="F1666" s="296"/>
      <c r="G1666" s="296"/>
    </row>
    <row r="1667" spans="5:7">
      <c r="E1667" s="384"/>
      <c r="F1667" s="296"/>
      <c r="G1667" s="296"/>
    </row>
    <row r="1668" spans="5:7">
      <c r="E1668" s="384"/>
      <c r="F1668" s="296"/>
      <c r="G1668" s="296"/>
    </row>
    <row r="1669" spans="5:7">
      <c r="E1669" s="384"/>
      <c r="F1669" s="296"/>
      <c r="G1669" s="296"/>
    </row>
    <row r="1670" spans="5:7">
      <c r="E1670" s="384"/>
      <c r="F1670" s="296"/>
      <c r="G1670" s="296"/>
    </row>
    <row r="1671" spans="5:7">
      <c r="E1671" s="384"/>
      <c r="F1671" s="296"/>
      <c r="G1671" s="296"/>
    </row>
    <row r="1672" spans="5:7">
      <c r="E1672" s="384"/>
      <c r="F1672" s="296"/>
      <c r="G1672" s="296"/>
    </row>
    <row r="1673" spans="5:7">
      <c r="E1673" s="384"/>
      <c r="F1673" s="296"/>
      <c r="G1673" s="296"/>
    </row>
    <row r="1674" spans="5:7">
      <c r="E1674" s="384"/>
      <c r="F1674" s="296"/>
      <c r="G1674" s="296"/>
    </row>
    <row r="1675" spans="5:7">
      <c r="E1675" s="384"/>
      <c r="F1675" s="296"/>
      <c r="G1675" s="296"/>
    </row>
    <row r="1676" spans="5:7">
      <c r="E1676" s="384"/>
      <c r="F1676" s="296"/>
      <c r="G1676" s="296"/>
    </row>
    <row r="1677" spans="5:7">
      <c r="E1677" s="384"/>
      <c r="F1677" s="296"/>
      <c r="G1677" s="296"/>
    </row>
    <row r="1678" spans="5:7">
      <c r="E1678" s="384"/>
      <c r="F1678" s="296"/>
      <c r="G1678" s="296"/>
    </row>
    <row r="1679" spans="5:7">
      <c r="E1679" s="384"/>
      <c r="F1679" s="296"/>
      <c r="G1679" s="296"/>
    </row>
    <row r="1680" spans="5:7">
      <c r="E1680" s="384"/>
      <c r="F1680" s="296"/>
      <c r="G1680" s="296"/>
    </row>
    <row r="1681" spans="5:7">
      <c r="E1681" s="384"/>
      <c r="F1681" s="296"/>
      <c r="G1681" s="296"/>
    </row>
    <row r="1682" spans="5:7">
      <c r="E1682" s="384"/>
      <c r="F1682" s="296"/>
      <c r="G1682" s="296"/>
    </row>
    <row r="1683" spans="5:7">
      <c r="E1683" s="384"/>
      <c r="F1683" s="296"/>
      <c r="G1683" s="296"/>
    </row>
    <row r="1684" spans="5:7">
      <c r="E1684" s="384"/>
      <c r="F1684" s="296"/>
      <c r="G1684" s="296"/>
    </row>
    <row r="1685" spans="5:7">
      <c r="E1685" s="384"/>
      <c r="F1685" s="296"/>
      <c r="G1685" s="296"/>
    </row>
    <row r="1686" spans="5:7">
      <c r="E1686" s="384"/>
      <c r="F1686" s="296"/>
      <c r="G1686" s="296"/>
    </row>
    <row r="1687" spans="5:7">
      <c r="E1687" s="384"/>
      <c r="F1687" s="296"/>
      <c r="G1687" s="296"/>
    </row>
    <row r="1688" spans="5:7">
      <c r="E1688" s="384"/>
      <c r="F1688" s="296"/>
      <c r="G1688" s="296"/>
    </row>
    <row r="1689" spans="5:7">
      <c r="E1689" s="384"/>
      <c r="F1689" s="296"/>
      <c r="G1689" s="296"/>
    </row>
    <row r="1690" spans="5:7">
      <c r="E1690" s="384"/>
      <c r="F1690" s="296"/>
      <c r="G1690" s="296"/>
    </row>
    <row r="1691" spans="5:7">
      <c r="E1691" s="384"/>
      <c r="F1691" s="296"/>
      <c r="G1691" s="296"/>
    </row>
    <row r="1692" spans="5:7">
      <c r="E1692" s="384"/>
      <c r="F1692" s="296"/>
      <c r="G1692" s="296"/>
    </row>
    <row r="1693" spans="5:7">
      <c r="E1693" s="384"/>
      <c r="F1693" s="296"/>
      <c r="G1693" s="296"/>
    </row>
    <row r="1694" spans="5:7">
      <c r="E1694" s="384"/>
      <c r="F1694" s="296"/>
      <c r="G1694" s="296"/>
    </row>
    <row r="1695" spans="5:7">
      <c r="E1695" s="384"/>
      <c r="F1695" s="296"/>
      <c r="G1695" s="296"/>
    </row>
    <row r="1696" spans="5:7">
      <c r="E1696" s="384"/>
      <c r="F1696" s="296"/>
      <c r="G1696" s="296"/>
    </row>
    <row r="1697" spans="5:7">
      <c r="E1697" s="384"/>
      <c r="F1697" s="296"/>
      <c r="G1697" s="296"/>
    </row>
    <row r="1698" spans="5:7">
      <c r="E1698" s="384"/>
      <c r="F1698" s="296"/>
      <c r="G1698" s="296"/>
    </row>
    <row r="1699" spans="5:7">
      <c r="E1699" s="384"/>
      <c r="F1699" s="296"/>
      <c r="G1699" s="296"/>
    </row>
    <row r="1700" spans="5:7">
      <c r="E1700" s="384"/>
      <c r="F1700" s="296"/>
      <c r="G1700" s="296"/>
    </row>
    <row r="1701" spans="5:7">
      <c r="E1701" s="384"/>
      <c r="F1701" s="296"/>
      <c r="G1701" s="296"/>
    </row>
    <row r="1702" spans="5:7">
      <c r="E1702" s="384"/>
      <c r="F1702" s="296"/>
      <c r="G1702" s="296"/>
    </row>
    <row r="1703" spans="5:7">
      <c r="E1703" s="384"/>
      <c r="F1703" s="296"/>
      <c r="G1703" s="296"/>
    </row>
    <row r="1704" spans="5:7">
      <c r="E1704" s="384"/>
      <c r="F1704" s="296"/>
      <c r="G1704" s="296"/>
    </row>
    <row r="1705" spans="5:7">
      <c r="E1705" s="384"/>
      <c r="F1705" s="296"/>
      <c r="G1705" s="296"/>
    </row>
    <row r="1706" spans="5:7">
      <c r="E1706" s="384"/>
      <c r="F1706" s="296"/>
      <c r="G1706" s="296"/>
    </row>
    <row r="1707" spans="5:7">
      <c r="E1707" s="384"/>
      <c r="F1707" s="296"/>
      <c r="G1707" s="296"/>
    </row>
    <row r="1708" spans="5:7">
      <c r="E1708" s="384"/>
      <c r="F1708" s="296"/>
      <c r="G1708" s="296"/>
    </row>
    <row r="1709" spans="5:7">
      <c r="E1709" s="384"/>
      <c r="F1709" s="296"/>
      <c r="G1709" s="296"/>
    </row>
    <row r="1710" spans="5:7">
      <c r="E1710" s="384"/>
      <c r="F1710" s="296"/>
      <c r="G1710" s="296"/>
    </row>
    <row r="1711" spans="5:7">
      <c r="E1711" s="384"/>
      <c r="F1711" s="296"/>
      <c r="G1711" s="296"/>
    </row>
    <row r="1712" spans="5:7">
      <c r="E1712" s="384"/>
      <c r="F1712" s="296"/>
      <c r="G1712" s="296"/>
    </row>
    <row r="1713" spans="5:7">
      <c r="E1713" s="384"/>
      <c r="F1713" s="296"/>
      <c r="G1713" s="296"/>
    </row>
    <row r="1714" spans="5:7">
      <c r="E1714" s="384"/>
      <c r="F1714" s="296"/>
      <c r="G1714" s="296"/>
    </row>
    <row r="1715" spans="5:7">
      <c r="E1715" s="384"/>
      <c r="F1715" s="296"/>
      <c r="G1715" s="296"/>
    </row>
    <row r="1716" spans="5:7">
      <c r="E1716" s="384"/>
      <c r="F1716" s="296"/>
      <c r="G1716" s="296"/>
    </row>
    <row r="1717" spans="5:7">
      <c r="E1717" s="384"/>
      <c r="F1717" s="296"/>
      <c r="G1717" s="296"/>
    </row>
    <row r="1718" spans="5:7">
      <c r="E1718" s="384"/>
      <c r="F1718" s="296"/>
      <c r="G1718" s="296"/>
    </row>
    <row r="1719" spans="5:7">
      <c r="E1719" s="384"/>
      <c r="F1719" s="296"/>
      <c r="G1719" s="296"/>
    </row>
    <row r="1720" spans="5:7">
      <c r="E1720" s="384"/>
      <c r="F1720" s="296"/>
      <c r="G1720" s="296"/>
    </row>
    <row r="1721" spans="5:7">
      <c r="E1721" s="384"/>
      <c r="F1721" s="296"/>
      <c r="G1721" s="296"/>
    </row>
    <row r="1722" spans="5:7">
      <c r="E1722" s="384"/>
      <c r="F1722" s="296"/>
      <c r="G1722" s="296"/>
    </row>
    <row r="1723" spans="5:7">
      <c r="E1723" s="384"/>
      <c r="F1723" s="296"/>
      <c r="G1723" s="296"/>
    </row>
    <row r="1724" spans="5:7">
      <c r="E1724" s="384"/>
      <c r="F1724" s="296"/>
      <c r="G1724" s="296"/>
    </row>
    <row r="1725" spans="5:7">
      <c r="E1725" s="384"/>
      <c r="F1725" s="296"/>
      <c r="G1725" s="296"/>
    </row>
    <row r="1726" spans="5:7">
      <c r="E1726" s="384"/>
      <c r="F1726" s="296"/>
      <c r="G1726" s="296"/>
    </row>
    <row r="1727" spans="5:7">
      <c r="E1727" s="384"/>
      <c r="F1727" s="296"/>
      <c r="G1727" s="296"/>
    </row>
    <row r="1728" spans="5:7">
      <c r="E1728" s="384"/>
      <c r="F1728" s="296"/>
      <c r="G1728" s="296"/>
    </row>
    <row r="1729" spans="5:7">
      <c r="E1729" s="384"/>
      <c r="F1729" s="296"/>
      <c r="G1729" s="296"/>
    </row>
    <row r="1730" spans="5:7">
      <c r="E1730" s="384"/>
      <c r="F1730" s="296"/>
      <c r="G1730" s="296"/>
    </row>
    <row r="1731" spans="5:7">
      <c r="E1731" s="384"/>
      <c r="F1731" s="296"/>
      <c r="G1731" s="296"/>
    </row>
    <row r="1732" spans="5:7">
      <c r="E1732" s="384"/>
      <c r="F1732" s="296"/>
      <c r="G1732" s="296"/>
    </row>
    <row r="1733" spans="5:7">
      <c r="E1733" s="384"/>
      <c r="F1733" s="296"/>
      <c r="G1733" s="296"/>
    </row>
    <row r="1734" spans="5:7">
      <c r="E1734" s="384"/>
      <c r="F1734" s="296"/>
      <c r="G1734" s="296"/>
    </row>
    <row r="1735" spans="5:7">
      <c r="E1735" s="384"/>
      <c r="F1735" s="296"/>
      <c r="G1735" s="296"/>
    </row>
    <row r="1736" spans="5:7">
      <c r="E1736" s="384"/>
      <c r="F1736" s="296"/>
      <c r="G1736" s="296"/>
    </row>
    <row r="1737" spans="5:7">
      <c r="E1737" s="384"/>
      <c r="F1737" s="296"/>
      <c r="G1737" s="296"/>
    </row>
    <row r="1738" spans="5:7">
      <c r="E1738" s="384"/>
      <c r="F1738" s="296"/>
      <c r="G1738" s="296"/>
    </row>
    <row r="1739" spans="5:7">
      <c r="E1739" s="384"/>
      <c r="F1739" s="296"/>
      <c r="G1739" s="296"/>
    </row>
    <row r="1740" spans="5:7">
      <c r="E1740" s="384"/>
      <c r="F1740" s="296"/>
      <c r="G1740" s="296"/>
    </row>
    <row r="1741" spans="5:7">
      <c r="E1741" s="384"/>
      <c r="F1741" s="296"/>
      <c r="G1741" s="296"/>
    </row>
    <row r="1742" spans="5:7">
      <c r="E1742" s="384"/>
      <c r="F1742" s="296"/>
      <c r="G1742" s="296"/>
    </row>
    <row r="1743" spans="5:7">
      <c r="E1743" s="384"/>
      <c r="F1743" s="296"/>
      <c r="G1743" s="296"/>
    </row>
    <row r="1744" spans="5:7">
      <c r="E1744" s="384"/>
      <c r="F1744" s="296"/>
      <c r="G1744" s="296"/>
    </row>
    <row r="1745" spans="5:7">
      <c r="E1745" s="384"/>
      <c r="F1745" s="296"/>
      <c r="G1745" s="296"/>
    </row>
    <row r="1746" spans="5:7">
      <c r="E1746" s="384"/>
      <c r="F1746" s="296"/>
      <c r="G1746" s="296"/>
    </row>
    <row r="1747" spans="5:7">
      <c r="E1747" s="384"/>
      <c r="F1747" s="296"/>
      <c r="G1747" s="296"/>
    </row>
    <row r="1748" spans="5:7">
      <c r="E1748" s="384"/>
      <c r="F1748" s="296"/>
      <c r="G1748" s="296"/>
    </row>
    <row r="1749" spans="5:7">
      <c r="E1749" s="384"/>
      <c r="F1749" s="296"/>
      <c r="G1749" s="296"/>
    </row>
    <row r="1750" spans="5:7">
      <c r="E1750" s="384"/>
      <c r="F1750" s="296"/>
      <c r="G1750" s="296"/>
    </row>
    <row r="1751" spans="5:7">
      <c r="E1751" s="384"/>
      <c r="F1751" s="296"/>
      <c r="G1751" s="296"/>
    </row>
    <row r="1752" spans="5:7">
      <c r="E1752" s="384"/>
      <c r="F1752" s="296"/>
      <c r="G1752" s="296"/>
    </row>
    <row r="1753" spans="5:7">
      <c r="E1753" s="384"/>
      <c r="F1753" s="296"/>
      <c r="G1753" s="296"/>
    </row>
    <row r="1754" spans="5:7">
      <c r="E1754" s="384"/>
      <c r="F1754" s="296"/>
      <c r="G1754" s="296"/>
    </row>
    <row r="1755" spans="5:7">
      <c r="E1755" s="384"/>
      <c r="F1755" s="296"/>
      <c r="G1755" s="296"/>
    </row>
    <row r="1756" spans="5:7">
      <c r="E1756" s="384"/>
      <c r="F1756" s="296"/>
      <c r="G1756" s="296"/>
    </row>
    <row r="1757" spans="5:7">
      <c r="E1757" s="384"/>
      <c r="F1757" s="296"/>
      <c r="G1757" s="296"/>
    </row>
    <row r="1758" spans="5:7">
      <c r="E1758" s="384"/>
      <c r="F1758" s="296"/>
      <c r="G1758" s="296"/>
    </row>
    <row r="1759" spans="5:7">
      <c r="E1759" s="384"/>
      <c r="F1759" s="296"/>
      <c r="G1759" s="296"/>
    </row>
    <row r="1760" spans="5:7">
      <c r="E1760" s="384"/>
      <c r="F1760" s="296"/>
      <c r="G1760" s="296"/>
    </row>
    <row r="1761" spans="5:7">
      <c r="E1761" s="384"/>
      <c r="F1761" s="296"/>
      <c r="G1761" s="296"/>
    </row>
    <row r="1762" spans="5:7">
      <c r="E1762" s="384"/>
      <c r="F1762" s="296"/>
      <c r="G1762" s="296"/>
    </row>
    <row r="1763" spans="5:7">
      <c r="E1763" s="384"/>
      <c r="F1763" s="296"/>
      <c r="G1763" s="296"/>
    </row>
    <row r="1764" spans="5:7">
      <c r="E1764" s="384"/>
      <c r="F1764" s="296"/>
      <c r="G1764" s="296"/>
    </row>
    <row r="1765" spans="5:7">
      <c r="E1765" s="384"/>
      <c r="F1765" s="296"/>
      <c r="G1765" s="296"/>
    </row>
    <row r="1766" spans="5:7">
      <c r="E1766" s="384"/>
      <c r="F1766" s="296"/>
      <c r="G1766" s="296"/>
    </row>
    <row r="1767" spans="5:7">
      <c r="E1767" s="384"/>
      <c r="F1767" s="296"/>
      <c r="G1767" s="296"/>
    </row>
    <row r="1768" spans="5:7">
      <c r="E1768" s="384"/>
      <c r="F1768" s="296"/>
      <c r="G1768" s="296"/>
    </row>
    <row r="1769" spans="5:7">
      <c r="E1769" s="384"/>
      <c r="F1769" s="296"/>
      <c r="G1769" s="296"/>
    </row>
    <row r="1770" spans="5:7">
      <c r="E1770" s="384"/>
      <c r="F1770" s="296"/>
      <c r="G1770" s="296"/>
    </row>
    <row r="1771" spans="5:7">
      <c r="E1771" s="384"/>
      <c r="F1771" s="296"/>
      <c r="G1771" s="296"/>
    </row>
    <row r="1772" spans="5:7">
      <c r="E1772" s="384"/>
      <c r="F1772" s="296"/>
      <c r="G1772" s="296"/>
    </row>
    <row r="1773" spans="5:7">
      <c r="E1773" s="384"/>
      <c r="F1773" s="296"/>
      <c r="G1773" s="296"/>
    </row>
    <row r="1774" spans="5:7">
      <c r="E1774" s="384"/>
      <c r="F1774" s="296"/>
      <c r="G1774" s="296"/>
    </row>
    <row r="1775" spans="5:7">
      <c r="E1775" s="384"/>
      <c r="F1775" s="296"/>
      <c r="G1775" s="296"/>
    </row>
    <row r="1776" spans="5:7">
      <c r="E1776" s="384"/>
      <c r="F1776" s="296"/>
      <c r="G1776" s="296"/>
    </row>
    <row r="1777" spans="5:7">
      <c r="E1777" s="384"/>
      <c r="F1777" s="296"/>
      <c r="G1777" s="296"/>
    </row>
    <row r="1778" spans="5:7">
      <c r="E1778" s="384"/>
      <c r="F1778" s="296"/>
      <c r="G1778" s="296"/>
    </row>
    <row r="1779" spans="5:7">
      <c r="E1779" s="384"/>
      <c r="F1779" s="296"/>
      <c r="G1779" s="296"/>
    </row>
    <row r="1780" spans="5:7">
      <c r="E1780" s="384"/>
      <c r="F1780" s="296"/>
      <c r="G1780" s="296"/>
    </row>
    <row r="1781" spans="5:7">
      <c r="E1781" s="384"/>
      <c r="F1781" s="296"/>
      <c r="G1781" s="296"/>
    </row>
    <row r="1782" spans="5:7">
      <c r="E1782" s="384"/>
      <c r="F1782" s="296"/>
      <c r="G1782" s="296"/>
    </row>
    <row r="1783" spans="5:7">
      <c r="E1783" s="384"/>
      <c r="F1783" s="296"/>
      <c r="G1783" s="296"/>
    </row>
    <row r="1784" spans="5:7">
      <c r="E1784" s="384"/>
      <c r="F1784" s="296"/>
      <c r="G1784" s="296"/>
    </row>
    <row r="1785" spans="5:7">
      <c r="E1785" s="384"/>
      <c r="F1785" s="296"/>
      <c r="G1785" s="296"/>
    </row>
    <row r="1786" spans="5:7">
      <c r="E1786" s="384"/>
      <c r="F1786" s="296"/>
      <c r="G1786" s="296"/>
    </row>
    <row r="1787" spans="5:7">
      <c r="E1787" s="384"/>
      <c r="F1787" s="296"/>
      <c r="G1787" s="296"/>
    </row>
    <row r="1788" spans="5:7">
      <c r="E1788" s="384"/>
      <c r="F1788" s="296"/>
      <c r="G1788" s="296"/>
    </row>
    <row r="1789" spans="5:7">
      <c r="E1789" s="384"/>
      <c r="F1789" s="296"/>
      <c r="G1789" s="296"/>
    </row>
    <row r="1790" spans="5:7">
      <c r="E1790" s="384"/>
      <c r="F1790" s="296"/>
      <c r="G1790" s="296"/>
    </row>
    <row r="1791" spans="5:7">
      <c r="E1791" s="384"/>
      <c r="F1791" s="296"/>
      <c r="G1791" s="296"/>
    </row>
    <row r="1792" spans="5:7">
      <c r="E1792" s="384"/>
      <c r="F1792" s="296"/>
      <c r="G1792" s="296"/>
    </row>
    <row r="1793" spans="5:7">
      <c r="E1793" s="384"/>
      <c r="F1793" s="296"/>
      <c r="G1793" s="296"/>
    </row>
    <row r="1794" spans="5:7">
      <c r="E1794" s="384"/>
      <c r="F1794" s="296"/>
      <c r="G1794" s="296"/>
    </row>
    <row r="1795" spans="5:7">
      <c r="E1795" s="384"/>
      <c r="F1795" s="296"/>
      <c r="G1795" s="296"/>
    </row>
    <row r="1796" spans="5:7">
      <c r="E1796" s="384"/>
      <c r="F1796" s="296"/>
      <c r="G1796" s="296"/>
    </row>
    <row r="1797" spans="5:7">
      <c r="E1797" s="384"/>
      <c r="F1797" s="296"/>
      <c r="G1797" s="296"/>
    </row>
    <row r="1798" spans="5:7">
      <c r="E1798" s="384"/>
      <c r="F1798" s="296"/>
      <c r="G1798" s="296"/>
    </row>
    <row r="1799" spans="5:7">
      <c r="E1799" s="384"/>
      <c r="F1799" s="296"/>
      <c r="G1799" s="296"/>
    </row>
    <row r="1800" spans="5:7">
      <c r="E1800" s="384"/>
      <c r="F1800" s="296"/>
      <c r="G1800" s="296"/>
    </row>
    <row r="1801" spans="5:7">
      <c r="E1801" s="384"/>
      <c r="F1801" s="296"/>
      <c r="G1801" s="296"/>
    </row>
    <row r="1802" spans="5:7">
      <c r="E1802" s="384"/>
      <c r="F1802" s="296"/>
      <c r="G1802" s="296"/>
    </row>
    <row r="1803" spans="5:7">
      <c r="E1803" s="384"/>
      <c r="F1803" s="296"/>
      <c r="G1803" s="296"/>
    </row>
    <row r="1804" spans="5:7">
      <c r="E1804" s="384"/>
      <c r="F1804" s="296"/>
      <c r="G1804" s="296"/>
    </row>
    <row r="1805" spans="5:7">
      <c r="E1805" s="384"/>
      <c r="F1805" s="296"/>
      <c r="G1805" s="296"/>
    </row>
    <row r="1806" spans="5:7">
      <c r="E1806" s="384"/>
      <c r="F1806" s="296"/>
      <c r="G1806" s="296"/>
    </row>
    <row r="1807" spans="5:7">
      <c r="E1807" s="384"/>
      <c r="F1807" s="296"/>
      <c r="G1807" s="296"/>
    </row>
    <row r="1808" spans="5:7">
      <c r="E1808" s="384"/>
      <c r="F1808" s="296"/>
      <c r="G1808" s="296"/>
    </row>
    <row r="1809" spans="5:7">
      <c r="E1809" s="384"/>
      <c r="F1809" s="296"/>
      <c r="G1809" s="296"/>
    </row>
    <row r="1810" spans="5:7">
      <c r="E1810" s="384"/>
      <c r="F1810" s="296"/>
      <c r="G1810" s="296"/>
    </row>
    <row r="1811" spans="5:7">
      <c r="E1811" s="384"/>
      <c r="F1811" s="296"/>
      <c r="G1811" s="296"/>
    </row>
    <row r="1812" spans="5:7">
      <c r="E1812" s="384"/>
      <c r="F1812" s="296"/>
      <c r="G1812" s="296"/>
    </row>
    <row r="1813" spans="5:7">
      <c r="E1813" s="384"/>
      <c r="F1813" s="296"/>
      <c r="G1813" s="296"/>
    </row>
    <row r="1814" spans="5:7">
      <c r="E1814" s="384"/>
      <c r="F1814" s="296"/>
      <c r="G1814" s="296"/>
    </row>
    <row r="1815" spans="5:7">
      <c r="E1815" s="384"/>
      <c r="F1815" s="296"/>
      <c r="G1815" s="296"/>
    </row>
    <row r="1816" spans="5:7">
      <c r="E1816" s="384"/>
      <c r="F1816" s="296"/>
      <c r="G1816" s="296"/>
    </row>
    <row r="1817" spans="5:7">
      <c r="E1817" s="384"/>
      <c r="F1817" s="296"/>
      <c r="G1817" s="296"/>
    </row>
    <row r="1818" spans="5:7">
      <c r="E1818" s="384"/>
      <c r="F1818" s="296"/>
      <c r="G1818" s="296"/>
    </row>
    <row r="1819" spans="5:7">
      <c r="E1819" s="384"/>
      <c r="F1819" s="296"/>
      <c r="G1819" s="296"/>
    </row>
    <row r="1820" spans="5:7">
      <c r="E1820" s="384"/>
      <c r="F1820" s="296"/>
      <c r="G1820" s="296"/>
    </row>
    <row r="1821" spans="5:7">
      <c r="E1821" s="384"/>
      <c r="F1821" s="296"/>
      <c r="G1821" s="296"/>
    </row>
    <row r="1822" spans="5:7">
      <c r="E1822" s="384"/>
      <c r="F1822" s="296"/>
      <c r="G1822" s="296"/>
    </row>
    <row r="1823" spans="5:7">
      <c r="E1823" s="384"/>
      <c r="F1823" s="296"/>
      <c r="G1823" s="296"/>
    </row>
    <row r="1824" spans="5:7">
      <c r="E1824" s="384"/>
      <c r="F1824" s="296"/>
      <c r="G1824" s="296"/>
    </row>
    <row r="1825" spans="5:7">
      <c r="E1825" s="384"/>
      <c r="F1825" s="296"/>
      <c r="G1825" s="296"/>
    </row>
    <row r="1826" spans="5:7">
      <c r="E1826" s="384"/>
      <c r="F1826" s="296"/>
      <c r="G1826" s="296"/>
    </row>
    <row r="1827" spans="5:7">
      <c r="E1827" s="384"/>
      <c r="F1827" s="296"/>
      <c r="G1827" s="296"/>
    </row>
    <row r="1828" spans="5:7">
      <c r="E1828" s="384"/>
      <c r="F1828" s="296"/>
      <c r="G1828" s="296"/>
    </row>
    <row r="1829" spans="5:7">
      <c r="E1829" s="384"/>
      <c r="F1829" s="296"/>
      <c r="G1829" s="296"/>
    </row>
    <row r="1830" spans="5:7">
      <c r="E1830" s="384"/>
      <c r="F1830" s="296"/>
      <c r="G1830" s="296"/>
    </row>
    <row r="1831" spans="5:7">
      <c r="E1831" s="384"/>
      <c r="F1831" s="296"/>
      <c r="G1831" s="296"/>
    </row>
    <row r="1832" spans="5:7">
      <c r="E1832" s="384"/>
      <c r="F1832" s="296"/>
      <c r="G1832" s="296"/>
    </row>
    <row r="1833" spans="5:7">
      <c r="E1833" s="384"/>
      <c r="F1833" s="296"/>
      <c r="G1833" s="296"/>
    </row>
    <row r="1834" spans="5:7">
      <c r="E1834" s="384"/>
      <c r="F1834" s="296"/>
      <c r="G1834" s="296"/>
    </row>
    <row r="1835" spans="5:7">
      <c r="E1835" s="384"/>
      <c r="F1835" s="296"/>
      <c r="G1835" s="296"/>
    </row>
    <row r="1836" spans="5:7">
      <c r="E1836" s="384"/>
      <c r="F1836" s="296"/>
      <c r="G1836" s="296"/>
    </row>
    <row r="1837" spans="5:7">
      <c r="E1837" s="384"/>
      <c r="F1837" s="296"/>
      <c r="G1837" s="296"/>
    </row>
    <row r="1838" spans="5:7">
      <c r="E1838" s="384"/>
      <c r="F1838" s="296"/>
      <c r="G1838" s="296"/>
    </row>
    <row r="1839" spans="5:7">
      <c r="E1839" s="384"/>
      <c r="F1839" s="296"/>
      <c r="G1839" s="296"/>
    </row>
    <row r="1840" spans="5:7">
      <c r="E1840" s="384"/>
      <c r="F1840" s="296"/>
      <c r="G1840" s="296"/>
    </row>
    <row r="1841" spans="5:7">
      <c r="E1841" s="384"/>
      <c r="F1841" s="296"/>
      <c r="G1841" s="296"/>
    </row>
    <row r="1842" spans="5:7">
      <c r="E1842" s="384"/>
      <c r="F1842" s="296"/>
      <c r="G1842" s="296"/>
    </row>
    <row r="1843" spans="5:7">
      <c r="E1843" s="384"/>
      <c r="F1843" s="296"/>
      <c r="G1843" s="296"/>
    </row>
    <row r="1844" spans="5:7">
      <c r="E1844" s="384"/>
      <c r="F1844" s="296"/>
      <c r="G1844" s="296"/>
    </row>
  </sheetData>
  <mergeCells count="215">
    <mergeCell ref="B1334:B1336"/>
    <mergeCell ref="B1337:B1339"/>
    <mergeCell ref="B1316:B1318"/>
    <mergeCell ref="B1319:B1321"/>
    <mergeCell ref="B1322:B1324"/>
    <mergeCell ref="B1325:B1327"/>
    <mergeCell ref="B1328:B1330"/>
    <mergeCell ref="B1331:B1333"/>
    <mergeCell ref="B1298:B1300"/>
    <mergeCell ref="B1301:B1303"/>
    <mergeCell ref="B1304:B1306"/>
    <mergeCell ref="B1307:B1309"/>
    <mergeCell ref="B1310:B1312"/>
    <mergeCell ref="B1313:B1315"/>
    <mergeCell ref="B1277:B1279"/>
    <mergeCell ref="B1280:B1282"/>
    <mergeCell ref="B1283:B1285"/>
    <mergeCell ref="B1286:B1288"/>
    <mergeCell ref="B1289:B1291"/>
    <mergeCell ref="B1292:B1294"/>
    <mergeCell ref="B1259:B1261"/>
    <mergeCell ref="B1262:B1264"/>
    <mergeCell ref="B1265:B1267"/>
    <mergeCell ref="B1268:B1270"/>
    <mergeCell ref="B1271:B1273"/>
    <mergeCell ref="B1274:B1276"/>
    <mergeCell ref="B1241:B1243"/>
    <mergeCell ref="B1244:B1246"/>
    <mergeCell ref="B1247:B1249"/>
    <mergeCell ref="B1250:B1252"/>
    <mergeCell ref="B1253:B1255"/>
    <mergeCell ref="B1256:B1258"/>
    <mergeCell ref="B1223:B1225"/>
    <mergeCell ref="B1226:B1228"/>
    <mergeCell ref="B1229:B1231"/>
    <mergeCell ref="B1232:B1234"/>
    <mergeCell ref="B1235:B1237"/>
    <mergeCell ref="B1238:B1240"/>
    <mergeCell ref="B1205:B1207"/>
    <mergeCell ref="B1208:B1210"/>
    <mergeCell ref="B1211:B1213"/>
    <mergeCell ref="B1214:B1216"/>
    <mergeCell ref="B1217:B1219"/>
    <mergeCell ref="B1220:B1222"/>
    <mergeCell ref="B1187:B1189"/>
    <mergeCell ref="B1190:B1192"/>
    <mergeCell ref="B1193:B1195"/>
    <mergeCell ref="B1196:B1198"/>
    <mergeCell ref="B1199:B1201"/>
    <mergeCell ref="B1202:B1204"/>
    <mergeCell ref="B1169:B1171"/>
    <mergeCell ref="B1172:B1174"/>
    <mergeCell ref="B1175:B1177"/>
    <mergeCell ref="B1178:B1180"/>
    <mergeCell ref="B1181:B1183"/>
    <mergeCell ref="B1184:B1186"/>
    <mergeCell ref="A1130:A1141"/>
    <mergeCell ref="B1130:B1141"/>
    <mergeCell ref="A1142:A1155"/>
    <mergeCell ref="B1142:B1155"/>
    <mergeCell ref="I1142:I1145"/>
    <mergeCell ref="A1156:A1339"/>
    <mergeCell ref="B1156:B1159"/>
    <mergeCell ref="B1160:B1162"/>
    <mergeCell ref="B1163:B1165"/>
    <mergeCell ref="B1166:B1168"/>
    <mergeCell ref="B1095:B1098"/>
    <mergeCell ref="I1095:I1098"/>
    <mergeCell ref="A1099:A1104"/>
    <mergeCell ref="B1099:B1104"/>
    <mergeCell ref="A1105:A1129"/>
    <mergeCell ref="B1105:B1121"/>
    <mergeCell ref="B1122:B1124"/>
    <mergeCell ref="B1125:B1129"/>
    <mergeCell ref="I1125:I1126"/>
    <mergeCell ref="A1007:A1098"/>
    <mergeCell ref="B1007:B1020"/>
    <mergeCell ref="I1017:I1018"/>
    <mergeCell ref="I1019:I1020"/>
    <mergeCell ref="B1021:B1034"/>
    <mergeCell ref="B1035:B1082"/>
    <mergeCell ref="I1036:I1037"/>
    <mergeCell ref="I1048:I1049"/>
    <mergeCell ref="I1050:I1051"/>
    <mergeCell ref="B1083:B1094"/>
    <mergeCell ref="I928:I929"/>
    <mergeCell ref="I931:I932"/>
    <mergeCell ref="A934:A1005"/>
    <mergeCell ref="B934:B1005"/>
    <mergeCell ref="I936:I937"/>
    <mergeCell ref="I968:I971"/>
    <mergeCell ref="I973:I976"/>
    <mergeCell ref="I980:I981"/>
    <mergeCell ref="I996:I997"/>
    <mergeCell ref="A865:A873"/>
    <mergeCell ref="B865:B873"/>
    <mergeCell ref="A874:A933"/>
    <mergeCell ref="B874:B876"/>
    <mergeCell ref="B877:B890"/>
    <mergeCell ref="B891:B897"/>
    <mergeCell ref="B898:B902"/>
    <mergeCell ref="B903:B920"/>
    <mergeCell ref="B921:B927"/>
    <mergeCell ref="B928:B933"/>
    <mergeCell ref="B802:B822"/>
    <mergeCell ref="I821:I822"/>
    <mergeCell ref="B823:B834"/>
    <mergeCell ref="B835:B841"/>
    <mergeCell ref="A842:A864"/>
    <mergeCell ref="B842:B853"/>
    <mergeCell ref="B854:B864"/>
    <mergeCell ref="A730:A841"/>
    <mergeCell ref="B730:B759"/>
    <mergeCell ref="I731:I732"/>
    <mergeCell ref="B760:B763"/>
    <mergeCell ref="B764:B768"/>
    <mergeCell ref="B769:B773"/>
    <mergeCell ref="B774:B780"/>
    <mergeCell ref="B781:B786"/>
    <mergeCell ref="B787:B801"/>
    <mergeCell ref="I790:I791"/>
    <mergeCell ref="A690:A729"/>
    <mergeCell ref="B690:B709"/>
    <mergeCell ref="I691:I693"/>
    <mergeCell ref="I694:I696"/>
    <mergeCell ref="I708:I709"/>
    <mergeCell ref="B710:B729"/>
    <mergeCell ref="I723:I725"/>
    <mergeCell ref="B652:B663"/>
    <mergeCell ref="B664:B668"/>
    <mergeCell ref="A669:A689"/>
    <mergeCell ref="B669:B680"/>
    <mergeCell ref="I674:I676"/>
    <mergeCell ref="B681:B689"/>
    <mergeCell ref="A402:A668"/>
    <mergeCell ref="B402:B413"/>
    <mergeCell ref="I402:I403"/>
    <mergeCell ref="I406:I408"/>
    <mergeCell ref="B414:B461"/>
    <mergeCell ref="I458:I459"/>
    <mergeCell ref="B462:B484"/>
    <mergeCell ref="B519:B527"/>
    <mergeCell ref="I526:I527"/>
    <mergeCell ref="B528:B544"/>
    <mergeCell ref="I528:I529"/>
    <mergeCell ref="B629:B644"/>
    <mergeCell ref="B645:B649"/>
    <mergeCell ref="I645:I646"/>
    <mergeCell ref="B650:B651"/>
    <mergeCell ref="I650:I651"/>
    <mergeCell ref="B566:B578"/>
    <mergeCell ref="B579:B587"/>
    <mergeCell ref="I584:I585"/>
    <mergeCell ref="B588:B600"/>
    <mergeCell ref="B601:B609"/>
    <mergeCell ref="B610:B611"/>
    <mergeCell ref="B612:B628"/>
    <mergeCell ref="B545:B546"/>
    <mergeCell ref="B547:B565"/>
    <mergeCell ref="I547:I548"/>
    <mergeCell ref="I555:I557"/>
    <mergeCell ref="I462:I463"/>
    <mergeCell ref="I474:I475"/>
    <mergeCell ref="B485:B502"/>
    <mergeCell ref="I485:I486"/>
    <mergeCell ref="I491:I493"/>
    <mergeCell ref="B503:B518"/>
    <mergeCell ref="I503:I504"/>
    <mergeCell ref="I509:I511"/>
    <mergeCell ref="A266:A309"/>
    <mergeCell ref="B266:B274"/>
    <mergeCell ref="B275:B286"/>
    <mergeCell ref="B287:B309"/>
    <mergeCell ref="I294:I295"/>
    <mergeCell ref="A310:A401"/>
    <mergeCell ref="B310:B363"/>
    <mergeCell ref="I362:I363"/>
    <mergeCell ref="B364:B374"/>
    <mergeCell ref="B375:B383"/>
    <mergeCell ref="B384:B386"/>
    <mergeCell ref="B387:B391"/>
    <mergeCell ref="B392:B401"/>
    <mergeCell ref="A109:A265"/>
    <mergeCell ref="B109:B158"/>
    <mergeCell ref="I125:I130"/>
    <mergeCell ref="I134:I135"/>
    <mergeCell ref="I147:I149"/>
    <mergeCell ref="B159:B184"/>
    <mergeCell ref="B185:B226"/>
    <mergeCell ref="B227:B265"/>
    <mergeCell ref="I242:I243"/>
    <mergeCell ref="A1:E3"/>
    <mergeCell ref="F1:I3"/>
    <mergeCell ref="A4:B4"/>
    <mergeCell ref="A5:A6"/>
    <mergeCell ref="B5:B6"/>
    <mergeCell ref="A7:A32"/>
    <mergeCell ref="B7:B26"/>
    <mergeCell ref="B27:B32"/>
    <mergeCell ref="A80:A108"/>
    <mergeCell ref="B81:B86"/>
    <mergeCell ref="B87:B88"/>
    <mergeCell ref="I87:I88"/>
    <mergeCell ref="B89:B96"/>
    <mergeCell ref="B97:B103"/>
    <mergeCell ref="B104:B108"/>
    <mergeCell ref="A33:A49"/>
    <mergeCell ref="B33:B46"/>
    <mergeCell ref="I35:I36"/>
    <mergeCell ref="B47:B49"/>
    <mergeCell ref="A50:A79"/>
    <mergeCell ref="B50:B56"/>
    <mergeCell ref="B57:B70"/>
    <mergeCell ref="B71:B79"/>
    <mergeCell ref="I78:I79"/>
  </mergeCells>
  <phoneticPr fontId="1" type="noConversion"/>
  <dataValidations count="1">
    <dataValidation type="list" allowBlank="1" showInputMessage="1" showErrorMessage="1" sqref="K1:K1048576 L1:L4 L1340:L1048576" xr:uid="{00000000-0002-0000-0100-000000000000}">
      <formula1>$O$5:$V$5</formula1>
    </dataValidation>
  </dataValidations>
  <pageMargins left="0.70866141732283472" right="0.70866141732283472" top="0.74803149606299213" bottom="0.74803149606299213" header="0.31496062992125984" footer="0.31496062992125984"/>
  <pageSetup paperSize="9" scale="85"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2</vt:i4>
      </vt:variant>
      <vt:variant>
        <vt:lpstr>具名範圍</vt:lpstr>
      </vt:variant>
      <vt:variant>
        <vt:i4>2</vt:i4>
      </vt:variant>
    </vt:vector>
  </HeadingPairs>
  <TitlesOfParts>
    <vt:vector size="4" baseType="lpstr">
      <vt:lpstr>職業分類表D版_11206</vt:lpstr>
      <vt:lpstr>建議修正調查表 (2)</vt:lpstr>
      <vt:lpstr>'建議修正調查表 (2)'!Print_Titles</vt:lpstr>
      <vt:lpstr>職業分類表D版_11206!Print_Titles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黃欣怡</dc:creator>
  <cp:lastModifiedBy>ShiauHa 謝</cp:lastModifiedBy>
  <cp:lastPrinted>2023-05-31T06:23:12Z</cp:lastPrinted>
  <dcterms:created xsi:type="dcterms:W3CDTF">2022-07-13T06:42:36Z</dcterms:created>
  <dcterms:modified xsi:type="dcterms:W3CDTF">2026-05-19T04:30:55Z</dcterms:modified>
</cp:coreProperties>
</file>